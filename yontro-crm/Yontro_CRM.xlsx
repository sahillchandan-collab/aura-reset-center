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Inbound" sheetId="3" state="visible" r:id="rId5"/>
    <sheet name="Outbound" sheetId="4" state="visible" r:id="rId6"/>
    <sheet name="Clients" sheetId="5" state="visible" r:id="rId7"/>
    <sheet name="Shoots" sheetId="6" state="visible" r:id="rId8"/>
    <sheet name="Qualify" sheetId="7" state="visible" r:id="rId9"/>
    <sheet name="Automations" sheetId="8" state="visible" r:id="rId10"/>
    <sheet name="Settings" sheetId="9" state="visible" r:id="rId11"/>
  </sheets>
  <definedNames>
    <definedName function="false" hidden="true" localSheetId="4" name="_xlnm._FilterDatabase" vbProcedure="false">Clients!$A$1:$Z$501</definedName>
    <definedName function="false" hidden="true" localSheetId="2" name="_xlnm._FilterDatabase" vbProcedure="false">Inbound!$A$1:$AK$501</definedName>
    <definedName function="false" hidden="true" localSheetId="3" name="_xlnm._FilterDatabase" vbProcedure="false">Outbound!$A$1:$AH$501</definedName>
    <definedName function="false" hidden="true" localSheetId="5" name="_xlnm._FilterDatabase" vbProcedure="false">Shoots!$A$1:$N$501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Double-click for a calendar. Clear the cell to go back to today.</t>
        </r>
      </text>
    </comment>
    <comment ref="C15" authorId="0">
      <text>
        <r>
          <rPr>
            <sz val="10"/>
            <rFont val="Arial"/>
            <family val="2"/>
          </rPr>
          <t xml:space="preserve">Target: reply within 1 hour.</t>
        </r>
      </text>
    </comment>
    <comment ref="C29" authorId="0">
      <text>
        <r>
          <rPr>
            <sz val="10"/>
            <rFont val="Arial"/>
            <family val="2"/>
          </rPr>
          <t xml:space="preserve">Target: under 1 hour.</t>
        </r>
      </text>
    </comment>
    <comment ref="C42" authorId="0">
      <text>
        <r>
          <rPr>
            <sz val="10"/>
            <rFont val="Arial"/>
            <family val="2"/>
          </rPr>
          <t xml:space="preserve">Of clients whose free-video decision is settled, the share who stayed.</t>
        </r>
      </text>
    </comment>
    <comment ref="C54" authorId="0">
      <text>
        <r>
          <rPr>
            <sz val="10"/>
            <rFont val="Arial"/>
            <family val="2"/>
          </rPr>
          <t xml:space="preserve">Shows whether the score predicts who signs. Adjust points on Settings if it doesn't.</t>
        </r>
      </text>
    </comment>
    <comment ref="C55" authorId="0">
      <text>
        <r>
          <rPr>
            <sz val="10"/>
            <rFont val="Arial"/>
            <family val="2"/>
          </rPr>
          <t xml:space="preserve">Shows whether the score predicts who signs. Adjust points on Settings if it doesn't.</t>
        </r>
      </text>
    </comment>
    <comment ref="C56" authorId="0">
      <text>
        <r>
          <rPr>
            <sz val="10"/>
            <rFont val="Arial"/>
            <family val="2"/>
          </rPr>
          <t xml:space="preserve">Shows whether the score predicts who signs. Adjust points on Settings if it doesn't.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4" authorId="0">
      <text>
        <r>
          <rPr>
            <sz val="10"/>
            <rFont val="Arial"/>
            <family val="2"/>
          </rPr>
          <t xml:space="preserve">Placeholder - the decision window has not been agreed yet.</t>
        </r>
      </text>
    </comment>
  </commentList>
</comments>
</file>

<file path=xl/sharedStrings.xml><?xml version="1.0" encoding="utf-8"?>
<sst xmlns="http://schemas.openxmlformats.org/spreadsheetml/2006/main" count="592" uniqueCount="431">
  <si>
    <t xml:space="preserve">YONTRO CRM</t>
  </si>
  <si>
    <t xml:space="preserve">One place for every lead – inbound or outbound – from first message to active client.</t>
  </si>
  <si>
    <t xml:space="preserve">HOW TO USE THIS SHEET</t>
  </si>
  <si>
    <t xml:space="preserve">White cells</t>
  </si>
  <si>
    <t xml:space="preserve">You type here. Most have dropdowns – pick from the list.</t>
  </si>
  <si>
    <t xml:space="preserve">Grey cells / grey headers</t>
  </si>
  <si>
    <t xml:space="preserve">Formulas. Don't type here – they calculate themselves.</t>
  </si>
  <si>
    <t xml:space="preserve">Row 2 on each tab</t>
  </si>
  <si>
    <t xml:space="preserve">An EXAMPLE row (grey italic). Overwrite or delete it once you start.</t>
  </si>
  <si>
    <t xml:space="preserve">Settings tab</t>
  </si>
  <si>
    <t xml:space="preserve">Edit dropdown lists, package prices and the rules (follow-up gap, decision window).</t>
  </si>
  <si>
    <t xml:space="preserve">Dates</t>
  </si>
  <si>
    <t xml:space="preserve">Columns marked 📅 open a calendar: double-click the cell and pick the day. Time columns have a dropdown arrow. If a calendar ever doesn't open, run the 'Add date pickers' script (see below).</t>
  </si>
  <si>
    <t xml:space="preserve">THE TABS</t>
  </si>
  <si>
    <t xml:space="preserve">Dashboard</t>
  </si>
  <si>
    <t xml:space="preserve">Daily, weekly and monthly numbers. Pick any day in the yellow cell (blank = today). Everything else is read only.</t>
  </si>
  <si>
    <t xml:space="preserve">Inbound</t>
  </si>
  <si>
    <t xml:space="preserve">Leads who came to us: website, WhatsApp, Instagram, referrals, walk-ins.  Owner: Usama</t>
  </si>
  <si>
    <t xml:space="preserve">Outbound</t>
  </si>
  <si>
    <t xml:space="preserve">Leads we went after: Apollo, LinkedIn, Google Maps.  Owner: Usama</t>
  </si>
  <si>
    <t xml:space="preserve">Clients</t>
  </si>
  <si>
    <t xml:space="preserve">Everyone who signed + paid: free video, decision window, refunds, active plan.  Owner: Lianna</t>
  </si>
  <si>
    <t xml:space="preserve">Shoots</t>
  </si>
  <si>
    <t xml:space="preserve">Every shoot – free videos and plan shoots.  Owner: Azeem</t>
  </si>
  <si>
    <t xml:space="preserve">Qualify</t>
  </si>
  <si>
    <t xml:space="preserve">The 6 questions Usama asks on the first call, what to listen for, and what the score means.</t>
  </si>
  <si>
    <t xml:space="preserve">Automations</t>
  </si>
  <si>
    <t xml:space="preserve">What connects to what (Make.com, Calendly, Apollo, Calendar). The setup checklist.</t>
  </si>
  <si>
    <t xml:space="preserve">THE PIPELINE</t>
  </si>
  <si>
    <t xml:space="preserve">Selling (Inbound / Outbound)</t>
  </si>
  <si>
    <t xml:space="preserve">New → Contacted → Replied → Meeting booked → Meeting held → Proposal sent → Contract signed + paid</t>
  </si>
  <si>
    <t xml:space="preserve">or → Closed – No response (after 4 follow-ups) / Lost</t>
  </si>
  <si>
    <t xml:space="preserve">Trial (Clients + Shoots)</t>
  </si>
  <si>
    <t xml:space="preserve">Signed + paid → Free video shot → Delivered → Decision window</t>
  </si>
  <si>
    <t xml:space="preserve">Outcome (Clients)</t>
  </si>
  <si>
    <t xml:space="preserve">Approves → Active   ·   Says nothing → Active (plan goes ahead)   ·   Backs out → Refund, keeps the video</t>
  </si>
  <si>
    <t xml:space="preserve">THE RULES WE AGREED</t>
  </si>
  <si>
    <t xml:space="preserve">Free video</t>
  </si>
  <si>
    <t xml:space="preserve">Only for clients who have signed the contract. As many as needed for onboarded clients.</t>
  </si>
  <si>
    <t xml:space="preserve">Payment</t>
  </si>
  <si>
    <t xml:space="preserve">Taken at signing.</t>
  </si>
  <si>
    <t xml:space="preserve">Backing out</t>
  </si>
  <si>
    <t xml:space="preserve">Client can back out after the free video if not satisfied → refund. They keep the free video.</t>
  </si>
  <si>
    <t xml:space="preserve">Silence after delivery</t>
  </si>
  <si>
    <t xml:space="preserve">Plan goes ahead – they have signed and paid.</t>
  </si>
  <si>
    <t xml:space="preserve">Ghosting (before contract)</t>
  </si>
  <si>
    <t xml:space="preserve">4 follow-ups, 3 days apart, each adding new value. Then stop outreach → Closed – No response.</t>
  </si>
  <si>
    <t xml:space="preserve">Repeat refunds</t>
  </si>
  <si>
    <t xml:space="preserve">A business that was refunded before is flagged ⚠ – no second free video.</t>
  </si>
  <si>
    <t xml:space="preserve">Lead score</t>
  </si>
  <si>
    <t xml:space="preserve">6 questions + industry = score out of 100. Hot 70+, Warm 40–69, Cold under 40. Score every lead before a proposal.</t>
  </si>
  <si>
    <t xml:space="preserve">Red flags</t>
  </si>
  <si>
    <t xml:space="preserve">🚩 Budget under AED 5k, 🚩 nobody on camera. Warnings only – the lead is NOT disqualified.</t>
  </si>
  <si>
    <t xml:space="preserve">Decision window</t>
  </si>
  <si>
    <t xml:space="preserve">NOT DECIDED YET – set to 3 working days as a placeholder (Settings tab, yellow cell).</t>
  </si>
  <si>
    <t xml:space="preserve">EACH PERSON'S DAY</t>
  </si>
  <si>
    <t xml:space="preserve">Usama</t>
  </si>
  <si>
    <t xml:space="preserve">Inbound + Outbound: filter Owner = Usama and Action flag. Clear OVERDUE first, then 'Follow up today'. Reply to new inbound within 1 hour.</t>
  </si>
  <si>
    <t xml:space="preserve">Azeem</t>
  </si>
  <si>
    <t xml:space="preserve">Shoots: filter Videographer = Azeem. Update Status and Delivered date the day it happens.</t>
  </si>
  <si>
    <t xml:space="preserve">Lianna</t>
  </si>
  <si>
    <t xml:space="preserve">Clients: work every 'Decision pending' row; onboard new signings; log refunds with a reason.</t>
  </si>
  <si>
    <t xml:space="preserve">Owner</t>
  </si>
  <si>
    <t xml:space="preserve">Dashboard once a week.</t>
  </si>
  <si>
    <t xml:space="preserve">IF THE CALENDARS DON'T OPEN (one-time fix, 2 minutes)</t>
  </si>
  <si>
    <t xml:space="preserve">1</t>
  </si>
  <si>
    <t xml:space="preserve">In the Google Sheet: Extensions → Apps Script.</t>
  </si>
  <si>
    <t xml:space="preserve">2</t>
  </si>
  <si>
    <t xml:space="preserve">Delete what's there, paste the code from yontro-crm/date-pickers.gs, click Save.</t>
  </si>
  <si>
    <t xml:space="preserve">3</t>
  </si>
  <si>
    <t xml:space="preserve">Choose addDatePickers in the toolbar and click Run (allow access the first time).</t>
  </si>
  <si>
    <t xml:space="preserve">4</t>
  </si>
  <si>
    <t xml:space="preserve">Back in the sheet, double-click any 📅 cell – the calendar opens.</t>
  </si>
  <si>
    <t xml:space="preserve">AFTER A FOLLOW-UP</t>
  </si>
  <si>
    <t xml:space="preserve">Update two cells</t>
  </si>
  <si>
    <t xml:space="preserve">Last contact date = today, and Follow-ups sent +1. The sheet works out the next due date.</t>
  </si>
  <si>
    <t xml:space="preserve">YONTRO · CRM DASHBOARD</t>
  </si>
  <si>
    <t xml:space="preserve">Updates automatically from the Inbound, Outbound, Clients and Shoots tabs. Only the yellow cell is yours to change.</t>
  </si>
  <si>
    <t xml:space="preserve">Day to view 📅 (double-click)</t>
  </si>
  <si>
    <t xml:space="preserve">Leave blank to always show today</t>
  </si>
  <si>
    <t xml:space="preserve">Showing</t>
  </si>
  <si>
    <t xml:space="preserve">Week starts (Monday)</t>
  </si>
  <si>
    <t xml:space="preserve">Month starts</t>
  </si>
  <si>
    <t xml:space="preserve">DAILY  ·  the day picked above</t>
  </si>
  <si>
    <t xml:space="preserve">PIPELINE BY STAGE  ·  live</t>
  </si>
  <si>
    <t xml:space="preserve">Total</t>
  </si>
  <si>
    <t xml:space="preserve">New leads</t>
  </si>
  <si>
    <t xml:space="preserve">Leads contacted</t>
  </si>
  <si>
    <t xml:space="preserve">Follow-ups due</t>
  </si>
  <si>
    <t xml:space="preserve">Sales meetings</t>
  </si>
  <si>
    <t xml:space="preserve">Overdue follow-ups (live, as of today)</t>
  </si>
  <si>
    <t xml:space="preserve">Inbound leads still waiting for a first reply (live)</t>
  </si>
  <si>
    <t xml:space="preserve">Free videos delivered</t>
  </si>
  <si>
    <t xml:space="preserve">Client decisions due</t>
  </si>
  <si>
    <t xml:space="preserve">Contracts signed + paid</t>
  </si>
  <si>
    <t xml:space="preserve">Total leads</t>
  </si>
  <si>
    <t xml:space="preserve">Cash collected (AED)</t>
  </si>
  <si>
    <t xml:space="preserve">Refunds waiting to be paid (live)</t>
  </si>
  <si>
    <t xml:space="preserve">OPEN LEADS BY OWNER  ·  live</t>
  </si>
  <si>
    <t xml:space="preserve">Open leads</t>
  </si>
  <si>
    <t xml:space="preserve">Actions due</t>
  </si>
  <si>
    <t xml:space="preserve">THIS WEEK  ·  Monday to Sunday of the day picked</t>
  </si>
  <si>
    <t xml:space="preserve">Leads added</t>
  </si>
  <si>
    <t xml:space="preserve">Follow-ups due today or overdue (live)</t>
  </si>
  <si>
    <t xml:space="preserve">Leads to close (4 follow-ups sent)</t>
  </si>
  <si>
    <t xml:space="preserve">Avg inbound response time (hrs, all time)</t>
  </si>
  <si>
    <t xml:space="preserve">LEADS BY SOURCE (ALL TIME)</t>
  </si>
  <si>
    <t xml:space="preserve">Leads</t>
  </si>
  <si>
    <t xml:space="preserve">Signed</t>
  </si>
  <si>
    <t xml:space="preserve">Avg score</t>
  </si>
  <si>
    <t xml:space="preserve">THIS MONTH  ·  of the day picked</t>
  </si>
  <si>
    <t xml:space="preserve">In · Website form</t>
  </si>
  <si>
    <t xml:space="preserve">In · WhatsApp</t>
  </si>
  <si>
    <t xml:space="preserve">Cash collected at signing (AED)</t>
  </si>
  <si>
    <t xml:space="preserve">In · Instagram DM</t>
  </si>
  <si>
    <t xml:space="preserve">Refunds paid (count)</t>
  </si>
  <si>
    <t xml:space="preserve">In · Referral</t>
  </si>
  <si>
    <t xml:space="preserve">Refunds paid (AED)</t>
  </si>
  <si>
    <t xml:space="preserve">In · Walk-in</t>
  </si>
  <si>
    <t xml:space="preserve">In · Phone call</t>
  </si>
  <si>
    <t xml:space="preserve">CLIENTS  ·  live</t>
  </si>
  <si>
    <t xml:space="preserve">In · Other</t>
  </si>
  <si>
    <t xml:space="preserve">Active clients</t>
  </si>
  <si>
    <t xml:space="preserve">Out · Apollo</t>
  </si>
  <si>
    <t xml:space="preserve">Monthly recurring revenue (AED, ex VAT)</t>
  </si>
  <si>
    <t xml:space="preserve">Out · LinkedIn</t>
  </si>
  <si>
    <t xml:space="preserve">Decisions pending</t>
  </si>
  <si>
    <t xml:space="preserve">Out · Google Maps</t>
  </si>
  <si>
    <t xml:space="preserve">Free videos to schedule / in production</t>
  </si>
  <si>
    <t xml:space="preserve">Out · Instagram research</t>
  </si>
  <si>
    <t xml:space="preserve">Trial-to-active rate</t>
  </si>
  <si>
    <t xml:space="preserve">Out · Event / networking</t>
  </si>
  <si>
    <t xml:space="preserve">Signed but payment not logged</t>
  </si>
  <si>
    <t xml:space="preserve">Out · Other</t>
  </si>
  <si>
    <t xml:space="preserve">LEAD QUALITY  ·  open leads, live</t>
  </si>
  <si>
    <t xml:space="preserve">Hot (70+)</t>
  </si>
  <si>
    <t xml:space="preserve">Warm (40–69)</t>
  </si>
  <si>
    <t xml:space="preserve">Cold (under 40)</t>
  </si>
  <si>
    <t xml:space="preserve">Not scored or partly scored</t>
  </si>
  <si>
    <t xml:space="preserve">With a 🚩 red flag</t>
  </si>
  <si>
    <t xml:space="preserve">Win rate by rating (all time)</t>
  </si>
  <si>
    <t xml:space="preserve">Hot leads that signed</t>
  </si>
  <si>
    <t xml:space="preserve">Warm leads that signed</t>
  </si>
  <si>
    <t xml:space="preserve">Cold leads that signed</t>
  </si>
  <si>
    <t xml:space="preserve">Lead ID</t>
  </si>
  <si>
    <t xml:space="preserve">Date received 📅</t>
  </si>
  <si>
    <t xml:space="preserve">Time received</t>
  </si>
  <si>
    <t xml:space="preserve">Source</t>
  </si>
  <si>
    <t xml:space="preserve">Business name</t>
  </si>
  <si>
    <t xml:space="preserve">Industry</t>
  </si>
  <si>
    <t xml:space="preserve">Contact name</t>
  </si>
  <si>
    <t xml:space="preserve">Role</t>
  </si>
  <si>
    <t xml:space="preserve">Phone / WhatsApp</t>
  </si>
  <si>
    <t xml:space="preserve">Email</t>
  </si>
  <si>
    <t xml:space="preserve">Instagram</t>
  </si>
  <si>
    <t xml:space="preserve">Area</t>
  </si>
  <si>
    <t xml:space="preserve">Wants more of</t>
  </si>
  <si>
    <t xml:space="preserve">First response date 📅</t>
  </si>
  <si>
    <t xml:space="preserve">First response time</t>
  </si>
  <si>
    <t xml:space="preserve">Response time (hrs)</t>
  </si>
  <si>
    <t xml:space="preserve">Budget AED 5k+/mo?</t>
  </si>
  <si>
    <t xml:space="preserve">Decision-maker?</t>
  </si>
  <si>
    <t xml:space="preserve">Someone on camera?</t>
  </si>
  <si>
    <t xml:space="preserve">OK with 3-month term?</t>
  </si>
  <si>
    <t xml:space="preserve">Start timeline</t>
  </si>
  <si>
    <t xml:space="preserve">Social media gap</t>
  </si>
  <si>
    <t xml:space="preserve">Rating</t>
  </si>
  <si>
    <t xml:space="preserve">Stage</t>
  </si>
  <si>
    <t xml:space="preserve">Last contact date 📅</t>
  </si>
  <si>
    <t xml:space="preserve">Follow-ups sent (0-4)</t>
  </si>
  <si>
    <t xml:space="preserve">Next follow-up due</t>
  </si>
  <si>
    <t xml:space="preserve">Meeting date 📅</t>
  </si>
  <si>
    <t xml:space="preserve">Meeting time</t>
  </si>
  <si>
    <t xml:space="preserve">Package discussed</t>
  </si>
  <si>
    <t xml:space="preserve">Lost / closed reason</t>
  </si>
  <si>
    <t xml:space="preserve">Notes</t>
  </si>
  <si>
    <t xml:space="preserve">Days open</t>
  </si>
  <si>
    <t xml:space="preserve">Action flag</t>
  </si>
  <si>
    <t xml:space="preserve">IN-0001</t>
  </si>
  <si>
    <t xml:space="preserve">Website form</t>
  </si>
  <si>
    <t xml:space="preserve">Pulse Fitness Club (EXAMPLE)</t>
  </si>
  <si>
    <t xml:space="preserve">Fitness / wellness</t>
  </si>
  <si>
    <t xml:space="preserve">Sara M.</t>
  </si>
  <si>
    <t xml:space="preserve">+971 50 000 0000</t>
  </si>
  <si>
    <t xml:space="preserve">sara@example.com</t>
  </si>
  <si>
    <t xml:space="preserve">@pulse.fitness.jlt</t>
  </si>
  <si>
    <t xml:space="preserve">JLT</t>
  </si>
  <si>
    <t xml:space="preserve">Enquiries and bookings</t>
  </si>
  <si>
    <t xml:space="preserve">Yes</t>
  </si>
  <si>
    <t xml:space="preserve">This month</t>
  </si>
  <si>
    <t xml:space="preserve">Big gap</t>
  </si>
  <si>
    <t xml:space="preserve">Proposal sent</t>
  </si>
  <si>
    <t xml:space="preserve">Growth</t>
  </si>
  <si>
    <t xml:space="preserve">Example row – overwrite or delete.</t>
  </si>
  <si>
    <t xml:space="preserve">Date added 📅</t>
  </si>
  <si>
    <t xml:space="preserve">LinkedIn</t>
  </si>
  <si>
    <t xml:space="preserve">Apollo list / campaign</t>
  </si>
  <si>
    <t xml:space="preserve">OUT-0001</t>
  </si>
  <si>
    <t xml:space="preserve">Apollo</t>
  </si>
  <si>
    <t xml:space="preserve">Marina Bites Café (EXAMPLE)</t>
  </si>
  <si>
    <t xml:space="preserve">Hospitality / F&amp;B</t>
  </si>
  <si>
    <t xml:space="preserve">Omar K.</t>
  </si>
  <si>
    <t xml:space="preserve">Marketing manager</t>
  </si>
  <si>
    <t xml:space="preserve">+971 55 000 0000</t>
  </si>
  <si>
    <t xml:space="preserve">omar@example.com</t>
  </si>
  <si>
    <t xml:space="preserve">@marinabites</t>
  </si>
  <si>
    <t xml:space="preserve">linkedin.com/in/example</t>
  </si>
  <si>
    <t xml:space="preserve">Dubai Marina</t>
  </si>
  <si>
    <t xml:space="preserve">F&amp;B – Marina – Oct 26</t>
  </si>
  <si>
    <t xml:space="preserve">Maybe</t>
  </si>
  <si>
    <t xml:space="preserve">Influencer</t>
  </si>
  <si>
    <t xml:space="preserve">No</t>
  </si>
  <si>
    <t xml:space="preserve">Unsure</t>
  </si>
  <si>
    <t xml:space="preserve">1–3 months</t>
  </si>
  <si>
    <t xml:space="preserve">Some</t>
  </si>
  <si>
    <t xml:space="preserve">Replied</t>
  </si>
  <si>
    <t xml:space="preserve">Launch</t>
  </si>
  <si>
    <t xml:space="preserve">Client ID</t>
  </si>
  <si>
    <t xml:space="preserve">Package</t>
  </si>
  <si>
    <t xml:space="preserve">Monthly fee (AED)</t>
  </si>
  <si>
    <t xml:space="preserve">Contract signed date 📅</t>
  </si>
  <si>
    <t xml:space="preserve">Amount paid (AED)</t>
  </si>
  <si>
    <t xml:space="preserve">Payment method</t>
  </si>
  <si>
    <t xml:space="preserve">Free video shoot date 📅</t>
  </si>
  <si>
    <t xml:space="preserve">Free video delivered 📅</t>
  </si>
  <si>
    <t xml:space="preserve">Decision deadline</t>
  </si>
  <si>
    <t xml:space="preserve">Client decision</t>
  </si>
  <si>
    <t xml:space="preserve">Status</t>
  </si>
  <si>
    <t xml:space="preserve">Back-out reason</t>
  </si>
  <si>
    <t xml:space="preserve">Refund status</t>
  </si>
  <si>
    <t xml:space="preserve">Refund amount (AED)</t>
  </si>
  <si>
    <t xml:space="preserve">Refund date 📅</t>
  </si>
  <si>
    <t xml:space="preserve">Plan start date 📅</t>
  </si>
  <si>
    <t xml:space="preserve">Minimum term ends</t>
  </si>
  <si>
    <t xml:space="preserve">Account manager</t>
  </si>
  <si>
    <t xml:space="preserve">Videographer</t>
  </si>
  <si>
    <t xml:space="preserve">CL-0001</t>
  </si>
  <si>
    <t xml:space="preserve">Example Salon (EXAMPLE)</t>
  </si>
  <si>
    <t xml:space="preserve">Layla K.</t>
  </si>
  <si>
    <t xml:space="preserve">+971 52 000 0000</t>
  </si>
  <si>
    <t xml:space="preserve">layla@example.com</t>
  </si>
  <si>
    <t xml:space="preserve">@examplesalon</t>
  </si>
  <si>
    <t xml:space="preserve">Bank transfer</t>
  </si>
  <si>
    <t xml:space="preserve">Pending</t>
  </si>
  <si>
    <t xml:space="preserve">Example row – overwrite or delete. Paid = AED 7,500 + 5% VAT.</t>
  </si>
  <si>
    <t xml:space="preserve">Shoot ID</t>
  </si>
  <si>
    <t xml:space="preserve">Shoot type</t>
  </si>
  <si>
    <t xml:space="preserve">Shoot date 📅</t>
  </si>
  <si>
    <t xml:space="preserve">Time</t>
  </si>
  <si>
    <t xml:space="preserve">Location</t>
  </si>
  <si>
    <t xml:space="preserve">Delivered date 📅</t>
  </si>
  <si>
    <t xml:space="preserve">Revision rounds used</t>
  </si>
  <si>
    <t xml:space="preserve">Video link</t>
  </si>
  <si>
    <t xml:space="preserve">Flag</t>
  </si>
  <si>
    <t xml:space="preserve">SH-0001</t>
  </si>
  <si>
    <t xml:space="preserve">Client salon, Jumeirah</t>
  </si>
  <si>
    <t xml:space="preserve">Delivered</t>
  </si>
  <si>
    <t xml:space="preserve">QUALIFYING A LEAD – first call or chat (about 5 minutes)</t>
  </si>
  <si>
    <t xml:space="preserve">Ask naturally, not like a form. Fill the six dropdowns on the lead's row; the score, rating and red flags work themselves out. Red flags are warnings, not a 'no' – the lead stays open.</t>
  </si>
  <si>
    <t xml:space="preserve">Column</t>
  </si>
  <si>
    <t xml:space="preserve">What to ask</t>
  </si>
  <si>
    <t xml:space="preserve">Listen for</t>
  </si>
  <si>
    <t xml:space="preserve">“Our plans start at AED 5,000 a month for 10 videos, fully done for you. Is that in the range you had in mind?”</t>
  </si>
  <si>
    <t xml:space="preserve">Yes / Maybe (‘depends what’s included’) / No. 🚩 if No.</t>
  </si>
  <si>
    <t xml:space="preserve">“Apart from you, who else would be involved in deciding?”</t>
  </si>
  <si>
    <t xml:space="preserve">Yes = they sign. Influencer = they recommend to someone else.</t>
  </si>
  <si>
    <t xml:space="preserve">“Our videos work because a real person from the business is in them – a manager, chef, coach, broker. Who could that be for you?”</t>
  </si>
  <si>
    <t xml:space="preserve">A name = Yes. ‘Maybe, we’d need to see’ = Maybe. 🚩 if nobody.</t>
  </si>
  <si>
    <t xml:space="preserve">“We work in three-month plans: month one fixes the basics, two finds the story, three scales it. Does that work for you?”</t>
  </si>
  <si>
    <t xml:space="preserve">Yes / Unsure / No.</t>
  </si>
  <si>
    <t xml:space="preserve">“If this felt right, when would you want the first shoot?”</t>
  </si>
  <si>
    <t xml:space="preserve">This month / 1–3 months / Later.</t>
  </si>
  <si>
    <t xml:space="preserve">Look at their Instagram before the call: faces on camera? posting in the last 2 weeks? a clear offer in the bio?</t>
  </si>
  <si>
    <t xml:space="preserve">Big gap = 2–3 missing. Some = 1 missing. Already strong = none.</t>
  </si>
  <si>
    <t xml:space="preserve">Industry fit</t>
  </si>
  <si>
    <t xml:space="preserve">Nothing to ask – it scores itself from the Industry column.</t>
  </si>
  <si>
    <t xml:space="preserve">Core: hospitality, retail, real estate, entertainment, fitness.</t>
  </si>
  <si>
    <t xml:space="preserve">Score bands</t>
  </si>
  <si>
    <t xml:space="preserve">Hot  70–100</t>
  </si>
  <si>
    <t xml:space="preserve">Book the meeting now; proposal straight after.</t>
  </si>
  <si>
    <t xml:space="preserve">Warm  40–69</t>
  </si>
  <si>
    <t xml:space="preserve">Keep the follow-up rhythm going; send a relevant result.</t>
  </si>
  <si>
    <t xml:space="preserve">Cold  under 40</t>
  </si>
  <si>
    <t xml:space="preserve">Low priority. Usama decides whether to keep going.</t>
  </si>
  <si>
    <t xml:space="preserve">🚩 Red flags</t>
  </si>
  <si>
    <t xml:space="preserve">Budget under AED 5k, or nobody on camera. A warning to handle in the conversation – not a disqualification.</t>
  </si>
  <si>
    <t xml:space="preserve">Points and the Hot/Warm cut-offs live on the Settings tab (blue numbers) – change them there and every score updates.</t>
  </si>
  <si>
    <t xml:space="preserve">#</t>
  </si>
  <si>
    <t xml:space="preserve">When this happens…</t>
  </si>
  <si>
    <t xml:space="preserve">App</t>
  </si>
  <si>
    <t xml:space="preserve">…this happens automatically</t>
  </si>
  <si>
    <t xml:space="preserve">Writes to (tab → columns)</t>
  </si>
  <si>
    <t xml:space="preserve">Phase</t>
  </si>
  <si>
    <t xml:space="preserve">Website form submitted</t>
  </si>
  <si>
    <t xml:space="preserve">yontro.ae → Make.com</t>
  </si>
  <si>
    <t xml:space="preserve">Add row, Source = Website form, Stage = New; alert Usama on WhatsApp</t>
  </si>
  <si>
    <t xml:space="preserve">Inbound → Lead ID, Date received, Time received, Source, Business, Contact, Phone, Instagram, Wants more of</t>
  </si>
  <si>
    <t xml:space="preserve">Calendly meeting booked</t>
  </si>
  <si>
    <t xml:space="preserve">Calendly → Make.com</t>
  </si>
  <si>
    <t xml:space="preserve">Find lead by email/phone; set Stage = Meeting booked, Meeting date and Meeting time; reminder 24h before</t>
  </si>
  <si>
    <t xml:space="preserve">Inbound / Outbound → Stage, Meeting date, Meeting time</t>
  </si>
  <si>
    <t xml:space="preserve">Prospects saved to an Apollo list</t>
  </si>
  <si>
    <t xml:space="preserve">Apollo → Make.com</t>
  </si>
  <si>
    <t xml:space="preserve">Add rows, skip duplicates by email or phone; Stage = New</t>
  </si>
  <si>
    <t xml:space="preserve">Outbound → Lead ID, Date added, Source, Business…Apollo list</t>
  </si>
  <si>
    <t xml:space="preserve">Prospect replies to an Apollo sequence</t>
  </si>
  <si>
    <t xml:space="preserve">Set Stage = Replied; Last contact date = today</t>
  </si>
  <si>
    <t xml:space="preserve">Outbound → Stage, Last contact date</t>
  </si>
  <si>
    <t xml:space="preserve">Stage set to Contract signed + paid</t>
  </si>
  <si>
    <t xml:space="preserve">Sheets → Make.com</t>
  </si>
  <si>
    <t xml:space="preserve">Create Clients row and a Free video row in Shoots; send Lianna the onboarding checklist</t>
  </si>
  <si>
    <t xml:space="preserve">Clients → Client ID…Amount paid; Shoots → Shoot ID, Client ID, Shoot type</t>
  </si>
  <si>
    <t xml:space="preserve">Shoot date entered</t>
  </si>
  <si>
    <t xml:space="preserve">Sheets → Google Calendar</t>
  </si>
  <si>
    <t xml:space="preserve">Create event on Azeem's calendar with location; reminder to client the day before</t>
  </si>
  <si>
    <t xml:space="preserve">(calendar only)</t>
  </si>
  <si>
    <t xml:space="preserve">Free video delivered</t>
  </si>
  <si>
    <t xml:space="preserve">Decision window starts; Lianna nudged halfway; Usama alerted on deadline day</t>
  </si>
  <si>
    <t xml:space="preserve">(reads Clients → Free video delivered, Decision deadline)</t>
  </si>
  <si>
    <t xml:space="preserve">WhatsApp message from a new number</t>
  </si>
  <si>
    <t xml:space="preserve">WhatsApp Business API (e.g. Wati) → Make.com</t>
  </si>
  <si>
    <t xml:space="preserve">Add row, Source = WhatsApp; auto-reply with Calendly meeting link</t>
  </si>
  <si>
    <t xml:space="preserve">Inbound → Date received, Source, Phone, Stage</t>
  </si>
  <si>
    <t xml:space="preserve">Instagram DM or comment keyword</t>
  </si>
  <si>
    <t xml:space="preserve">ManyChat → Make.com</t>
  </si>
  <si>
    <t xml:space="preserve">Add row, Source = Instagram DM; reply with meeting link</t>
  </si>
  <si>
    <t xml:space="preserve">Inbound → Date received, Source, Instagram, Stage</t>
  </si>
  <si>
    <t xml:space="preserve">Every morning 8:00</t>
  </si>
  <si>
    <t xml:space="preserve">Apps Script / Make.com</t>
  </si>
  <si>
    <t xml:space="preserve">Message each owner their 'Follow up today' and 'OVERDUE' rows</t>
  </si>
  <si>
    <t xml:space="preserve">(reads Action flag)</t>
  </si>
  <si>
    <t xml:space="preserve">Rules that keep it clean</t>
  </si>
  <si>
    <t xml:space="preserve">• Each column has ONE writer: an app or a person, never both. Grey columns are formulas – nobody types there.</t>
  </si>
  <si>
    <t xml:space="preserve">• Every lead gets a Lead ID (IN-0001 / OUT-0001). Phone or email is the duplicate check.</t>
  </si>
  <si>
    <t xml:space="preserve">• Phase 1 = website form, Calendly, Apollo, Clients, Calendar. Add WhatsApp and Instagram once phase 1 runs smoothly.</t>
  </si>
  <si>
    <t xml:space="preserve">Lead stages</t>
  </si>
  <si>
    <t xml:space="preserve">Inbound sources</t>
  </si>
  <si>
    <t xml:space="preserve">Outbound sources</t>
  </si>
  <si>
    <t xml:space="preserve">Industries</t>
  </si>
  <si>
    <t xml:space="preserve">Team</t>
  </si>
  <si>
    <t xml:space="preserve">Monthly fee (AED, ex VAT)</t>
  </si>
  <si>
    <t xml:space="preserve">Videos / month</t>
  </si>
  <si>
    <t xml:space="preserve">Payment methods</t>
  </si>
  <si>
    <t xml:space="preserve">Back-out reasons</t>
  </si>
  <si>
    <t xml:space="preserve">Shoot types</t>
  </si>
  <si>
    <t xml:space="preserve">Shoot status</t>
  </si>
  <si>
    <t xml:space="preserve">Lost / closed reasons</t>
  </si>
  <si>
    <t xml:space="preserve">Shoot times</t>
  </si>
  <si>
    <t xml:space="preserve">Rule</t>
  </si>
  <si>
    <t xml:space="preserve">Value</t>
  </si>
  <si>
    <t xml:space="preserve">Times (all day)</t>
  </si>
  <si>
    <t xml:space="preserve">Qualification question</t>
  </si>
  <si>
    <t xml:space="preserve">Answer</t>
  </si>
  <si>
    <t xml:space="preserve">Points</t>
  </si>
  <si>
    <t xml:space="preserve">Core industries</t>
  </si>
  <si>
    <t xml:space="preserve">New</t>
  </si>
  <si>
    <t xml:space="preserve">Video style</t>
  </si>
  <si>
    <t xml:space="preserve">Requested</t>
  </si>
  <si>
    <t xml:space="preserve">Scheduled</t>
  </si>
  <si>
    <t xml:space="preserve">No response (4 follow-ups)</t>
  </si>
  <si>
    <t xml:space="preserve">Walk-in customers</t>
  </si>
  <si>
    <t xml:space="preserve">Follow-up gap (days)</t>
  </si>
  <si>
    <t xml:space="preserve">Your rule: follow up every 3 days after a lead goes quiet.</t>
  </si>
  <si>
    <t xml:space="preserve">Contacted</t>
  </si>
  <si>
    <t xml:space="preserve">WhatsApp</t>
  </si>
  <si>
    <t xml:space="preserve">Retail</t>
  </si>
  <si>
    <t xml:space="preserve">Card</t>
  </si>
  <si>
    <t xml:space="preserve">Approved</t>
  </si>
  <si>
    <t xml:space="preserve">Price</t>
  </si>
  <si>
    <t xml:space="preserve">Plan shoot</t>
  </si>
  <si>
    <t xml:space="preserve">Shot</t>
  </si>
  <si>
    <t xml:space="preserve">Max follow-ups before closing</t>
  </si>
  <si>
    <t xml:space="preserve">Your rule: 4 follow-ups, each with new value, then stop outreach.</t>
  </si>
  <si>
    <t xml:space="preserve">Instagram DM</t>
  </si>
  <si>
    <t xml:space="preserve">Google Maps</t>
  </si>
  <si>
    <t xml:space="preserve">Real estate</t>
  </si>
  <si>
    <t xml:space="preserve">Scale</t>
  </si>
  <si>
    <t xml:space="preserve">Cheque</t>
  </si>
  <si>
    <t xml:space="preserve">Backed out</t>
  </si>
  <si>
    <t xml:space="preserve">Timing</t>
  </si>
  <si>
    <t xml:space="preserve">Paid</t>
  </si>
  <si>
    <t xml:space="preserve">Add-on</t>
  </si>
  <si>
    <t xml:space="preserve">Editing</t>
  </si>
  <si>
    <t xml:space="preserve">Not ready</t>
  </si>
  <si>
    <t xml:space="preserve">Online sales</t>
  </si>
  <si>
    <t xml:space="preserve">Decision window after free video (working days)</t>
  </si>
  <si>
    <t xml:space="preserve">NOT DECIDED YET - placeholder of 3 working days. Change this one cell and every deadline updates.</t>
  </si>
  <si>
    <t xml:space="preserve">Meeting booked</t>
  </si>
  <si>
    <t xml:space="preserve">Referral</t>
  </si>
  <si>
    <t xml:space="preserve">Instagram research</t>
  </si>
  <si>
    <t xml:space="preserve">Entertainment</t>
  </si>
  <si>
    <t xml:space="preserve">Cash</t>
  </si>
  <si>
    <t xml:space="preserve">Changed mind</t>
  </si>
  <si>
    <t xml:space="preserve">Event coverage</t>
  </si>
  <si>
    <t xml:space="preserve">Sent for approval</t>
  </si>
  <si>
    <t xml:space="preserve">Went with competitor</t>
  </si>
  <si>
    <t xml:space="preserve">Followers and reach</t>
  </si>
  <si>
    <t xml:space="preserve">Free video delivery promise (working days)</t>
  </si>
  <si>
    <t xml:space="preserve">From the website: delivered within five working days.</t>
  </si>
  <si>
    <t xml:space="preserve">Meeting held</t>
  </si>
  <si>
    <t xml:space="preserve">Walk-in</t>
  </si>
  <si>
    <t xml:space="preserve">Event / networking</t>
  </si>
  <si>
    <t xml:space="preserve">Source: yontro.ae Packages section. Prices exclude 5% VAT.</t>
  </si>
  <si>
    <t xml:space="preserve">Payment link</t>
  </si>
  <si>
    <t xml:space="preserve">Business issue</t>
  </si>
  <si>
    <t xml:space="preserve">In-house team</t>
  </si>
  <si>
    <t xml:space="preserve">A better-looking brand</t>
  </si>
  <si>
    <t xml:space="preserve">Minimum term (months)</t>
  </si>
  <si>
    <t xml:space="preserve">From the website: three-month minimum, then month to month.</t>
  </si>
  <si>
    <t xml:space="preserve">Phone call</t>
  </si>
  <si>
    <t xml:space="preserve">Other</t>
  </si>
  <si>
    <t xml:space="preserve">Beauty / salon</t>
  </si>
  <si>
    <t xml:space="preserve">Posted</t>
  </si>
  <si>
    <t xml:space="preserve">Not a fit</t>
  </si>
  <si>
    <t xml:space="preserve">Max revision rounds per video</t>
  </si>
  <si>
    <t xml:space="preserve">From the website FAQ: two rounds of changes included.</t>
  </si>
  <si>
    <t xml:space="preserve">Contract signed + paid</t>
  </si>
  <si>
    <t xml:space="preserve">Clinic / healthcare</t>
  </si>
  <si>
    <t xml:space="preserve">Lead score for HOT</t>
  </si>
  <si>
    <t xml:space="preserve">Lead qualification: 70+ = Hot. Book the meeting, send the proposal.</t>
  </si>
  <si>
    <t xml:space="preserve">Closed – No response</t>
  </si>
  <si>
    <t xml:space="preserve">Education</t>
  </si>
  <si>
    <t xml:space="preserve">Lead score for WARM</t>
  </si>
  <si>
    <t xml:space="preserve">Lead qualification: 40-69 = Warm. Keep following up. Under 40 = Cold.</t>
  </si>
  <si>
    <t xml:space="preserve">Lost</t>
  </si>
  <si>
    <t xml:space="preserve">Automotive</t>
  </si>
  <si>
    <t xml:space="preserve">Later</t>
  </si>
  <si>
    <t xml:space="preserve">Already strong</t>
  </si>
  <si>
    <t xml:space="preserve">Industry fit (automatic)</t>
  </si>
  <si>
    <t xml:space="preserve">Core industry</t>
  </si>
  <si>
    <t xml:space="preserve">Other industry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</si>
</sst>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d\ dd\-mmm\-yy"/>
    <numFmt numFmtId="166" formatCode="0"/>
    <numFmt numFmtId="167" formatCode="General"/>
    <numFmt numFmtId="168" formatCode="#,##0"/>
    <numFmt numFmtId="169" formatCode="0.0"/>
    <numFmt numFmtId="170" formatCode="0%"/>
    <numFmt numFmtId="171" formatCode="hh:mm"/>
    <numFmt numFmtId="172" formatCode="@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B0B0B"/>
      <name val="Arial"/>
      <family val="0"/>
      <charset val="1"/>
    </font>
    <font>
      <i val="true"/>
      <sz val="11"/>
      <color rgb="FF6B66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B0B0B"/>
      <name val="Arial"/>
      <family val="0"/>
      <charset val="1"/>
    </font>
    <font>
      <i val="true"/>
      <sz val="10"/>
      <color rgb="FF6B665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6B665F"/>
      <name val="Arial"/>
      <family val="0"/>
      <charset val="1"/>
    </font>
    <font>
      <b val="true"/>
      <sz val="9"/>
      <color rgb="FF6B665F"/>
      <name val="Arial"/>
      <family val="0"/>
      <charset val="1"/>
    </font>
    <font>
      <b val="true"/>
      <sz val="12"/>
      <color rgb="FF0B0B0B"/>
      <name val="Arial"/>
      <family val="0"/>
      <charset val="1"/>
    </font>
    <font>
      <b val="true"/>
      <sz val="12"/>
      <color rgb="FFFF5A1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6"/>
      <color rgb="FF0B0B0B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5A1F"/>
        <bgColor rgb="FFEF6C00"/>
      </patternFill>
    </fill>
    <fill>
      <patternFill patternType="solid">
        <fgColor rgb="FFFFFF00"/>
        <bgColor rgb="FFFFFF00"/>
      </patternFill>
    </fill>
    <fill>
      <patternFill patternType="solid">
        <fgColor rgb="FF0B0B0B"/>
        <bgColor rgb="FF000000"/>
      </patternFill>
    </fill>
    <fill>
      <patternFill patternType="solid">
        <fgColor rgb="FF4A4744"/>
        <bgColor rgb="FF1F3A5F"/>
      </patternFill>
    </fill>
    <fill>
      <patternFill patternType="solid">
        <fgColor rgb="FFF4F2EE"/>
        <bgColor rgb="FFE6F0FA"/>
      </patternFill>
    </fill>
    <fill>
      <patternFill patternType="solid">
        <fgColor rgb="FFFFE3B3"/>
        <bgColor rgb="FFFAD4D4"/>
      </patternFill>
    </fill>
    <fill>
      <patternFill patternType="solid">
        <fgColor rgb="FFDCE7F2"/>
        <bgColor rgb="FFE6F0FA"/>
      </patternFill>
    </fill>
    <fill>
      <patternFill patternType="solid">
        <fgColor rgb="FFFAD4D4"/>
        <bgColor rgb="FFFFE3B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0B0B0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B665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A4744"/>
          <bgColor rgb="FF000000"/>
        </patternFill>
      </fill>
    </dxf>
    <dxf>
      <fill>
        <patternFill patternType="solid">
          <fgColor rgb="FFF4F2EE"/>
          <bgColor rgb="FF000000"/>
        </patternFill>
      </fill>
    </dxf>
    <dxf>
      <fill>
        <patternFill patternType="solid">
          <fgColor rgb="FFFF5A1F"/>
          <bgColor rgb="FF000000"/>
        </patternFill>
      </fill>
    </dxf>
    <dxf>
      <fill>
        <patternFill>
          <bgColor rgb="FFDFF3E3"/>
        </patternFill>
      </fill>
    </dxf>
    <dxf>
      <font>
        <name val="Arial"/>
        <charset val="1"/>
        <family val="0"/>
        <color rgb="FF9A958E"/>
      </font>
    </dxf>
    <dxf>
      <font>
        <name val="Arial"/>
        <charset val="1"/>
        <family val="0"/>
        <b val="1"/>
        <color rgb="FF9B1C1C"/>
      </font>
      <fill>
        <patternFill>
          <bgColor rgb="FFFAD4D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5A1F"/>
        </patternFill>
      </fill>
    </dxf>
    <dxf>
      <font>
        <name val="Arial"/>
        <charset val="1"/>
        <family val="0"/>
        <b val="1"/>
      </font>
      <fill>
        <patternFill>
          <bgColor rgb="FFFFE3B3"/>
        </patternFill>
      </fill>
    </dxf>
    <dxf>
      <font>
        <name val="Arial"/>
        <charset val="1"/>
        <family val="0"/>
        <b val="1"/>
        <color rgb="FF4B2E83"/>
      </font>
      <fill>
        <patternFill>
          <bgColor rgb="FFE4DCF2"/>
        </patternFill>
      </fill>
    </dxf>
    <dxf>
      <fill>
        <patternFill>
          <bgColor rgb="FFE6F0FA"/>
        </patternFill>
      </fill>
    </dxf>
    <dxf>
      <font>
        <name val="Arial"/>
        <charset val="1"/>
        <family val="0"/>
        <b val="1"/>
        <color rgb="FF7A4B00"/>
      </font>
      <fill>
        <patternFill>
          <bgColor rgb="FFFFE3B3"/>
        </patternFill>
      </fill>
    </dxf>
    <dxf>
      <font>
        <name val="Arial"/>
        <charset val="1"/>
        <family val="0"/>
        <b val="1"/>
        <color rgb="FF1F3A5F"/>
      </font>
      <fill>
        <patternFill>
          <bgColor rgb="FFDCE7F2"/>
        </patternFill>
      </fill>
    </dxf>
    <dxf>
      <fill>
        <patternFill patternType="solid">
          <fgColor rgb="FFFFE3B3"/>
          <bgColor rgb="FF000000"/>
        </patternFill>
      </fill>
    </dxf>
    <dxf>
      <fill>
        <patternFill patternType="solid">
          <fgColor rgb="FF7A4B00"/>
          <bgColor rgb="FF000000"/>
        </patternFill>
      </fill>
    </dxf>
    <dxf>
      <fill>
        <patternFill patternType="solid">
          <fgColor rgb="FFFAD4D4"/>
          <bgColor rgb="FF000000"/>
        </patternFill>
      </fill>
    </dxf>
    <dxf>
      <fill>
        <patternFill patternType="solid">
          <fgColor rgb="FF9B1C1C"/>
          <bgColor rgb="FF000000"/>
        </patternFill>
      </fill>
    </dxf>
    <dxf>
      <font>
        <name val="Arial"/>
        <charset val="1"/>
        <family val="0"/>
        <b val="1"/>
        <color rgb="FF1E6B3A"/>
      </font>
      <fill>
        <patternFill>
          <bgColor rgb="FFDFF3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7A4B00"/>
      <rgbColor rgb="FF6A1B9A"/>
      <rgbColor rgb="FF008080"/>
      <rgbColor rgb="FFD9D6D0"/>
      <rgbColor rgb="FF757575"/>
      <rgbColor rgb="FF9E9E9E"/>
      <rgbColor rgb="FFC62828"/>
      <rgbColor rgb="FFF4F2EE"/>
      <rgbColor rgb="FFE6F0FA"/>
      <rgbColor rgb="FF660066"/>
      <rgbColor rgb="FFFF5A1F"/>
      <rgbColor rgb="FF1565C0"/>
      <rgbColor rgb="FFE4DC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7F2"/>
      <rgbColor rgb="FFDFF3E3"/>
      <rgbColor rgb="FFFAD4D4"/>
      <rgbColor rgb="FF99CCFF"/>
      <rgbColor rgb="FFFF99CC"/>
      <rgbColor rgb="FFCC99FF"/>
      <rgbColor rgb="FFFFE3B3"/>
      <rgbColor rgb="FF3366FF"/>
      <rgbColor rgb="FF33CCCC"/>
      <rgbColor rgb="FF99CC00"/>
      <rgbColor rgb="FFFFCC00"/>
      <rgbColor rgb="FFFF9900"/>
      <rgbColor rgb="FFEF6C00"/>
      <rgbColor rgb="FF6B665F"/>
      <rgbColor rgb="FF9A958E"/>
      <rgbColor rgb="FF1F3A5F"/>
      <rgbColor rgb="FF2E7D32"/>
      <rgbColor rgb="FF0B0B0B"/>
      <rgbColor rgb="FF333300"/>
      <rgbColor rgb="FF9B1C1C"/>
      <rgbColor rgb="FF993366"/>
      <rgbColor rgb="FF4B2E83"/>
      <rgbColor rgb="FF4A47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5A1F"/>
    <pageSetUpPr fitToPage="false"/>
  </sheetPr>
  <dimension ref="B1:C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24.4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</row>
    <row r="5" customFormat="false" ht="15" hidden="false" customHeight="false" outlineLevel="0" collapsed="false">
      <c r="B5" s="5" t="s">
        <v>3</v>
      </c>
      <c r="C5" s="6" t="s">
        <v>4</v>
      </c>
    </row>
    <row r="6" customFormat="false" ht="15" hidden="false" customHeight="false" outlineLevel="0" collapsed="false">
      <c r="B6" s="5" t="s">
        <v>5</v>
      </c>
      <c r="C6" s="6" t="s">
        <v>6</v>
      </c>
    </row>
    <row r="7" customFormat="false" ht="15" hidden="false" customHeight="false" outlineLevel="0" collapsed="false">
      <c r="B7" s="5" t="s">
        <v>7</v>
      </c>
      <c r="C7" s="6" t="s">
        <v>8</v>
      </c>
    </row>
    <row r="8" customFormat="false" ht="15" hidden="false" customHeight="false" outlineLevel="0" collapsed="false">
      <c r="B8" s="5" t="s">
        <v>9</v>
      </c>
      <c r="C8" s="6" t="s">
        <v>10</v>
      </c>
    </row>
    <row r="9" customFormat="false" ht="23.85" hidden="false" customHeight="false" outlineLevel="0" collapsed="false">
      <c r="B9" s="5" t="s">
        <v>11</v>
      </c>
      <c r="C9" s="6" t="s">
        <v>12</v>
      </c>
    </row>
    <row r="11" customFormat="false" ht="15" hidden="false" customHeight="false" outlineLevel="0" collapsed="false">
      <c r="B11" s="3" t="s">
        <v>13</v>
      </c>
      <c r="C11" s="4"/>
    </row>
    <row r="12" customFormat="false" ht="15" hidden="false" customHeight="false" outlineLevel="0" collapsed="false">
      <c r="B12" s="5" t="s">
        <v>14</v>
      </c>
      <c r="C12" s="6" t="s">
        <v>15</v>
      </c>
    </row>
    <row r="13" customFormat="false" ht="15" hidden="false" customHeight="false" outlineLevel="0" collapsed="false">
      <c r="B13" s="5" t="s">
        <v>16</v>
      </c>
      <c r="C13" s="6" t="s">
        <v>17</v>
      </c>
    </row>
    <row r="14" customFormat="false" ht="15" hidden="false" customHeight="false" outlineLevel="0" collapsed="false">
      <c r="B14" s="5" t="s">
        <v>18</v>
      </c>
      <c r="C14" s="6" t="s">
        <v>19</v>
      </c>
    </row>
    <row r="15" customFormat="false" ht="15" hidden="false" customHeight="false" outlineLevel="0" collapsed="false">
      <c r="B15" s="5" t="s">
        <v>20</v>
      </c>
      <c r="C15" s="6" t="s">
        <v>21</v>
      </c>
    </row>
    <row r="16" customFormat="false" ht="15" hidden="false" customHeight="false" outlineLevel="0" collapsed="false">
      <c r="B16" s="5" t="s">
        <v>22</v>
      </c>
      <c r="C16" s="6" t="s">
        <v>23</v>
      </c>
    </row>
    <row r="17" customFormat="false" ht="15" hidden="false" customHeight="false" outlineLevel="0" collapsed="false">
      <c r="B17" s="5" t="s">
        <v>24</v>
      </c>
      <c r="C17" s="6" t="s">
        <v>25</v>
      </c>
    </row>
    <row r="18" customFormat="false" ht="15" hidden="false" customHeight="false" outlineLevel="0" collapsed="false">
      <c r="B18" s="5" t="s">
        <v>26</v>
      </c>
      <c r="C18" s="6" t="s">
        <v>27</v>
      </c>
    </row>
    <row r="20" customFormat="false" ht="15" hidden="false" customHeight="false" outlineLevel="0" collapsed="false">
      <c r="B20" s="3" t="s">
        <v>28</v>
      </c>
      <c r="C20" s="4"/>
    </row>
    <row r="21" customFormat="false" ht="15" hidden="false" customHeight="false" outlineLevel="0" collapsed="false">
      <c r="B21" s="5" t="s">
        <v>29</v>
      </c>
      <c r="C21" s="6" t="s">
        <v>30</v>
      </c>
    </row>
    <row r="22" customFormat="false" ht="15" hidden="false" customHeight="false" outlineLevel="0" collapsed="false">
      <c r="B22" s="5"/>
      <c r="C22" s="6" t="s">
        <v>31</v>
      </c>
    </row>
    <row r="23" customFormat="false" ht="15" hidden="false" customHeight="false" outlineLevel="0" collapsed="false">
      <c r="B23" s="5" t="s">
        <v>32</v>
      </c>
      <c r="C23" s="6" t="s">
        <v>33</v>
      </c>
    </row>
    <row r="24" customFormat="false" ht="15" hidden="false" customHeight="false" outlineLevel="0" collapsed="false">
      <c r="B24" s="5" t="s">
        <v>34</v>
      </c>
      <c r="C24" s="6" t="s">
        <v>35</v>
      </c>
    </row>
    <row r="26" customFormat="false" ht="15" hidden="false" customHeight="false" outlineLevel="0" collapsed="false">
      <c r="B26" s="3" t="s">
        <v>36</v>
      </c>
      <c r="C26" s="4"/>
    </row>
    <row r="27" customFormat="false" ht="15" hidden="false" customHeight="false" outlineLevel="0" collapsed="false">
      <c r="B27" s="5" t="s">
        <v>37</v>
      </c>
      <c r="C27" s="6" t="s">
        <v>38</v>
      </c>
    </row>
    <row r="28" customFormat="false" ht="15" hidden="false" customHeight="false" outlineLevel="0" collapsed="false">
      <c r="B28" s="5" t="s">
        <v>39</v>
      </c>
      <c r="C28" s="6" t="s">
        <v>40</v>
      </c>
    </row>
    <row r="29" customFormat="false" ht="15" hidden="false" customHeight="false" outlineLevel="0" collapsed="false">
      <c r="B29" s="5" t="s">
        <v>41</v>
      </c>
      <c r="C29" s="6" t="s">
        <v>42</v>
      </c>
    </row>
    <row r="30" customFormat="false" ht="15" hidden="false" customHeight="false" outlineLevel="0" collapsed="false">
      <c r="B30" s="5" t="s">
        <v>43</v>
      </c>
      <c r="C30" s="6" t="s">
        <v>44</v>
      </c>
    </row>
    <row r="31" customFormat="false" ht="15" hidden="false" customHeight="false" outlineLevel="0" collapsed="false">
      <c r="B31" s="5" t="s">
        <v>45</v>
      </c>
      <c r="C31" s="6" t="s">
        <v>46</v>
      </c>
    </row>
    <row r="32" customFormat="false" ht="15" hidden="false" customHeight="false" outlineLevel="0" collapsed="false">
      <c r="B32" s="5" t="s">
        <v>47</v>
      </c>
      <c r="C32" s="6" t="s">
        <v>48</v>
      </c>
    </row>
    <row r="33" customFormat="false" ht="15" hidden="false" customHeight="false" outlineLevel="0" collapsed="false">
      <c r="B33" s="5" t="s">
        <v>49</v>
      </c>
      <c r="C33" s="6" t="s">
        <v>50</v>
      </c>
    </row>
    <row r="34" customFormat="false" ht="15" hidden="false" customHeight="false" outlineLevel="0" collapsed="false">
      <c r="B34" s="5" t="s">
        <v>51</v>
      </c>
      <c r="C34" s="6" t="s">
        <v>52</v>
      </c>
    </row>
    <row r="35" customFormat="false" ht="15" hidden="false" customHeight="false" outlineLevel="0" collapsed="false">
      <c r="B35" s="5" t="s">
        <v>53</v>
      </c>
      <c r="C35" s="7" t="s">
        <v>54</v>
      </c>
    </row>
    <row r="37" customFormat="false" ht="15" hidden="false" customHeight="false" outlineLevel="0" collapsed="false">
      <c r="B37" s="3" t="s">
        <v>55</v>
      </c>
      <c r="C37" s="4"/>
    </row>
    <row r="38" customFormat="false" ht="23.85" hidden="false" customHeight="false" outlineLevel="0" collapsed="false">
      <c r="B38" s="5" t="s">
        <v>56</v>
      </c>
      <c r="C38" s="6" t="s">
        <v>57</v>
      </c>
    </row>
    <row r="39" customFormat="false" ht="15" hidden="false" customHeight="false" outlineLevel="0" collapsed="false">
      <c r="B39" s="5" t="s">
        <v>58</v>
      </c>
      <c r="C39" s="6" t="s">
        <v>59</v>
      </c>
    </row>
    <row r="40" customFormat="false" ht="15" hidden="false" customHeight="false" outlineLevel="0" collapsed="false">
      <c r="B40" s="5" t="s">
        <v>60</v>
      </c>
      <c r="C40" s="6" t="s">
        <v>61</v>
      </c>
    </row>
    <row r="41" customFormat="false" ht="15" hidden="false" customHeight="false" outlineLevel="0" collapsed="false">
      <c r="B41" s="5" t="s">
        <v>62</v>
      </c>
      <c r="C41" s="6" t="s">
        <v>63</v>
      </c>
    </row>
    <row r="43" customFormat="false" ht="15" hidden="false" customHeight="false" outlineLevel="0" collapsed="false">
      <c r="B43" s="3" t="s">
        <v>64</v>
      </c>
      <c r="C43" s="4"/>
    </row>
    <row r="44" customFormat="false" ht="15" hidden="false" customHeight="false" outlineLevel="0" collapsed="false">
      <c r="B44" s="5" t="s">
        <v>65</v>
      </c>
      <c r="C44" s="6" t="s">
        <v>66</v>
      </c>
    </row>
    <row r="45" customFormat="false" ht="15" hidden="false" customHeight="false" outlineLevel="0" collapsed="false">
      <c r="B45" s="5" t="s">
        <v>67</v>
      </c>
      <c r="C45" s="6" t="s">
        <v>68</v>
      </c>
    </row>
    <row r="46" customFormat="false" ht="15" hidden="false" customHeight="false" outlineLevel="0" collapsed="false">
      <c r="B46" s="5" t="s">
        <v>69</v>
      </c>
      <c r="C46" s="6" t="s">
        <v>70</v>
      </c>
    </row>
    <row r="47" customFormat="false" ht="15" hidden="false" customHeight="false" outlineLevel="0" collapsed="false">
      <c r="B47" s="5" t="s">
        <v>71</v>
      </c>
      <c r="C47" s="6" t="s">
        <v>72</v>
      </c>
    </row>
    <row r="49" customFormat="false" ht="15" hidden="false" customHeight="false" outlineLevel="0" collapsed="false">
      <c r="B49" s="3" t="s">
        <v>73</v>
      </c>
      <c r="C49" s="4"/>
    </row>
    <row r="50" customFormat="false" ht="15" hidden="false" customHeight="false" outlineLevel="0" collapsed="false">
      <c r="B50" s="5" t="s">
        <v>74</v>
      </c>
      <c r="C50" s="6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0B0B"/>
    <pageSetUpPr fitToPage="false"/>
  </sheetPr>
  <dimension ref="B1:J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5" min="3" style="0" width="16"/>
    <col collapsed="false" customWidth="true" hidden="false" outlineLevel="0" max="6" min="6" style="0" width="4"/>
    <col collapsed="false" customWidth="true" hidden="false" outlineLevel="0" max="7" min="7" style="0" width="30"/>
    <col collapsed="false" customWidth="true" hidden="false" outlineLevel="0" max="10" min="8" style="0" width="14"/>
  </cols>
  <sheetData>
    <row r="1" customFormat="false" ht="22.05" hidden="false" customHeight="false" outlineLevel="0" collapsed="false">
      <c r="B1" s="8" t="s">
        <v>76</v>
      </c>
    </row>
    <row r="2" customFormat="false" ht="15" hidden="false" customHeight="false" outlineLevel="0" collapsed="false">
      <c r="B2" s="9" t="s">
        <v>77</v>
      </c>
    </row>
    <row r="3" customFormat="false" ht="15" hidden="false" customHeight="false" outlineLevel="0" collapsed="false">
      <c r="B3" s="10" t="s">
        <v>78</v>
      </c>
      <c r="C3" s="11"/>
      <c r="D3" s="12" t="s">
        <v>79</v>
      </c>
    </row>
    <row r="4" customFormat="false" ht="15" hidden="false" customHeight="false" outlineLevel="0" collapsed="false">
      <c r="B4" s="10" t="s">
        <v>80</v>
      </c>
      <c r="C4" s="13" t="n">
        <f aca="true">IF(C3="",TODAY(),C3)</f>
        <v>46316</v>
      </c>
    </row>
    <row r="5" customFormat="false" ht="15" hidden="false" customHeight="false" outlineLevel="0" collapsed="false">
      <c r="B5" s="10" t="s">
        <v>81</v>
      </c>
      <c r="C5" s="13" t="n">
        <f aca="false">C4-WEEKDAY(C4,2)+1</f>
        <v>46314</v>
      </c>
    </row>
    <row r="6" customFormat="false" ht="15" hidden="false" customHeight="false" outlineLevel="0" collapsed="false">
      <c r="B6" s="10" t="s">
        <v>82</v>
      </c>
      <c r="C6" s="13" t="n">
        <f aca="false">DATE(YEAR(C4),MONTH(C4),1)</f>
        <v>46296</v>
      </c>
    </row>
    <row r="8" customFormat="false" ht="15" hidden="false" customHeight="false" outlineLevel="0" collapsed="false">
      <c r="B8" s="14" t="s">
        <v>83</v>
      </c>
      <c r="C8" s="15"/>
      <c r="D8" s="15"/>
      <c r="E8" s="15"/>
      <c r="G8" s="14" t="s">
        <v>84</v>
      </c>
      <c r="H8" s="15"/>
      <c r="I8" s="15"/>
      <c r="J8" s="15"/>
    </row>
    <row r="9" customFormat="false" ht="15" hidden="false" customHeight="false" outlineLevel="0" collapsed="false">
      <c r="C9" s="16" t="s">
        <v>16</v>
      </c>
      <c r="D9" s="16" t="s">
        <v>18</v>
      </c>
      <c r="E9" s="16" t="s">
        <v>85</v>
      </c>
      <c r="H9" s="16" t="s">
        <v>16</v>
      </c>
      <c r="I9" s="16" t="s">
        <v>18</v>
      </c>
      <c r="J9" s="16" t="s">
        <v>85</v>
      </c>
    </row>
    <row r="10" customFormat="false" ht="15" hidden="false" customHeight="false" outlineLevel="0" collapsed="false">
      <c r="B10" s="17" t="s">
        <v>86</v>
      </c>
      <c r="C10" s="18" t="n">
        <f aca="false">COUNTIFS(Inbound!$B$2:$B$501,"&gt;="&amp;$C$4,Inbound!$B$2:$B$501,"&lt;"&amp;$C$4+1,Inbound!$E$2:$E$501,"&lt;&gt;")</f>
        <v>0</v>
      </c>
      <c r="D10" s="19" t="n">
        <f aca="false">COUNTIFS(Outbound!$B$2:$B$501,"&gt;="&amp;$C$4,Outbound!$B$2:$B$501,"&lt;"&amp;$C$4+1,Outbound!$D$2:$D$501,"&lt;&gt;")</f>
        <v>0</v>
      </c>
      <c r="E10" s="19" t="n">
        <f aca="false">C10+D10</f>
        <v>0</v>
      </c>
      <c r="G10" s="17" t="str">
        <f aca="false">Settings!A2</f>
        <v>New</v>
      </c>
      <c r="H10" s="17" t="n">
        <f aca="false">COUNTIF(Inbound!$AA$2:$AA$501,G10)</f>
        <v>0</v>
      </c>
      <c r="I10" s="17" t="n">
        <f aca="false">COUNTIF(Outbound!$X$2:$X$501,G10)</f>
        <v>0</v>
      </c>
      <c r="J10" s="20" t="n">
        <f aca="false">H10+I10</f>
        <v>0</v>
      </c>
    </row>
    <row r="11" customFormat="false" ht="15" hidden="false" customHeight="false" outlineLevel="0" collapsed="false">
      <c r="B11" s="17" t="s">
        <v>87</v>
      </c>
      <c r="C11" s="18" t="n">
        <f aca="false">COUNTIFS(Inbound!$AB$2:$AB$501,$C$4,Inbound!$E$2:$E$501,"&lt;&gt;")</f>
        <v>0</v>
      </c>
      <c r="D11" s="19" t="n">
        <f aca="false">COUNTIFS(Outbound!$Y$2:$Y$501,$C$4,Outbound!$D$2:$D$501,"&lt;&gt;")</f>
        <v>0</v>
      </c>
      <c r="E11" s="19" t="n">
        <f aca="false">C11+D11</f>
        <v>0</v>
      </c>
      <c r="G11" s="17" t="str">
        <f aca="false">Settings!A3</f>
        <v>Contacted</v>
      </c>
      <c r="H11" s="17" t="n">
        <f aca="false">COUNTIF(Inbound!$AA$2:$AA$501,G11)</f>
        <v>0</v>
      </c>
      <c r="I11" s="17" t="n">
        <f aca="false">COUNTIF(Outbound!$X$2:$X$501,G11)</f>
        <v>0</v>
      </c>
      <c r="J11" s="20" t="n">
        <f aca="false">H11+I11</f>
        <v>0</v>
      </c>
    </row>
    <row r="12" customFormat="false" ht="15" hidden="false" customHeight="false" outlineLevel="0" collapsed="false">
      <c r="B12" s="17" t="s">
        <v>88</v>
      </c>
      <c r="C12" s="18" t="n">
        <f aca="false">COUNTIFS(Inbound!$AD$2:$AD$501,$C$4)</f>
        <v>0</v>
      </c>
      <c r="D12" s="19" t="n">
        <f aca="false">COUNTIFS(Outbound!$AA$2:$AA$501,$C$4)</f>
        <v>0</v>
      </c>
      <c r="E12" s="19" t="n">
        <f aca="false">C12+D12</f>
        <v>0</v>
      </c>
      <c r="G12" s="17" t="str">
        <f aca="false">Settings!A4</f>
        <v>Replied</v>
      </c>
      <c r="H12" s="17" t="n">
        <f aca="false">COUNTIF(Inbound!$AA$2:$AA$501,G12)</f>
        <v>0</v>
      </c>
      <c r="I12" s="17" t="n">
        <f aca="false">COUNTIF(Outbound!$X$2:$X$501,G12)</f>
        <v>1</v>
      </c>
      <c r="J12" s="20" t="n">
        <f aca="false">H12+I12</f>
        <v>1</v>
      </c>
    </row>
    <row r="13" customFormat="false" ht="15" hidden="false" customHeight="false" outlineLevel="0" collapsed="false">
      <c r="B13" s="17" t="s">
        <v>89</v>
      </c>
      <c r="C13" s="18" t="n">
        <f aca="false">COUNTIFS(Inbound!$AE$2:$AE$501,"&gt;="&amp;$C$4,Inbound!$AE$2:$AE$501,"&lt;"&amp;$C$4+1)</f>
        <v>0</v>
      </c>
      <c r="D13" s="19" t="n">
        <f aca="false">COUNTIFS(Outbound!$AB$2:$AB$501,"&gt;="&amp;$C$4,Outbound!$AB$2:$AB$501,"&lt;"&amp;$C$4+1)</f>
        <v>0</v>
      </c>
      <c r="E13" s="19" t="n">
        <f aca="false">C13+D13</f>
        <v>0</v>
      </c>
      <c r="G13" s="17" t="str">
        <f aca="false">Settings!A5</f>
        <v>Meeting booked</v>
      </c>
      <c r="H13" s="17" t="n">
        <f aca="false">COUNTIF(Inbound!$AA$2:$AA$501,G13)</f>
        <v>0</v>
      </c>
      <c r="I13" s="17" t="n">
        <f aca="false">COUNTIF(Outbound!$X$2:$X$501,G13)</f>
        <v>0</v>
      </c>
      <c r="J13" s="20" t="n">
        <f aca="false">H13+I13</f>
        <v>0</v>
      </c>
    </row>
    <row r="14" customFormat="false" ht="15" hidden="false" customHeight="false" outlineLevel="0" collapsed="false">
      <c r="B14" s="17" t="s">
        <v>90</v>
      </c>
      <c r="C14" s="18" t="n">
        <f aca="false">COUNTIF(Inbound!$AK$2:$AK$501,"OVERDUE follow-up")</f>
        <v>1</v>
      </c>
      <c r="D14" s="19" t="n">
        <f aca="false">COUNTIF(Outbound!$AH$2:$AH$501,"OVERDUE follow-up")</f>
        <v>1</v>
      </c>
      <c r="E14" s="21" t="n">
        <f aca="false">C14+D14</f>
        <v>2</v>
      </c>
      <c r="G14" s="17" t="str">
        <f aca="false">Settings!A6</f>
        <v>Meeting held</v>
      </c>
      <c r="H14" s="17" t="n">
        <f aca="false">COUNTIF(Inbound!$AA$2:$AA$501,G14)</f>
        <v>0</v>
      </c>
      <c r="I14" s="17" t="n">
        <f aca="false">COUNTIF(Outbound!$X$2:$X$501,G14)</f>
        <v>0</v>
      </c>
      <c r="J14" s="20" t="n">
        <f aca="false">H14+I14</f>
        <v>0</v>
      </c>
    </row>
    <row r="15" customFormat="false" ht="15" hidden="false" customHeight="false" outlineLevel="0" collapsed="false">
      <c r="B15" s="17" t="s">
        <v>91</v>
      </c>
      <c r="C15" s="22" t="n">
        <f aca="false">COUNTIFS(Inbound!$E$2:$E$501,"&lt;&gt;",Inbound!$N$2:$N$501,"")</f>
        <v>0</v>
      </c>
      <c r="G15" s="17" t="str">
        <f aca="false">Settings!A7</f>
        <v>Proposal sent</v>
      </c>
      <c r="H15" s="17" t="n">
        <f aca="false">COUNTIF(Inbound!$AA$2:$AA$501,G15)</f>
        <v>1</v>
      </c>
      <c r="I15" s="17" t="n">
        <f aca="false">COUNTIF(Outbound!$X$2:$X$501,G15)</f>
        <v>0</v>
      </c>
      <c r="J15" s="20" t="n">
        <f aca="false">H15+I15</f>
        <v>1</v>
      </c>
    </row>
    <row r="16" customFormat="false" ht="15" hidden="false" customHeight="false" outlineLevel="0" collapsed="false">
      <c r="B16" s="17" t="s">
        <v>22</v>
      </c>
      <c r="C16" s="18" t="n">
        <f aca="false">COUNTIFS(Shoots!$E$2:$E$501,$C$4,Shoots!$A$2:$A$501,"&lt;&gt;")</f>
        <v>0</v>
      </c>
      <c r="G16" s="17" t="str">
        <f aca="false">Settings!A8</f>
        <v>Contract signed + paid</v>
      </c>
      <c r="H16" s="17" t="n">
        <f aca="false">COUNTIF(Inbound!$AA$2:$AA$501,G16)</f>
        <v>0</v>
      </c>
      <c r="I16" s="17" t="n">
        <f aca="false">COUNTIF(Outbound!$X$2:$X$501,G16)</f>
        <v>0</v>
      </c>
      <c r="J16" s="20" t="n">
        <f aca="false">H16+I16</f>
        <v>0</v>
      </c>
    </row>
    <row r="17" customFormat="false" ht="15" hidden="false" customHeight="false" outlineLevel="0" collapsed="false">
      <c r="B17" s="17" t="s">
        <v>92</v>
      </c>
      <c r="C17" s="18" t="n">
        <f aca="false">COUNTIFS(Clients!$N$2:$N$501,$C$4)</f>
        <v>0</v>
      </c>
      <c r="G17" s="17" t="str">
        <f aca="false">Settings!A9</f>
        <v>Closed – No response</v>
      </c>
      <c r="H17" s="17" t="n">
        <f aca="false">COUNTIF(Inbound!$AA$2:$AA$501,G17)</f>
        <v>0</v>
      </c>
      <c r="I17" s="17" t="n">
        <f aca="false">COUNTIF(Outbound!$X$2:$X$501,G17)</f>
        <v>0</v>
      </c>
      <c r="J17" s="20" t="n">
        <f aca="false">H17+I17</f>
        <v>0</v>
      </c>
    </row>
    <row r="18" customFormat="false" ht="15" hidden="false" customHeight="false" outlineLevel="0" collapsed="false">
      <c r="B18" s="17" t="s">
        <v>93</v>
      </c>
      <c r="C18" s="18" t="n">
        <f aca="false">COUNTIFS(Clients!$O$2:$O$501,$C$4,Clients!$Q$2:$Q$501,"Decision*")</f>
        <v>0</v>
      </c>
      <c r="G18" s="17" t="str">
        <f aca="false">Settings!A10</f>
        <v>Lost</v>
      </c>
      <c r="H18" s="17" t="n">
        <f aca="false">COUNTIF(Inbound!$AA$2:$AA$501,G18)</f>
        <v>0</v>
      </c>
      <c r="I18" s="17" t="n">
        <f aca="false">COUNTIF(Outbound!$X$2:$X$501,G18)</f>
        <v>0</v>
      </c>
      <c r="J18" s="20" t="n">
        <f aca="false">H18+I18</f>
        <v>0</v>
      </c>
    </row>
    <row r="19" customFormat="false" ht="15" hidden="false" customHeight="false" outlineLevel="0" collapsed="false">
      <c r="B19" s="17" t="s">
        <v>94</v>
      </c>
      <c r="C19" s="18" t="n">
        <f aca="false">COUNTIFS(Clients!$J$2:$J$501,$C$4)</f>
        <v>0</v>
      </c>
      <c r="G19" s="23" t="s">
        <v>95</v>
      </c>
      <c r="H19" s="23" t="n">
        <f aca="false">SUM(H10:H18)</f>
        <v>1</v>
      </c>
      <c r="I19" s="23" t="n">
        <f aca="false">SUM(I10:I18)</f>
        <v>1</v>
      </c>
      <c r="J19" s="23" t="n">
        <f aca="false">SUM(J10:J18)</f>
        <v>2</v>
      </c>
    </row>
    <row r="20" customFormat="false" ht="15" hidden="false" customHeight="false" outlineLevel="0" collapsed="false">
      <c r="B20" s="17" t="s">
        <v>96</v>
      </c>
      <c r="C20" s="24" t="n">
        <f aca="false">SUMIFS(Clients!$K$2:$K$501,Clients!$J$2:$J$501,$C$4)</f>
        <v>0</v>
      </c>
    </row>
    <row r="21" customFormat="false" ht="15" hidden="false" customHeight="false" outlineLevel="0" collapsed="false">
      <c r="B21" s="17" t="s">
        <v>97</v>
      </c>
      <c r="C21" s="18" t="n">
        <f aca="false">COUNTIF(Clients!$S$2:$S$501,"Requested")+COUNTIF(Clients!$S$2:$S$501,"Approved")</f>
        <v>0</v>
      </c>
      <c r="G21" s="14" t="s">
        <v>98</v>
      </c>
      <c r="H21" s="15"/>
      <c r="I21" s="15"/>
      <c r="J21" s="15"/>
    </row>
    <row r="22" customFormat="false" ht="15" hidden="false" customHeight="false" outlineLevel="0" collapsed="false">
      <c r="H22" s="25" t="s">
        <v>99</v>
      </c>
      <c r="I22" s="25" t="s">
        <v>100</v>
      </c>
    </row>
    <row r="23" customFormat="false" ht="15" hidden="false" customHeight="false" outlineLevel="0" collapsed="false">
      <c r="B23" s="14" t="s">
        <v>101</v>
      </c>
      <c r="C23" s="15"/>
      <c r="D23" s="15"/>
      <c r="E23" s="15"/>
      <c r="G23" s="17" t="str">
        <f aca="false">Settings!E2</f>
        <v>Usama</v>
      </c>
      <c r="H23" s="17" t="n">
        <f aca="false">COUNTIFS(Inbound!$Z$2:$Z$501,G23,Inbound!$E$2:$E$501,"&lt;&gt;")-COUNTIFS(Inbound!$Z$2:$Z$501,G23,Inbound!$AA$2:$AA$501,"Contract signed + paid")-COUNTIFS(Inbound!$Z$2:$Z$501,G23,Inbound!$AA$2:$AA$501,"Closed – No response")-COUNTIFS(Inbound!$Z$2:$Z$501,G23,Inbound!$AA$2:$AA$501,"Lost")+COUNTIFS(Outbound!$W$2:$W$501,G23,Outbound!$D$2:$D$501,"&lt;&gt;")-COUNTIFS(Outbound!$W$2:$W$501,G23,Outbound!$X$2:$X$501,"Contract signed + paid")-COUNTIFS(Outbound!$W$2:$W$501,G23,Outbound!$X$2:$X$501,"Closed – No response")-COUNTIFS(Outbound!$W$2:$W$501,G23,Outbound!$X$2:$X$501,"Lost")</f>
        <v>2</v>
      </c>
      <c r="I23" s="17" t="n">
        <f aca="false">COUNTIFS(Inbound!$Z$2:$Z$501,G23,Inbound!$AK$2:$AK$501,"OVERDUE follow-up")+COUNTIFS(Inbound!$Z$2:$Z$501,G23,Inbound!$AK$2:$AK$501,"Follow up today")+COUNTIFS(Outbound!$W$2:$W$501,G23,Outbound!$AH$2:$AH$501,"OVERDUE follow-up")+COUNTIFS(Outbound!$W$2:$W$501,G23,Outbound!$AH$2:$AH$501,"Follow up today")</f>
        <v>2</v>
      </c>
    </row>
    <row r="24" customFormat="false" ht="15" hidden="false" customHeight="false" outlineLevel="0" collapsed="false">
      <c r="C24" s="16" t="s">
        <v>16</v>
      </c>
      <c r="D24" s="16" t="s">
        <v>18</v>
      </c>
      <c r="E24" s="16" t="s">
        <v>85</v>
      </c>
      <c r="G24" s="17" t="str">
        <f aca="false">Settings!E3</f>
        <v>Lianna</v>
      </c>
      <c r="H24" s="17" t="n">
        <f aca="false">COUNTIFS(Inbound!$Z$2:$Z$501,G24,Inbound!$E$2:$E$501,"&lt;&gt;")-COUNTIFS(Inbound!$Z$2:$Z$501,G24,Inbound!$AA$2:$AA$501,"Contract signed + paid")-COUNTIFS(Inbound!$Z$2:$Z$501,G24,Inbound!$AA$2:$AA$501,"Closed – No response")-COUNTIFS(Inbound!$Z$2:$Z$501,G24,Inbound!$AA$2:$AA$501,"Lost")+COUNTIFS(Outbound!$W$2:$W$501,G24,Outbound!$D$2:$D$501,"&lt;&gt;")-COUNTIFS(Outbound!$W$2:$W$501,G24,Outbound!$X$2:$X$501,"Contract signed + paid")-COUNTIFS(Outbound!$W$2:$W$501,G24,Outbound!$X$2:$X$501,"Closed – No response")-COUNTIFS(Outbound!$W$2:$W$501,G24,Outbound!$X$2:$X$501,"Lost")</f>
        <v>0</v>
      </c>
      <c r="I24" s="17" t="n">
        <f aca="false">COUNTIFS(Inbound!$Z$2:$Z$501,G24,Inbound!$AK$2:$AK$501,"OVERDUE follow-up")+COUNTIFS(Inbound!$Z$2:$Z$501,G24,Inbound!$AK$2:$AK$501,"Follow up today")+COUNTIFS(Outbound!$W$2:$W$501,G24,Outbound!$AH$2:$AH$501,"OVERDUE follow-up")+COUNTIFS(Outbound!$W$2:$W$501,G24,Outbound!$AH$2:$AH$501,"Follow up today")</f>
        <v>0</v>
      </c>
    </row>
    <row r="25" customFormat="false" ht="15" hidden="false" customHeight="false" outlineLevel="0" collapsed="false">
      <c r="B25" s="17" t="s">
        <v>102</v>
      </c>
      <c r="C25" s="18" t="n">
        <f aca="false">COUNTIFS(Inbound!$B$2:$B$501,"&gt;="&amp;$C$5,Inbound!$B$2:$B$501,"&lt;"&amp;$C$5+7,Inbound!$E$2:$E$501,"&lt;&gt;")</f>
        <v>0</v>
      </c>
      <c r="D25" s="19" t="n">
        <f aca="false">COUNTIFS(Outbound!$B$2:$B$501,"&gt;="&amp;$C$5,Outbound!$B$2:$B$501,"&lt;"&amp;$C$5+7,Outbound!$D$2:$D$501,"&lt;&gt;")</f>
        <v>0</v>
      </c>
      <c r="E25" s="19" t="n">
        <f aca="false">C25+D25</f>
        <v>0</v>
      </c>
      <c r="G25" s="17" t="str">
        <f aca="false">Settings!E4</f>
        <v>Azeem</v>
      </c>
      <c r="H25" s="17" t="n">
        <f aca="false">COUNTIFS(Inbound!$Z$2:$Z$501,G25,Inbound!$E$2:$E$501,"&lt;&gt;")-COUNTIFS(Inbound!$Z$2:$Z$501,G25,Inbound!$AA$2:$AA$501,"Contract signed + paid")-COUNTIFS(Inbound!$Z$2:$Z$501,G25,Inbound!$AA$2:$AA$501,"Closed – No response")-COUNTIFS(Inbound!$Z$2:$Z$501,G25,Inbound!$AA$2:$AA$501,"Lost")+COUNTIFS(Outbound!$W$2:$W$501,G25,Outbound!$D$2:$D$501,"&lt;&gt;")-COUNTIFS(Outbound!$W$2:$W$501,G25,Outbound!$X$2:$X$501,"Contract signed + paid")-COUNTIFS(Outbound!$W$2:$W$501,G25,Outbound!$X$2:$X$501,"Closed – No response")-COUNTIFS(Outbound!$W$2:$W$501,G25,Outbound!$X$2:$X$501,"Lost")</f>
        <v>0</v>
      </c>
      <c r="I25" s="17" t="n">
        <f aca="false">COUNTIFS(Inbound!$Z$2:$Z$501,G25,Inbound!$AK$2:$AK$501,"OVERDUE follow-up")+COUNTIFS(Inbound!$Z$2:$Z$501,G25,Inbound!$AK$2:$AK$501,"Follow up today")+COUNTIFS(Outbound!$W$2:$W$501,G25,Outbound!$AH$2:$AH$501,"OVERDUE follow-up")+COUNTIFS(Outbound!$W$2:$W$501,G25,Outbound!$AH$2:$AH$501,"Follow up today")</f>
        <v>0</v>
      </c>
    </row>
    <row r="26" customFormat="false" ht="15" hidden="false" customHeight="false" outlineLevel="0" collapsed="false">
      <c r="B26" s="17" t="s">
        <v>89</v>
      </c>
      <c r="C26" s="18" t="n">
        <f aca="false">COUNTIFS(Inbound!$AE$2:$AE$501,"&gt;="&amp;$C$5,Inbound!$AE$2:$AE$501,"&lt;"&amp;$C$5+7)</f>
        <v>0</v>
      </c>
      <c r="D26" s="19" t="n">
        <f aca="false">COUNTIFS(Outbound!$AB$2:$AB$501,"&gt;="&amp;$C$5,Outbound!$AB$2:$AB$501,"&lt;"&amp;$C$5+7)</f>
        <v>0</v>
      </c>
      <c r="E26" s="19" t="n">
        <f aca="false">C26+D26</f>
        <v>0</v>
      </c>
      <c r="G26" s="17" t="str">
        <f aca="false">Settings!E5</f>
        <v>Owner</v>
      </c>
      <c r="H26" s="17" t="n">
        <f aca="false">COUNTIFS(Inbound!$Z$2:$Z$501,G26,Inbound!$E$2:$E$501,"&lt;&gt;")-COUNTIFS(Inbound!$Z$2:$Z$501,G26,Inbound!$AA$2:$AA$501,"Contract signed + paid")-COUNTIFS(Inbound!$Z$2:$Z$501,G26,Inbound!$AA$2:$AA$501,"Closed – No response")-COUNTIFS(Inbound!$Z$2:$Z$501,G26,Inbound!$AA$2:$AA$501,"Lost")+COUNTIFS(Outbound!$W$2:$W$501,G26,Outbound!$D$2:$D$501,"&lt;&gt;")-COUNTIFS(Outbound!$W$2:$W$501,G26,Outbound!$X$2:$X$501,"Contract signed + paid")-COUNTIFS(Outbound!$W$2:$W$501,G26,Outbound!$X$2:$X$501,"Closed – No response")-COUNTIFS(Outbound!$W$2:$W$501,G26,Outbound!$X$2:$X$501,"Lost")</f>
        <v>0</v>
      </c>
      <c r="I26" s="17" t="n">
        <f aca="false">COUNTIFS(Inbound!$Z$2:$Z$501,G26,Inbound!$AK$2:$AK$501,"OVERDUE follow-up")+COUNTIFS(Inbound!$Z$2:$Z$501,G26,Inbound!$AK$2:$AK$501,"Follow up today")+COUNTIFS(Outbound!$W$2:$W$501,G26,Outbound!$AH$2:$AH$501,"OVERDUE follow-up")+COUNTIFS(Outbound!$W$2:$W$501,G26,Outbound!$AH$2:$AH$501,"Follow up today")</f>
        <v>0</v>
      </c>
    </row>
    <row r="27" customFormat="false" ht="15" hidden="false" customHeight="false" outlineLevel="0" collapsed="false">
      <c r="B27" s="17" t="s">
        <v>103</v>
      </c>
      <c r="C27" s="18" t="n">
        <f aca="false">COUNTIF(Inbound!$AK$2:$AK$501,"Follow up today")+COUNTIF(Inbound!$AK$2:$AK$501,"OVERDUE follow-up")</f>
        <v>1</v>
      </c>
      <c r="D27" s="19" t="n">
        <f aca="false">COUNTIF(Outbound!$AH$2:$AH$501,"Follow up today")+COUNTIF(Outbound!$AH$2:$AH$501,"OVERDUE follow-up")</f>
        <v>1</v>
      </c>
      <c r="E27" s="21" t="n">
        <f aca="false">C27+D27</f>
        <v>2</v>
      </c>
    </row>
    <row r="28" customFormat="false" ht="15" hidden="false" customHeight="false" outlineLevel="0" collapsed="false">
      <c r="B28" s="17" t="s">
        <v>104</v>
      </c>
      <c r="C28" s="18" t="n">
        <f aca="false">COUNTIF(Inbound!$AK$2:$AK$501,"Close – 4 follow-ups sent")</f>
        <v>0</v>
      </c>
      <c r="D28" s="19" t="n">
        <f aca="false">COUNTIF(Outbound!$AH$2:$AH$501,"Close – 4 follow-ups sent")</f>
        <v>0</v>
      </c>
      <c r="E28" s="19" t="n">
        <f aca="false">C28+D28</f>
        <v>0</v>
      </c>
    </row>
    <row r="29" customFormat="false" ht="15" hidden="false" customHeight="false" outlineLevel="0" collapsed="false">
      <c r="B29" s="17" t="s">
        <v>105</v>
      </c>
      <c r="C29" s="26" t="n">
        <f aca="false">IFERROR(AVERAGE(Inbound!$P$2:$P$501),"-")</f>
        <v>0.5</v>
      </c>
      <c r="G29" s="14" t="s">
        <v>106</v>
      </c>
      <c r="H29" s="15"/>
      <c r="I29" s="15"/>
      <c r="J29" s="15"/>
    </row>
    <row r="30" customFormat="false" ht="15" hidden="false" customHeight="false" outlineLevel="0" collapsed="false">
      <c r="H30" s="0" t="s">
        <v>107</v>
      </c>
      <c r="I30" s="0" t="s">
        <v>108</v>
      </c>
      <c r="J30" s="0" t="s">
        <v>109</v>
      </c>
    </row>
    <row r="31" customFormat="false" ht="15" hidden="false" customHeight="false" outlineLevel="0" collapsed="false">
      <c r="B31" s="14" t="s">
        <v>110</v>
      </c>
      <c r="C31" s="15"/>
      <c r="D31" s="15"/>
      <c r="E31" s="15"/>
      <c r="G31" s="17" t="s">
        <v>111</v>
      </c>
      <c r="H31" s="17" t="n">
        <f aca="false">COUNTIF(Inbound!$D$2:$D$501,"Website form")</f>
        <v>1</v>
      </c>
      <c r="I31" s="17" t="n">
        <f aca="false">COUNTIFS(Inbound!$D$2:$D$501,"Website form",Inbound!$AA$2:$AA$501,"Contract signed + paid")</f>
        <v>0</v>
      </c>
      <c r="J31" s="27" t="n">
        <f aca="false">IFERROR(AVERAGEIFS(Inbound!$W$2:$W$501,Inbound!$D$2:$D$501,"Website form"),"-")</f>
        <v>100</v>
      </c>
    </row>
    <row r="32" customFormat="false" ht="15" hidden="false" customHeight="false" outlineLevel="0" collapsed="false">
      <c r="B32" s="17" t="s">
        <v>94</v>
      </c>
      <c r="C32" s="18" t="n">
        <f aca="false">COUNTIFS(Clients!$J$2:$J$501,"&gt;="&amp;$C$6,Clients!$J$2:$J$501,"&lt;"&amp;EDATE($C$6,1))</f>
        <v>1</v>
      </c>
      <c r="G32" s="17" t="s">
        <v>112</v>
      </c>
      <c r="H32" s="17" t="n">
        <f aca="false">COUNTIF(Inbound!$D$2:$D$501,"WhatsApp")</f>
        <v>0</v>
      </c>
      <c r="I32" s="17" t="n">
        <f aca="false">COUNTIFS(Inbound!$D$2:$D$501,"WhatsApp",Inbound!$AA$2:$AA$501,"Contract signed + paid")</f>
        <v>0</v>
      </c>
      <c r="J32" s="27" t="str">
        <f aca="false">IFERROR(AVERAGEIFS(Inbound!$W$2:$W$501,Inbound!$D$2:$D$501,"WhatsApp"),"-")</f>
        <v>-</v>
      </c>
    </row>
    <row r="33" customFormat="false" ht="15" hidden="false" customHeight="false" outlineLevel="0" collapsed="false">
      <c r="B33" s="17" t="s">
        <v>113</v>
      </c>
      <c r="C33" s="24" t="n">
        <f aca="false">SUMIFS(Clients!$K$2:$K$501,Clients!$J$2:$J$501,"&gt;="&amp;$C$6,Clients!$J$2:$J$501,"&lt;"&amp;EDATE($C$6,1))</f>
        <v>7875</v>
      </c>
      <c r="G33" s="17" t="s">
        <v>114</v>
      </c>
      <c r="H33" s="17" t="n">
        <f aca="false">COUNTIF(Inbound!$D$2:$D$501,"Instagram DM")</f>
        <v>0</v>
      </c>
      <c r="I33" s="17" t="n">
        <f aca="false">COUNTIFS(Inbound!$D$2:$D$501,"Instagram DM",Inbound!$AA$2:$AA$501,"Contract signed + paid")</f>
        <v>0</v>
      </c>
      <c r="J33" s="27" t="str">
        <f aca="false">IFERROR(AVERAGEIFS(Inbound!$W$2:$W$501,Inbound!$D$2:$D$501,"Instagram DM"),"-")</f>
        <v>-</v>
      </c>
    </row>
    <row r="34" customFormat="false" ht="15" hidden="false" customHeight="false" outlineLevel="0" collapsed="false">
      <c r="B34" s="17" t="s">
        <v>115</v>
      </c>
      <c r="C34" s="18" t="n">
        <f aca="false">COUNTIFS(Clients!$S$2:$S$501,"Paid",Clients!$U$2:$U$501,"&gt;="&amp;$C$6,Clients!$U$2:$U$501,"&lt;"&amp;EDATE($C$6,1))</f>
        <v>0</v>
      </c>
      <c r="G34" s="17" t="s">
        <v>116</v>
      </c>
      <c r="H34" s="17" t="n">
        <f aca="false">COUNTIF(Inbound!$D$2:$D$501,"Referral")</f>
        <v>0</v>
      </c>
      <c r="I34" s="17" t="n">
        <f aca="false">COUNTIFS(Inbound!$D$2:$D$501,"Referral",Inbound!$AA$2:$AA$501,"Contract signed + paid")</f>
        <v>0</v>
      </c>
      <c r="J34" s="27" t="str">
        <f aca="false">IFERROR(AVERAGEIFS(Inbound!$W$2:$W$501,Inbound!$D$2:$D$501,"Referral"),"-")</f>
        <v>-</v>
      </c>
    </row>
    <row r="35" customFormat="false" ht="15" hidden="false" customHeight="false" outlineLevel="0" collapsed="false">
      <c r="B35" s="17" t="s">
        <v>117</v>
      </c>
      <c r="C35" s="24" t="n">
        <f aca="false">SUMIFS(Clients!$T$2:$T$501,Clients!$S$2:$S$501,"Paid",Clients!$U$2:$U$501,"&gt;="&amp;$C$6,Clients!$U$2:$U$501,"&lt;"&amp;EDATE($C$6,1))</f>
        <v>0</v>
      </c>
      <c r="G35" s="17" t="s">
        <v>118</v>
      </c>
      <c r="H35" s="17" t="n">
        <f aca="false">COUNTIF(Inbound!$D$2:$D$501,"Walk-in")</f>
        <v>0</v>
      </c>
      <c r="I35" s="17" t="n">
        <f aca="false">COUNTIFS(Inbound!$D$2:$D$501,"Walk-in",Inbound!$AA$2:$AA$501,"Contract signed + paid")</f>
        <v>0</v>
      </c>
      <c r="J35" s="27" t="str">
        <f aca="false">IFERROR(AVERAGEIFS(Inbound!$W$2:$W$501,Inbound!$D$2:$D$501,"Walk-in"),"-")</f>
        <v>-</v>
      </c>
    </row>
    <row r="36" customFormat="false" ht="15" hidden="false" customHeight="false" outlineLevel="0" collapsed="false">
      <c r="G36" s="17" t="s">
        <v>119</v>
      </c>
      <c r="H36" s="17" t="n">
        <f aca="false">COUNTIF(Inbound!$D$2:$D$501,"Phone call")</f>
        <v>0</v>
      </c>
      <c r="I36" s="17" t="n">
        <f aca="false">COUNTIFS(Inbound!$D$2:$D$501,"Phone call",Inbound!$AA$2:$AA$501,"Contract signed + paid")</f>
        <v>0</v>
      </c>
      <c r="J36" s="27" t="str">
        <f aca="false">IFERROR(AVERAGEIFS(Inbound!$W$2:$W$501,Inbound!$D$2:$D$501,"Phone call"),"-")</f>
        <v>-</v>
      </c>
    </row>
    <row r="37" customFormat="false" ht="15" hidden="false" customHeight="false" outlineLevel="0" collapsed="false">
      <c r="B37" s="14" t="s">
        <v>120</v>
      </c>
      <c r="C37" s="15"/>
      <c r="D37" s="15"/>
      <c r="E37" s="15"/>
      <c r="G37" s="17" t="s">
        <v>121</v>
      </c>
      <c r="H37" s="17" t="n">
        <f aca="false">COUNTIF(Inbound!$D$2:$D$501,"Other")</f>
        <v>0</v>
      </c>
      <c r="I37" s="17" t="n">
        <f aca="false">COUNTIFS(Inbound!$D$2:$D$501,"Other",Inbound!$AA$2:$AA$501,"Contract signed + paid")</f>
        <v>0</v>
      </c>
      <c r="J37" s="27" t="str">
        <f aca="false">IFERROR(AVERAGEIFS(Inbound!$W$2:$W$501,Inbound!$D$2:$D$501,"Other"),"-")</f>
        <v>-</v>
      </c>
    </row>
    <row r="38" customFormat="false" ht="15" hidden="false" customHeight="false" outlineLevel="0" collapsed="false">
      <c r="B38" s="17" t="s">
        <v>122</v>
      </c>
      <c r="C38" s="18" t="n">
        <f aca="false">COUNTIF(Clients!$Q$2:$Q$501,"Active*")</f>
        <v>0</v>
      </c>
      <c r="G38" s="17" t="s">
        <v>123</v>
      </c>
      <c r="H38" s="17" t="n">
        <f aca="false">COUNTIF(Outbound!$C$2:$C$501,"Apollo")</f>
        <v>1</v>
      </c>
      <c r="I38" s="17" t="n">
        <f aca="false">COUNTIFS(Outbound!$C$2:$C$501,"Apollo",Outbound!$X$2:$X$501,"Contract signed + paid")</f>
        <v>0</v>
      </c>
      <c r="J38" s="27" t="n">
        <f aca="false">IFERROR(AVERAGEIFS(Outbound!$T$2:$T$501,Outbound!$C$2:$C$501,"Apollo"),"-")</f>
        <v>46</v>
      </c>
    </row>
    <row r="39" customFormat="false" ht="15" hidden="false" customHeight="false" outlineLevel="0" collapsed="false">
      <c r="B39" s="17" t="s">
        <v>124</v>
      </c>
      <c r="C39" s="24" t="n">
        <f aca="false">SUMIFS(Clients!$I$2:$I$501,Clients!$Q$2:$Q$501,"Active*")</f>
        <v>0</v>
      </c>
      <c r="G39" s="17" t="s">
        <v>125</v>
      </c>
      <c r="H39" s="17" t="n">
        <f aca="false">COUNTIF(Outbound!$C$2:$C$501,"LinkedIn")</f>
        <v>0</v>
      </c>
      <c r="I39" s="17" t="n">
        <f aca="false">COUNTIFS(Outbound!$C$2:$C$501,"LinkedIn",Outbound!$X$2:$X$501,"Contract signed + paid")</f>
        <v>0</v>
      </c>
      <c r="J39" s="27" t="str">
        <f aca="false">IFERROR(AVERAGEIFS(Outbound!$T$2:$T$501,Outbound!$C$2:$C$501,"LinkedIn"),"-")</f>
        <v>-</v>
      </c>
    </row>
    <row r="40" customFormat="false" ht="15" hidden="false" customHeight="false" outlineLevel="0" collapsed="false">
      <c r="B40" s="17" t="s">
        <v>126</v>
      </c>
      <c r="C40" s="18" t="n">
        <f aca="false">COUNTIF(Clients!$Q$2:$Q$501,"Decision*")</f>
        <v>1</v>
      </c>
      <c r="G40" s="17" t="s">
        <v>127</v>
      </c>
      <c r="H40" s="17" t="n">
        <f aca="false">COUNTIF(Outbound!$C$2:$C$501,"Google Maps")</f>
        <v>0</v>
      </c>
      <c r="I40" s="17" t="n">
        <f aca="false">COUNTIFS(Outbound!$C$2:$C$501,"Google Maps",Outbound!$X$2:$X$501,"Contract signed + paid")</f>
        <v>0</v>
      </c>
      <c r="J40" s="27" t="str">
        <f aca="false">IFERROR(AVERAGEIFS(Outbound!$T$2:$T$501,Outbound!$C$2:$C$501,"Google Maps"),"-")</f>
        <v>-</v>
      </c>
    </row>
    <row r="41" customFormat="false" ht="15" hidden="false" customHeight="false" outlineLevel="0" collapsed="false">
      <c r="B41" s="17" t="s">
        <v>128</v>
      </c>
      <c r="C41" s="18" t="n">
        <f aca="false">COUNTIF(Clients!$Q$2:$Q$501,"Schedule free video")+COUNTIF(Clients!$Q$2:$Q$501,"Free video in production")</f>
        <v>0</v>
      </c>
      <c r="G41" s="17" t="s">
        <v>129</v>
      </c>
      <c r="H41" s="17" t="n">
        <f aca="false">COUNTIF(Outbound!$C$2:$C$501,"Instagram research")</f>
        <v>0</v>
      </c>
      <c r="I41" s="17" t="n">
        <f aca="false">COUNTIFS(Outbound!$C$2:$C$501,"Instagram research",Outbound!$X$2:$X$501,"Contract signed + paid")</f>
        <v>0</v>
      </c>
      <c r="J41" s="27" t="str">
        <f aca="false">IFERROR(AVERAGEIFS(Outbound!$T$2:$T$501,Outbound!$C$2:$C$501,"Instagram research"),"-")</f>
        <v>-</v>
      </c>
    </row>
    <row r="42" customFormat="false" ht="15" hidden="false" customHeight="false" outlineLevel="0" collapsed="false">
      <c r="B42" s="17" t="s">
        <v>130</v>
      </c>
      <c r="C42" s="28" t="str">
        <f aca="false">IFERROR(COUNTIF(Clients!$Q$2:$Q$501,"Active*")/(COUNTIF(Clients!$Q$2:$Q$501,"Active*")+COUNTIF(Clients!$P$2:$P$501,"Backed out")),"-")</f>
        <v>-</v>
      </c>
      <c r="G42" s="17" t="s">
        <v>131</v>
      </c>
      <c r="H42" s="17" t="n">
        <f aca="false">COUNTIF(Outbound!$C$2:$C$501,"Event / networking")</f>
        <v>0</v>
      </c>
      <c r="I42" s="17" t="n">
        <f aca="false">COUNTIFS(Outbound!$C$2:$C$501,"Event / networking",Outbound!$X$2:$X$501,"Contract signed + paid")</f>
        <v>0</v>
      </c>
      <c r="J42" s="27" t="str">
        <f aca="false">IFERROR(AVERAGEIFS(Outbound!$T$2:$T$501,Outbound!$C$2:$C$501,"Event / networking"),"-")</f>
        <v>-</v>
      </c>
    </row>
    <row r="43" customFormat="false" ht="15" hidden="false" customHeight="false" outlineLevel="0" collapsed="false">
      <c r="B43" s="17" t="s">
        <v>132</v>
      </c>
      <c r="C43" s="18" t="n">
        <f aca="false">COUNTIF(Clients!$Q$2:$Q$501,"Awaiting payment")</f>
        <v>0</v>
      </c>
      <c r="G43" s="17" t="s">
        <v>133</v>
      </c>
      <c r="H43" s="17" t="n">
        <f aca="false">COUNTIF(Outbound!$C$2:$C$501,"Other")</f>
        <v>0</v>
      </c>
      <c r="I43" s="17" t="n">
        <f aca="false">COUNTIFS(Outbound!$C$2:$C$501,"Other",Outbound!$X$2:$X$501,"Contract signed + paid")</f>
        <v>0</v>
      </c>
      <c r="J43" s="27" t="str">
        <f aca="false">IFERROR(AVERAGEIFS(Outbound!$T$2:$T$501,Outbound!$C$2:$C$501,"Other"),"-")</f>
        <v>-</v>
      </c>
    </row>
    <row r="45" customFormat="false" ht="15" hidden="false" customHeight="false" outlineLevel="0" collapsed="false">
      <c r="B45" s="14" t="s">
        <v>134</v>
      </c>
      <c r="C45" s="15"/>
      <c r="D45" s="15"/>
      <c r="E45" s="15"/>
    </row>
    <row r="46" customFormat="false" ht="15" hidden="false" customHeight="false" outlineLevel="0" collapsed="false">
      <c r="C46" s="16" t="s">
        <v>16</v>
      </c>
      <c r="D46" s="16" t="s">
        <v>18</v>
      </c>
      <c r="E46" s="16" t="s">
        <v>85</v>
      </c>
    </row>
    <row r="47" customFormat="false" ht="15" hidden="false" customHeight="false" outlineLevel="0" collapsed="false">
      <c r="B47" s="17" t="s">
        <v>135</v>
      </c>
      <c r="C47" s="18" t="n">
        <f aca="false">COUNTIFS(Inbound!$X$2:$X$501,"Hot")-COUNTIFS(Inbound!$X$2:$X$501,"Hot",Inbound!$AA$2:$AA$501,"Contract signed + paid")-COUNTIFS(Inbound!$X$2:$X$501,"Hot",Inbound!$AA$2:$AA$501,"Closed – No response")-COUNTIFS(Inbound!$X$2:$X$501,"Hot",Inbound!$AA$2:$AA$501,"Lost")</f>
        <v>1</v>
      </c>
      <c r="D47" s="19" t="n">
        <f aca="false">COUNTIFS(Outbound!$U$2:$U$501,"Hot")-COUNTIFS(Outbound!$U$2:$U$501,"Hot",Outbound!$X$2:$X$501,"Contract signed + paid")-COUNTIFS(Outbound!$U$2:$U$501,"Hot",Outbound!$X$2:$X$501,"Closed – No response")-COUNTIFS(Outbound!$U$2:$U$501,"Hot",Outbound!$X$2:$X$501,"Lost")</f>
        <v>0</v>
      </c>
      <c r="E47" s="21" t="n">
        <f aca="false">C47+D47</f>
        <v>1</v>
      </c>
    </row>
    <row r="48" customFormat="false" ht="15" hidden="false" customHeight="false" outlineLevel="0" collapsed="false">
      <c r="B48" s="17" t="s">
        <v>136</v>
      </c>
      <c r="C48" s="18" t="n">
        <f aca="false">COUNTIFS(Inbound!$X$2:$X$501,"Warm")-COUNTIFS(Inbound!$X$2:$X$501,"Warm",Inbound!$AA$2:$AA$501,"Contract signed + paid")-COUNTIFS(Inbound!$X$2:$X$501,"Warm",Inbound!$AA$2:$AA$501,"Closed – No response")-COUNTIFS(Inbound!$X$2:$X$501,"Warm",Inbound!$AA$2:$AA$501,"Lost")</f>
        <v>0</v>
      </c>
      <c r="D48" s="19" t="n">
        <f aca="false">COUNTIFS(Outbound!$U$2:$U$501,"Warm")-COUNTIFS(Outbound!$U$2:$U$501,"Warm",Outbound!$X$2:$X$501,"Contract signed + paid")-COUNTIFS(Outbound!$U$2:$U$501,"Warm",Outbound!$X$2:$X$501,"Closed – No response")-COUNTIFS(Outbound!$U$2:$U$501,"Warm",Outbound!$X$2:$X$501,"Lost")</f>
        <v>1</v>
      </c>
      <c r="E48" s="19" t="n">
        <f aca="false">C48+D48</f>
        <v>1</v>
      </c>
    </row>
    <row r="49" customFormat="false" ht="15" hidden="false" customHeight="false" outlineLevel="0" collapsed="false">
      <c r="B49" s="17" t="s">
        <v>137</v>
      </c>
      <c r="C49" s="18" t="n">
        <f aca="false">COUNTIFS(Inbound!$X$2:$X$501,"Cold")-COUNTIFS(Inbound!$X$2:$X$501,"Cold",Inbound!$AA$2:$AA$501,"Contract signed + paid")-COUNTIFS(Inbound!$X$2:$X$501,"Cold",Inbound!$AA$2:$AA$501,"Closed – No response")-COUNTIFS(Inbound!$X$2:$X$501,"Cold",Inbound!$AA$2:$AA$501,"Lost")</f>
        <v>0</v>
      </c>
      <c r="D49" s="19" t="n">
        <f aca="false">COUNTIFS(Outbound!$U$2:$U$501,"Cold")-COUNTIFS(Outbound!$U$2:$U$501,"Cold",Outbound!$X$2:$X$501,"Contract signed + paid")-COUNTIFS(Outbound!$U$2:$U$501,"Cold",Outbound!$X$2:$X$501,"Closed – No response")-COUNTIFS(Outbound!$U$2:$U$501,"Cold",Outbound!$X$2:$X$501,"Lost")</f>
        <v>0</v>
      </c>
      <c r="E49" s="19" t="n">
        <f aca="false">C49+D49</f>
        <v>0</v>
      </c>
    </row>
    <row r="50" customFormat="false" ht="15" hidden="false" customHeight="false" outlineLevel="0" collapsed="false">
      <c r="B50" s="17" t="s">
        <v>138</v>
      </c>
      <c r="C50" s="18" t="n">
        <f aca="false">COUNTIFS(Inbound!$X$2:$X$501,"Not scored")-COUNTIFS(Inbound!$X$2:$X$501,"Not scored",Inbound!$AA$2:$AA$501,"Contract signed + paid")-COUNTIFS(Inbound!$X$2:$X$501,"Not scored",Inbound!$AA$2:$AA$501,"Closed – No response")-COUNTIFS(Inbound!$X$2:$X$501,"Not scored",Inbound!$AA$2:$AA$501,"Lost")+COUNTIFS(Inbound!$X$2:$X$501,"Partly*")-COUNTIFS(Inbound!$X$2:$X$501,"Partly*",Inbound!$AA$2:$AA$501,"Contract signed + paid")-COUNTIFS(Inbound!$X$2:$X$501,"Partly*",Inbound!$AA$2:$AA$501,"Closed – No response")-COUNTIFS(Inbound!$X$2:$X$501,"Partly*",Inbound!$AA$2:$AA$501,"Lost")</f>
        <v>0</v>
      </c>
      <c r="D50" s="19" t="n">
        <f aca="false">COUNTIFS(Outbound!$U$2:$U$501,"Not scored")-COUNTIFS(Outbound!$U$2:$U$501,"Not scored",Outbound!$X$2:$X$501,"Contract signed + paid")-COUNTIFS(Outbound!$U$2:$U$501,"Not scored",Outbound!$X$2:$X$501,"Closed – No response")-COUNTIFS(Outbound!$U$2:$U$501,"Not scored",Outbound!$X$2:$X$501,"Lost")+COUNTIFS(Outbound!$U$2:$U$501,"Partly*")-COUNTIFS(Outbound!$U$2:$U$501,"Partly*",Outbound!$X$2:$X$501,"Contract signed + paid")-COUNTIFS(Outbound!$U$2:$U$501,"Partly*",Outbound!$X$2:$X$501,"Closed – No response")-COUNTIFS(Outbound!$U$2:$U$501,"Partly*",Outbound!$X$2:$X$501,"Lost")</f>
        <v>0</v>
      </c>
      <c r="E50" s="19" t="n">
        <f aca="false">C50+D50</f>
        <v>0</v>
      </c>
    </row>
    <row r="51" customFormat="false" ht="15" hidden="false" customHeight="false" outlineLevel="0" collapsed="false">
      <c r="B51" s="17" t="s">
        <v>139</v>
      </c>
      <c r="C51" s="18" t="n">
        <f aca="false">COUNTIFS(Inbound!$Y$2:$Y$501,"🚩*")-COUNTIFS(Inbound!$Y$2:$Y$501,"🚩*",Inbound!$AA$2:$AA$501,"Contract signed + paid")-COUNTIFS(Inbound!$Y$2:$Y$501,"🚩*",Inbound!$AA$2:$AA$501,"Closed – No response")-COUNTIFS(Inbound!$Y$2:$Y$501,"🚩*",Inbound!$AA$2:$AA$501,"Lost")</f>
        <v>0</v>
      </c>
      <c r="D51" s="19" t="n">
        <f aca="false">COUNTIFS(Outbound!$V$2:$V$501,"🚩*")-COUNTIFS(Outbound!$V$2:$V$501,"🚩*",Outbound!$X$2:$X$501,"Contract signed + paid")-COUNTIFS(Outbound!$V$2:$V$501,"🚩*",Outbound!$X$2:$X$501,"Closed – No response")-COUNTIFS(Outbound!$V$2:$V$501,"🚩*",Outbound!$X$2:$X$501,"Lost")</f>
        <v>1</v>
      </c>
      <c r="E51" s="19" t="n">
        <f aca="false">C51+D51</f>
        <v>1</v>
      </c>
    </row>
    <row r="53" customFormat="false" ht="15" hidden="false" customHeight="false" outlineLevel="0" collapsed="false">
      <c r="B53" s="25" t="s">
        <v>140</v>
      </c>
    </row>
    <row r="54" customFormat="false" ht="15" hidden="false" customHeight="false" outlineLevel="0" collapsed="false">
      <c r="B54" s="17" t="s">
        <v>141</v>
      </c>
      <c r="C54" s="28" t="n">
        <f aca="false">IFERROR((COUNTIFS(Inbound!$X$2:$X$501,"Hot",Inbound!$AA$2:$AA$501,"Contract signed + paid")+COUNTIFS(Outbound!$U$2:$U$501,"Hot",Outbound!$X$2:$X$501,"Contract signed + paid"))/(COUNTIF(Inbound!$X$2:$X$501,"Hot")+COUNTIF(Outbound!$U$2:$U$501,"Hot")),"-")</f>
        <v>0</v>
      </c>
    </row>
    <row r="55" customFormat="false" ht="15" hidden="false" customHeight="false" outlineLevel="0" collapsed="false">
      <c r="B55" s="17" t="s">
        <v>142</v>
      </c>
      <c r="C55" s="28" t="n">
        <f aca="false">IFERROR((COUNTIFS(Inbound!$X$2:$X$501,"Warm",Inbound!$AA$2:$AA$501,"Contract signed + paid")+COUNTIFS(Outbound!$U$2:$U$501,"Warm",Outbound!$X$2:$X$501,"Contract signed + paid"))/(COUNTIF(Inbound!$X$2:$X$501,"Warm")+COUNTIF(Outbound!$U$2:$U$501,"Warm")),"-")</f>
        <v>0</v>
      </c>
    </row>
    <row r="56" customFormat="false" ht="15" hidden="false" customHeight="false" outlineLevel="0" collapsed="false">
      <c r="B56" s="17" t="s">
        <v>143</v>
      </c>
      <c r="C56" s="28" t="str">
        <f aca="false">IFERROR((COUNTIFS(Inbound!$X$2:$X$501,"Cold",Inbound!$AA$2:$AA$501,"Contract signed + paid")+COUNTIFS(Outbound!$U$2:$U$501,"Cold",Outbound!$X$2:$X$501,"Contract signed + paid"))/(COUNTIF(Inbound!$X$2:$X$501,"Cold")+COUNTIF(Outbound!$U$2:$U$501,"Cold")),"-")</f>
        <v>-</v>
      </c>
    </row>
  </sheetData>
  <dataValidations count="1">
    <dataValidation allowBlank="true" error="Enter a date - double-click the cell for a calendar." errorStyle="stop" errorTitle="Not a date" operator="between" showDropDown="false" showErrorMessage="false" showInputMessage="false" sqref="C3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AK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6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9" min="7" style="0" width="16"/>
    <col collapsed="false" customWidth="true" hidden="false" outlineLevel="0" max="10" min="10" style="0" width="24"/>
    <col collapsed="false" customWidth="true" hidden="false" outlineLevel="0" max="12" min="11" style="0" width="16"/>
    <col collapsed="false" customWidth="true" hidden="false" outlineLevel="0" max="13" min="13" style="0" width="20"/>
    <col collapsed="false" customWidth="true" hidden="false" outlineLevel="0" max="16" min="14" style="0" width="16"/>
    <col collapsed="false" customWidth="true" hidden="false" outlineLevel="0" max="22" min="17" style="0" width="13"/>
    <col collapsed="false" customWidth="true" hidden="false" outlineLevel="0" max="23" min="23" style="0" width="9"/>
    <col collapsed="false" customWidth="true" hidden="false" outlineLevel="0" max="24" min="24" style="0" width="18"/>
    <col collapsed="false" customWidth="true" hidden="false" outlineLevel="0" max="25" min="25" style="0" width="30"/>
    <col collapsed="false" customWidth="true" hidden="false" outlineLevel="0" max="26" min="26" style="0" width="16"/>
    <col collapsed="false" customWidth="true" hidden="false" outlineLevel="0" max="27" min="27" style="0" width="22"/>
    <col collapsed="false" customWidth="true" hidden="false" outlineLevel="0" max="33" min="28" style="0" width="16"/>
    <col collapsed="false" customWidth="true" hidden="false" outlineLevel="0" max="34" min="34" style="0" width="22"/>
    <col collapsed="false" customWidth="true" hidden="false" outlineLevel="0" max="35" min="35" style="0" width="34"/>
    <col collapsed="false" customWidth="true" hidden="false" outlineLevel="0" max="36" min="36" style="0" width="16"/>
    <col collapsed="false" customWidth="true" hidden="false" outlineLevel="0" max="37" min="37" style="0" width="30"/>
  </cols>
  <sheetData>
    <row r="1" customFormat="false" ht="31.5" hidden="false" customHeight="true" outlineLevel="0" collapsed="false">
      <c r="A1" s="29" t="s">
        <v>144</v>
      </c>
      <c r="B1" s="29" t="s">
        <v>145</v>
      </c>
      <c r="C1" s="29" t="s">
        <v>146</v>
      </c>
      <c r="D1" s="29" t="s">
        <v>147</v>
      </c>
      <c r="E1" s="29" t="s">
        <v>148</v>
      </c>
      <c r="F1" s="29" t="s">
        <v>149</v>
      </c>
      <c r="G1" s="29" t="s">
        <v>150</v>
      </c>
      <c r="H1" s="29" t="s">
        <v>151</v>
      </c>
      <c r="I1" s="29" t="s">
        <v>152</v>
      </c>
      <c r="J1" s="29" t="s">
        <v>153</v>
      </c>
      <c r="K1" s="29" t="s">
        <v>154</v>
      </c>
      <c r="L1" s="29" t="s">
        <v>155</v>
      </c>
      <c r="M1" s="29" t="s">
        <v>156</v>
      </c>
      <c r="N1" s="29" t="s">
        <v>157</v>
      </c>
      <c r="O1" s="29" t="s">
        <v>158</v>
      </c>
      <c r="P1" s="30" t="s">
        <v>159</v>
      </c>
      <c r="Q1" s="29" t="s">
        <v>160</v>
      </c>
      <c r="R1" s="29" t="s">
        <v>161</v>
      </c>
      <c r="S1" s="29" t="s">
        <v>162</v>
      </c>
      <c r="T1" s="29" t="s">
        <v>163</v>
      </c>
      <c r="U1" s="29" t="s">
        <v>164</v>
      </c>
      <c r="V1" s="29" t="s">
        <v>165</v>
      </c>
      <c r="W1" s="30" t="s">
        <v>49</v>
      </c>
      <c r="X1" s="30" t="s">
        <v>166</v>
      </c>
      <c r="Y1" s="30" t="s">
        <v>51</v>
      </c>
      <c r="Z1" s="29" t="s">
        <v>62</v>
      </c>
      <c r="AA1" s="29" t="s">
        <v>167</v>
      </c>
      <c r="AB1" s="29" t="s">
        <v>168</v>
      </c>
      <c r="AC1" s="29" t="s">
        <v>169</v>
      </c>
      <c r="AD1" s="30" t="s">
        <v>170</v>
      </c>
      <c r="AE1" s="29" t="s">
        <v>171</v>
      </c>
      <c r="AF1" s="29" t="s">
        <v>172</v>
      </c>
      <c r="AG1" s="29" t="s">
        <v>173</v>
      </c>
      <c r="AH1" s="29" t="s">
        <v>174</v>
      </c>
      <c r="AI1" s="29" t="s">
        <v>175</v>
      </c>
      <c r="AJ1" s="30" t="s">
        <v>176</v>
      </c>
      <c r="AK1" s="30" t="s">
        <v>177</v>
      </c>
    </row>
    <row r="2" customFormat="false" ht="15" hidden="false" customHeight="false" outlineLevel="0" collapsed="false">
      <c r="A2" s="31" t="s">
        <v>178</v>
      </c>
      <c r="B2" s="32" t="n">
        <v>46310</v>
      </c>
      <c r="C2" s="33" t="n">
        <v>0.416666666666667</v>
      </c>
      <c r="D2" s="31" t="s">
        <v>179</v>
      </c>
      <c r="E2" s="31" t="s">
        <v>180</v>
      </c>
      <c r="F2" s="31" t="s">
        <v>181</v>
      </c>
      <c r="G2" s="31" t="s">
        <v>182</v>
      </c>
      <c r="H2" s="31" t="s">
        <v>62</v>
      </c>
      <c r="I2" s="34" t="s">
        <v>183</v>
      </c>
      <c r="J2" s="31" t="s">
        <v>184</v>
      </c>
      <c r="K2" s="31" t="s">
        <v>185</v>
      </c>
      <c r="L2" s="31" t="s">
        <v>186</v>
      </c>
      <c r="M2" s="31" t="s">
        <v>187</v>
      </c>
      <c r="N2" s="32" t="n">
        <v>46310</v>
      </c>
      <c r="O2" s="33" t="n">
        <v>0.4375</v>
      </c>
      <c r="P2" s="35" t="n">
        <f aca="false">IF(OR(B2="",N2=""),"",ROUND(((N2+N(O2))-(B2+N(C2)))*24,1))</f>
        <v>0.5</v>
      </c>
      <c r="Q2" s="31" t="s">
        <v>188</v>
      </c>
      <c r="R2" s="31" t="s">
        <v>188</v>
      </c>
      <c r="S2" s="31" t="s">
        <v>188</v>
      </c>
      <c r="T2" s="31" t="s">
        <v>188</v>
      </c>
      <c r="U2" s="31" t="s">
        <v>189</v>
      </c>
      <c r="V2" s="31" t="s">
        <v>190</v>
      </c>
      <c r="W2" s="36" t="n">
        <f aca="false">IF(OR(E2="",COUNTA(Q2:V2)=0),"",SUMIFS(Settings!$AA$2:$AA$21,Settings!$Y$2:$Y$21,"Budget AED 5k+/mo?",Settings!$Z$2:$Z$21,Q2)+SUMIFS(Settings!$AA$2:$AA$21,Settings!$Y$2:$Y$21,"Decision-maker?",Settings!$Z$2:$Z$21,R2)+SUMIFS(Settings!$AA$2:$AA$21,Settings!$Y$2:$Y$21,"Someone on camera?",Settings!$Z$2:$Z$21,S2)+SUMIFS(Settings!$AA$2:$AA$21,Settings!$Y$2:$Y$21,"OK with 3-month term?",Settings!$Z$2:$Z$21,T2)+SUMIFS(Settings!$AA$2:$AA$21,Settings!$Y$2:$Y$21,"Start timeline",Settings!$Z$2:$Z$21,U2)+SUMIFS(Settings!$AA$2:$AA$21,Settings!$Y$2:$Y$21,"Social media gap",Settings!$Z$2:$Z$21,V2)+IF(F2="",0,IF(COUNTIF(Settings!$AC$2:$AC$6,F2)&gt;0,Settings!$AA$20,Settings!$AA$21)))</f>
        <v>100</v>
      </c>
      <c r="X2" s="37" t="str">
        <f aca="false">IF(E2="","",IF(COUNTA(Q2:V2)=0,"Not scored",IF(COUNTA(Q2:V2)&lt;6,"Partly scored ("&amp;COUNTA(Q2:V2)&amp;"/6)",IF(W2&gt;=Settings!$S$8,"Hot",IF(W2&gt;=Settings!$S$9,"Warm","Cold")))))</f>
        <v>Hot</v>
      </c>
      <c r="Y2" s="37" t="str">
        <f aca="false">IF(E2="","",IF(AND(Q2="No",S2="No"),"🚩 Budget  ·  🚩 No one on camera",IF(Q2="No","🚩 Budget under AED 5k",IF(S2="No","🚩 No one on camera",""))))</f>
        <v/>
      </c>
      <c r="Z2" s="31" t="s">
        <v>56</v>
      </c>
      <c r="AA2" s="31" t="s">
        <v>191</v>
      </c>
      <c r="AB2" s="32" t="n">
        <v>46312</v>
      </c>
      <c r="AC2" s="31" t="n">
        <v>1</v>
      </c>
      <c r="AD2" s="38" t="n">
        <f aca="false">IF(OR(E2="",AB2="",OR(AA2="Contract signed + paid",AA2="Closed – No response",AA2="Lost"),N(AC2)&gt;=Settings!$S$3),"",AB2+Settings!$S$2)</f>
        <v>46315</v>
      </c>
      <c r="AE2" s="32" t="n">
        <v>46311</v>
      </c>
      <c r="AF2" s="33" t="n">
        <v>0.625</v>
      </c>
      <c r="AG2" s="31" t="s">
        <v>192</v>
      </c>
      <c r="AH2" s="31"/>
      <c r="AI2" s="31" t="s">
        <v>193</v>
      </c>
      <c r="AJ2" s="39" t="n">
        <f aca="true">IF(OR(E2="",B2=""),"",INT(TODAY()-B2))</f>
        <v>6</v>
      </c>
      <c r="AK2" s="37" t="str">
        <f aca="true">IF(E2="","",IF(OR(COUNTIFS(Clients!$C$2:$C$501,E2,Clients!$S$2:$S$501,"Paid")&gt;0,AND(I2&lt;&gt;"",COUNTIFS(Clients!$E$2:$E$501,I2,Clients!$S$2:$S$501,"Paid")&gt;0)),"⚠ Refunded before – no free video",IF(OR(AA2="Contract signed + paid",AA2="Closed – No response",AA2="Lost"),"",IF(AA2="","Set a stage",IF(AND(AA2="Proposal sent",COUNTA(Q2:V2)&lt;6),"Score this lead – proposal sent unscored",IF(N(AC2)&gt;=Settings!$S$3,"Close – 4 follow-ups sent",IF(AD2="",IF(AB2="","Make first contact",""),IF(TODAY()&gt;AD2,"OVERDUE follow-up",IF(TODAY()=AD2,"Follow up today","")))))))))</f>
        <v>OVERDUE follow-up</v>
      </c>
    </row>
    <row r="3" customFormat="false" ht="15" hidden="false" customHeight="false" outlineLevel="0" collapsed="false">
      <c r="A3" s="17"/>
      <c r="B3" s="40"/>
      <c r="C3" s="41"/>
      <c r="D3" s="17"/>
      <c r="E3" s="17"/>
      <c r="F3" s="17"/>
      <c r="G3" s="17"/>
      <c r="H3" s="17"/>
      <c r="I3" s="42"/>
      <c r="J3" s="17"/>
      <c r="K3" s="17"/>
      <c r="L3" s="17"/>
      <c r="M3" s="17"/>
      <c r="N3" s="40"/>
      <c r="O3" s="41"/>
      <c r="P3" s="43" t="str">
        <f aca="false">IF(OR(B3="",N3=""),"",ROUND(((N3+N(O3))-(B3+N(C3)))*24,1))</f>
        <v/>
      </c>
      <c r="Q3" s="17"/>
      <c r="R3" s="17"/>
      <c r="S3" s="17"/>
      <c r="T3" s="17"/>
      <c r="U3" s="17"/>
      <c r="V3" s="17"/>
      <c r="W3" s="44" t="str">
        <f aca="false">IF(OR(E3="",COUNTA(Q3:V3)=0),"",SUMIFS(Settings!$AA$2:$AA$21,Settings!$Y$2:$Y$21,"Budget AED 5k+/mo?",Settings!$Z$2:$Z$21,Q3)+SUMIFS(Settings!$AA$2:$AA$21,Settings!$Y$2:$Y$21,"Decision-maker?",Settings!$Z$2:$Z$21,R3)+SUMIFS(Settings!$AA$2:$AA$21,Settings!$Y$2:$Y$21,"Someone on camera?",Settings!$Z$2:$Z$21,S3)+SUMIFS(Settings!$AA$2:$AA$21,Settings!$Y$2:$Y$21,"OK with 3-month term?",Settings!$Z$2:$Z$21,T3)+SUMIFS(Settings!$AA$2:$AA$21,Settings!$Y$2:$Y$21,"Start timeline",Settings!$Z$2:$Z$21,U3)+SUMIFS(Settings!$AA$2:$AA$21,Settings!$Y$2:$Y$21,"Social media gap",Settings!$Z$2:$Z$21,V3)+IF(F3="",0,IF(COUNTIF(Settings!$AC$2:$AC$6,F3)&gt;0,Settings!$AA$20,Settings!$AA$21)))</f>
        <v/>
      </c>
      <c r="X3" s="44" t="str">
        <f aca="false">IF(E3="","",IF(COUNTA(Q3:V3)=0,"Not scored",IF(COUNTA(Q3:V3)&lt;6,"Partly scored ("&amp;COUNTA(Q3:V3)&amp;"/6)",IF(W3&gt;=Settings!$S$8,"Hot",IF(W3&gt;=Settings!$S$9,"Warm","Cold")))))</f>
        <v/>
      </c>
      <c r="Y3" s="44" t="str">
        <f aca="false">IF(E3="","",IF(AND(Q3="No",S3="No"),"🚩 Budget  ·  🚩 No one on camera",IF(Q3="No","🚩 Budget under AED 5k",IF(S3="No","🚩 No one on camera",""))))</f>
        <v/>
      </c>
      <c r="Z3" s="17"/>
      <c r="AA3" s="17"/>
      <c r="AB3" s="40"/>
      <c r="AC3" s="17"/>
      <c r="AD3" s="45" t="str">
        <f aca="false">IF(OR(E3="",AB3="",OR(AA3="Contract signed + paid",AA3="Closed – No response",AA3="Lost"),N(AC3)&gt;=Settings!$S$3),"",AB3+Settings!$S$2)</f>
        <v/>
      </c>
      <c r="AE3" s="40"/>
      <c r="AF3" s="41"/>
      <c r="AG3" s="17"/>
      <c r="AH3" s="17"/>
      <c r="AI3" s="17"/>
      <c r="AJ3" s="46" t="str">
        <f aca="true">IF(OR(E3="",B3=""),"",INT(TODAY()-B3))</f>
        <v/>
      </c>
      <c r="AK3" s="44" t="str">
        <f aca="true">IF(E3="","",IF(OR(COUNTIFS(Clients!$C$2:$C$501,E3,Clients!$S$2:$S$501,"Paid")&gt;0,AND(I3&lt;&gt;"",COUNTIFS(Clients!$E$2:$E$501,I3,Clients!$S$2:$S$501,"Paid")&gt;0)),"⚠ Refunded before – no free video",IF(OR(AA3="Contract signed + paid",AA3="Closed – No response",AA3="Lost"),"",IF(AA3="","Set a stage",IF(AND(AA3="Proposal sent",COUNTA(Q3:V3)&lt;6),"Score this lead – proposal sent unscored",IF(N(AC3)&gt;=Settings!$S$3,"Close – 4 follow-ups sent",IF(AD3="",IF(AB3="","Make first contact",""),IF(TODAY()&gt;AD3,"OVERDUE follow-up",IF(TODAY()=AD3,"Follow up today","")))))))))</f>
        <v/>
      </c>
    </row>
    <row r="4" customFormat="false" ht="15" hidden="false" customHeight="false" outlineLevel="0" collapsed="false">
      <c r="A4" s="17"/>
      <c r="B4" s="40"/>
      <c r="C4" s="41"/>
      <c r="D4" s="17"/>
      <c r="E4" s="17"/>
      <c r="F4" s="17"/>
      <c r="G4" s="17"/>
      <c r="H4" s="17"/>
      <c r="I4" s="42"/>
      <c r="J4" s="17"/>
      <c r="K4" s="17"/>
      <c r="L4" s="17"/>
      <c r="M4" s="17"/>
      <c r="N4" s="40"/>
      <c r="O4" s="41"/>
      <c r="P4" s="43" t="str">
        <f aca="false">IF(OR(B4="",N4=""),"",ROUND(((N4+N(O4))-(B4+N(C4)))*24,1))</f>
        <v/>
      </c>
      <c r="Q4" s="17"/>
      <c r="R4" s="17"/>
      <c r="S4" s="17"/>
      <c r="T4" s="17"/>
      <c r="U4" s="17"/>
      <c r="V4" s="17"/>
      <c r="W4" s="44" t="str">
        <f aca="false">IF(OR(E4="",COUNTA(Q4:V4)=0),"",SUMIFS(Settings!$AA$2:$AA$21,Settings!$Y$2:$Y$21,"Budget AED 5k+/mo?",Settings!$Z$2:$Z$21,Q4)+SUMIFS(Settings!$AA$2:$AA$21,Settings!$Y$2:$Y$21,"Decision-maker?",Settings!$Z$2:$Z$21,R4)+SUMIFS(Settings!$AA$2:$AA$21,Settings!$Y$2:$Y$21,"Someone on camera?",Settings!$Z$2:$Z$21,S4)+SUMIFS(Settings!$AA$2:$AA$21,Settings!$Y$2:$Y$21,"OK with 3-month term?",Settings!$Z$2:$Z$21,T4)+SUMIFS(Settings!$AA$2:$AA$21,Settings!$Y$2:$Y$21,"Start timeline",Settings!$Z$2:$Z$21,U4)+SUMIFS(Settings!$AA$2:$AA$21,Settings!$Y$2:$Y$21,"Social media gap",Settings!$Z$2:$Z$21,V4)+IF(F4="",0,IF(COUNTIF(Settings!$AC$2:$AC$6,F4)&gt;0,Settings!$AA$20,Settings!$AA$21)))</f>
        <v/>
      </c>
      <c r="X4" s="44" t="str">
        <f aca="false">IF(E4="","",IF(COUNTA(Q4:V4)=0,"Not scored",IF(COUNTA(Q4:V4)&lt;6,"Partly scored ("&amp;COUNTA(Q4:V4)&amp;"/6)",IF(W4&gt;=Settings!$S$8,"Hot",IF(W4&gt;=Settings!$S$9,"Warm","Cold")))))</f>
        <v/>
      </c>
      <c r="Y4" s="44" t="str">
        <f aca="false">IF(E4="","",IF(AND(Q4="No",S4="No"),"🚩 Budget  ·  🚩 No one on camera",IF(Q4="No","🚩 Budget under AED 5k",IF(S4="No","🚩 No one on camera",""))))</f>
        <v/>
      </c>
      <c r="Z4" s="17"/>
      <c r="AA4" s="17"/>
      <c r="AB4" s="40"/>
      <c r="AC4" s="17"/>
      <c r="AD4" s="45" t="str">
        <f aca="false">IF(OR(E4="",AB4="",OR(AA4="Contract signed + paid",AA4="Closed – No response",AA4="Lost"),N(AC4)&gt;=Settings!$S$3),"",AB4+Settings!$S$2)</f>
        <v/>
      </c>
      <c r="AE4" s="40"/>
      <c r="AF4" s="41"/>
      <c r="AG4" s="17"/>
      <c r="AH4" s="17"/>
      <c r="AI4" s="17"/>
      <c r="AJ4" s="46" t="str">
        <f aca="true">IF(OR(E4="",B4=""),"",INT(TODAY()-B4))</f>
        <v/>
      </c>
      <c r="AK4" s="44" t="str">
        <f aca="true">IF(E4="","",IF(OR(COUNTIFS(Clients!$C$2:$C$501,E4,Clients!$S$2:$S$501,"Paid")&gt;0,AND(I4&lt;&gt;"",COUNTIFS(Clients!$E$2:$E$501,I4,Clients!$S$2:$S$501,"Paid")&gt;0)),"⚠ Refunded before – no free video",IF(OR(AA4="Contract signed + paid",AA4="Closed – No response",AA4="Lost"),"",IF(AA4="","Set a stage",IF(AND(AA4="Proposal sent",COUNTA(Q4:V4)&lt;6),"Score this lead – proposal sent unscored",IF(N(AC4)&gt;=Settings!$S$3,"Close – 4 follow-ups sent",IF(AD4="",IF(AB4="","Make first contact",""),IF(TODAY()&gt;AD4,"OVERDUE follow-up",IF(TODAY()=AD4,"Follow up today","")))))))))</f>
        <v/>
      </c>
    </row>
    <row r="5" customFormat="false" ht="15" hidden="false" customHeight="false" outlineLevel="0" collapsed="false">
      <c r="A5" s="17"/>
      <c r="B5" s="40"/>
      <c r="C5" s="41"/>
      <c r="D5" s="17"/>
      <c r="E5" s="17"/>
      <c r="F5" s="17"/>
      <c r="G5" s="17"/>
      <c r="H5" s="17"/>
      <c r="I5" s="42"/>
      <c r="J5" s="17"/>
      <c r="K5" s="17"/>
      <c r="L5" s="17"/>
      <c r="M5" s="17"/>
      <c r="N5" s="40"/>
      <c r="O5" s="41"/>
      <c r="P5" s="43" t="str">
        <f aca="false">IF(OR(B5="",N5=""),"",ROUND(((N5+N(O5))-(B5+N(C5)))*24,1))</f>
        <v/>
      </c>
      <c r="Q5" s="17"/>
      <c r="R5" s="17"/>
      <c r="S5" s="17"/>
      <c r="T5" s="17"/>
      <c r="U5" s="17"/>
      <c r="V5" s="17"/>
      <c r="W5" s="44" t="str">
        <f aca="false">IF(OR(E5="",COUNTA(Q5:V5)=0),"",SUMIFS(Settings!$AA$2:$AA$21,Settings!$Y$2:$Y$21,"Budget AED 5k+/mo?",Settings!$Z$2:$Z$21,Q5)+SUMIFS(Settings!$AA$2:$AA$21,Settings!$Y$2:$Y$21,"Decision-maker?",Settings!$Z$2:$Z$21,R5)+SUMIFS(Settings!$AA$2:$AA$21,Settings!$Y$2:$Y$21,"Someone on camera?",Settings!$Z$2:$Z$21,S5)+SUMIFS(Settings!$AA$2:$AA$21,Settings!$Y$2:$Y$21,"OK with 3-month term?",Settings!$Z$2:$Z$21,T5)+SUMIFS(Settings!$AA$2:$AA$21,Settings!$Y$2:$Y$21,"Start timeline",Settings!$Z$2:$Z$21,U5)+SUMIFS(Settings!$AA$2:$AA$21,Settings!$Y$2:$Y$21,"Social media gap",Settings!$Z$2:$Z$21,V5)+IF(F5="",0,IF(COUNTIF(Settings!$AC$2:$AC$6,F5)&gt;0,Settings!$AA$20,Settings!$AA$21)))</f>
        <v/>
      </c>
      <c r="X5" s="44" t="str">
        <f aca="false">IF(E5="","",IF(COUNTA(Q5:V5)=0,"Not scored",IF(COUNTA(Q5:V5)&lt;6,"Partly scored ("&amp;COUNTA(Q5:V5)&amp;"/6)",IF(W5&gt;=Settings!$S$8,"Hot",IF(W5&gt;=Settings!$S$9,"Warm","Cold")))))</f>
        <v/>
      </c>
      <c r="Y5" s="44" t="str">
        <f aca="false">IF(E5="","",IF(AND(Q5="No",S5="No"),"🚩 Budget  ·  🚩 No one on camera",IF(Q5="No","🚩 Budget under AED 5k",IF(S5="No","🚩 No one on camera",""))))</f>
        <v/>
      </c>
      <c r="Z5" s="17"/>
      <c r="AA5" s="17"/>
      <c r="AB5" s="40"/>
      <c r="AC5" s="17"/>
      <c r="AD5" s="45" t="str">
        <f aca="false">IF(OR(E5="",AB5="",OR(AA5="Contract signed + paid",AA5="Closed – No response",AA5="Lost"),N(AC5)&gt;=Settings!$S$3),"",AB5+Settings!$S$2)</f>
        <v/>
      </c>
      <c r="AE5" s="40"/>
      <c r="AF5" s="41"/>
      <c r="AG5" s="17"/>
      <c r="AH5" s="17"/>
      <c r="AI5" s="17"/>
      <c r="AJ5" s="46" t="str">
        <f aca="true">IF(OR(E5="",B5=""),"",INT(TODAY()-B5))</f>
        <v/>
      </c>
      <c r="AK5" s="44" t="str">
        <f aca="true">IF(E5="","",IF(OR(COUNTIFS(Clients!$C$2:$C$501,E5,Clients!$S$2:$S$501,"Paid")&gt;0,AND(I5&lt;&gt;"",COUNTIFS(Clients!$E$2:$E$501,I5,Clients!$S$2:$S$501,"Paid")&gt;0)),"⚠ Refunded before – no free video",IF(OR(AA5="Contract signed + paid",AA5="Closed – No response",AA5="Lost"),"",IF(AA5="","Set a stage",IF(AND(AA5="Proposal sent",COUNTA(Q5:V5)&lt;6),"Score this lead – proposal sent unscored",IF(N(AC5)&gt;=Settings!$S$3,"Close – 4 follow-ups sent",IF(AD5="",IF(AB5="","Make first contact",""),IF(TODAY()&gt;AD5,"OVERDUE follow-up",IF(TODAY()=AD5,"Follow up today","")))))))))</f>
        <v/>
      </c>
    </row>
    <row r="6" customFormat="false" ht="15" hidden="false" customHeight="false" outlineLevel="0" collapsed="false">
      <c r="A6" s="17"/>
      <c r="B6" s="40"/>
      <c r="C6" s="41"/>
      <c r="D6" s="17"/>
      <c r="E6" s="17"/>
      <c r="F6" s="17"/>
      <c r="G6" s="17"/>
      <c r="H6" s="17"/>
      <c r="I6" s="42"/>
      <c r="J6" s="17"/>
      <c r="K6" s="17"/>
      <c r="L6" s="17"/>
      <c r="M6" s="17"/>
      <c r="N6" s="40"/>
      <c r="O6" s="41"/>
      <c r="P6" s="43" t="str">
        <f aca="false">IF(OR(B6="",N6=""),"",ROUND(((N6+N(O6))-(B6+N(C6)))*24,1))</f>
        <v/>
      </c>
      <c r="Q6" s="17"/>
      <c r="R6" s="17"/>
      <c r="S6" s="17"/>
      <c r="T6" s="17"/>
      <c r="U6" s="17"/>
      <c r="V6" s="17"/>
      <c r="W6" s="44" t="str">
        <f aca="false">IF(OR(E6="",COUNTA(Q6:V6)=0),"",SUMIFS(Settings!$AA$2:$AA$21,Settings!$Y$2:$Y$21,"Budget AED 5k+/mo?",Settings!$Z$2:$Z$21,Q6)+SUMIFS(Settings!$AA$2:$AA$21,Settings!$Y$2:$Y$21,"Decision-maker?",Settings!$Z$2:$Z$21,R6)+SUMIFS(Settings!$AA$2:$AA$21,Settings!$Y$2:$Y$21,"Someone on camera?",Settings!$Z$2:$Z$21,S6)+SUMIFS(Settings!$AA$2:$AA$21,Settings!$Y$2:$Y$21,"OK with 3-month term?",Settings!$Z$2:$Z$21,T6)+SUMIFS(Settings!$AA$2:$AA$21,Settings!$Y$2:$Y$21,"Start timeline",Settings!$Z$2:$Z$21,U6)+SUMIFS(Settings!$AA$2:$AA$21,Settings!$Y$2:$Y$21,"Social media gap",Settings!$Z$2:$Z$21,V6)+IF(F6="",0,IF(COUNTIF(Settings!$AC$2:$AC$6,F6)&gt;0,Settings!$AA$20,Settings!$AA$21)))</f>
        <v/>
      </c>
      <c r="X6" s="44" t="str">
        <f aca="false">IF(E6="","",IF(COUNTA(Q6:V6)=0,"Not scored",IF(COUNTA(Q6:V6)&lt;6,"Partly scored ("&amp;COUNTA(Q6:V6)&amp;"/6)",IF(W6&gt;=Settings!$S$8,"Hot",IF(W6&gt;=Settings!$S$9,"Warm","Cold")))))</f>
        <v/>
      </c>
      <c r="Y6" s="44" t="str">
        <f aca="false">IF(E6="","",IF(AND(Q6="No",S6="No"),"🚩 Budget  ·  🚩 No one on camera",IF(Q6="No","🚩 Budget under AED 5k",IF(S6="No","🚩 No one on camera",""))))</f>
        <v/>
      </c>
      <c r="Z6" s="17"/>
      <c r="AA6" s="17"/>
      <c r="AB6" s="40"/>
      <c r="AC6" s="17"/>
      <c r="AD6" s="45" t="str">
        <f aca="false">IF(OR(E6="",AB6="",OR(AA6="Contract signed + paid",AA6="Closed – No response",AA6="Lost"),N(AC6)&gt;=Settings!$S$3),"",AB6+Settings!$S$2)</f>
        <v/>
      </c>
      <c r="AE6" s="40"/>
      <c r="AF6" s="41"/>
      <c r="AG6" s="17"/>
      <c r="AH6" s="17"/>
      <c r="AI6" s="17"/>
      <c r="AJ6" s="46" t="str">
        <f aca="true">IF(OR(E6="",B6=""),"",INT(TODAY()-B6))</f>
        <v/>
      </c>
      <c r="AK6" s="44" t="str">
        <f aca="true">IF(E6="","",IF(OR(COUNTIFS(Clients!$C$2:$C$501,E6,Clients!$S$2:$S$501,"Paid")&gt;0,AND(I6&lt;&gt;"",COUNTIFS(Clients!$E$2:$E$501,I6,Clients!$S$2:$S$501,"Paid")&gt;0)),"⚠ Refunded before – no free video",IF(OR(AA6="Contract signed + paid",AA6="Closed – No response",AA6="Lost"),"",IF(AA6="","Set a stage",IF(AND(AA6="Proposal sent",COUNTA(Q6:V6)&lt;6),"Score this lead – proposal sent unscored",IF(N(AC6)&gt;=Settings!$S$3,"Close – 4 follow-ups sent",IF(AD6="",IF(AB6="","Make first contact",""),IF(TODAY()&gt;AD6,"OVERDUE follow-up",IF(TODAY()=AD6,"Follow up today","")))))))))</f>
        <v/>
      </c>
    </row>
    <row r="7" customFormat="false" ht="15" hidden="false" customHeight="false" outlineLevel="0" collapsed="false">
      <c r="A7" s="17"/>
      <c r="B7" s="40"/>
      <c r="C7" s="41"/>
      <c r="D7" s="17"/>
      <c r="E7" s="17"/>
      <c r="F7" s="17"/>
      <c r="G7" s="17"/>
      <c r="H7" s="17"/>
      <c r="I7" s="42"/>
      <c r="J7" s="17"/>
      <c r="K7" s="17"/>
      <c r="L7" s="17"/>
      <c r="M7" s="17"/>
      <c r="N7" s="40"/>
      <c r="O7" s="41"/>
      <c r="P7" s="43" t="str">
        <f aca="false">IF(OR(B7="",N7=""),"",ROUND(((N7+N(O7))-(B7+N(C7)))*24,1))</f>
        <v/>
      </c>
      <c r="Q7" s="17"/>
      <c r="R7" s="17"/>
      <c r="S7" s="17"/>
      <c r="T7" s="17"/>
      <c r="U7" s="17"/>
      <c r="V7" s="17"/>
      <c r="W7" s="44" t="str">
        <f aca="false">IF(OR(E7="",COUNTA(Q7:V7)=0),"",SUMIFS(Settings!$AA$2:$AA$21,Settings!$Y$2:$Y$21,"Budget AED 5k+/mo?",Settings!$Z$2:$Z$21,Q7)+SUMIFS(Settings!$AA$2:$AA$21,Settings!$Y$2:$Y$21,"Decision-maker?",Settings!$Z$2:$Z$21,R7)+SUMIFS(Settings!$AA$2:$AA$21,Settings!$Y$2:$Y$21,"Someone on camera?",Settings!$Z$2:$Z$21,S7)+SUMIFS(Settings!$AA$2:$AA$21,Settings!$Y$2:$Y$21,"OK with 3-month term?",Settings!$Z$2:$Z$21,T7)+SUMIFS(Settings!$AA$2:$AA$21,Settings!$Y$2:$Y$21,"Start timeline",Settings!$Z$2:$Z$21,U7)+SUMIFS(Settings!$AA$2:$AA$21,Settings!$Y$2:$Y$21,"Social media gap",Settings!$Z$2:$Z$21,V7)+IF(F7="",0,IF(COUNTIF(Settings!$AC$2:$AC$6,F7)&gt;0,Settings!$AA$20,Settings!$AA$21)))</f>
        <v/>
      </c>
      <c r="X7" s="44" t="str">
        <f aca="false">IF(E7="","",IF(COUNTA(Q7:V7)=0,"Not scored",IF(COUNTA(Q7:V7)&lt;6,"Partly scored ("&amp;COUNTA(Q7:V7)&amp;"/6)",IF(W7&gt;=Settings!$S$8,"Hot",IF(W7&gt;=Settings!$S$9,"Warm","Cold")))))</f>
        <v/>
      </c>
      <c r="Y7" s="44" t="str">
        <f aca="false">IF(E7="","",IF(AND(Q7="No",S7="No"),"🚩 Budget  ·  🚩 No one on camera",IF(Q7="No","🚩 Budget under AED 5k",IF(S7="No","🚩 No one on camera",""))))</f>
        <v/>
      </c>
      <c r="Z7" s="17"/>
      <c r="AA7" s="17"/>
      <c r="AB7" s="40"/>
      <c r="AC7" s="17"/>
      <c r="AD7" s="45" t="str">
        <f aca="false">IF(OR(E7="",AB7="",OR(AA7="Contract signed + paid",AA7="Closed – No response",AA7="Lost"),N(AC7)&gt;=Settings!$S$3),"",AB7+Settings!$S$2)</f>
        <v/>
      </c>
      <c r="AE7" s="40"/>
      <c r="AF7" s="41"/>
      <c r="AG7" s="17"/>
      <c r="AH7" s="17"/>
      <c r="AI7" s="17"/>
      <c r="AJ7" s="46" t="str">
        <f aca="true">IF(OR(E7="",B7=""),"",INT(TODAY()-B7))</f>
        <v/>
      </c>
      <c r="AK7" s="44" t="str">
        <f aca="true">IF(E7="","",IF(OR(COUNTIFS(Clients!$C$2:$C$501,E7,Clients!$S$2:$S$501,"Paid")&gt;0,AND(I7&lt;&gt;"",COUNTIFS(Clients!$E$2:$E$501,I7,Clients!$S$2:$S$501,"Paid")&gt;0)),"⚠ Refunded before – no free video",IF(OR(AA7="Contract signed + paid",AA7="Closed – No response",AA7="Lost"),"",IF(AA7="","Set a stage",IF(AND(AA7="Proposal sent",COUNTA(Q7:V7)&lt;6),"Score this lead – proposal sent unscored",IF(N(AC7)&gt;=Settings!$S$3,"Close – 4 follow-ups sent",IF(AD7="",IF(AB7="","Make first contact",""),IF(TODAY()&gt;AD7,"OVERDUE follow-up",IF(TODAY()=AD7,"Follow up today","")))))))))</f>
        <v/>
      </c>
    </row>
    <row r="8" customFormat="false" ht="15" hidden="false" customHeight="false" outlineLevel="0" collapsed="false">
      <c r="A8" s="17"/>
      <c r="B8" s="40"/>
      <c r="C8" s="41"/>
      <c r="D8" s="17"/>
      <c r="E8" s="17"/>
      <c r="F8" s="17"/>
      <c r="G8" s="17"/>
      <c r="H8" s="17"/>
      <c r="I8" s="42"/>
      <c r="J8" s="17"/>
      <c r="K8" s="17"/>
      <c r="L8" s="17"/>
      <c r="M8" s="17"/>
      <c r="N8" s="40"/>
      <c r="O8" s="41"/>
      <c r="P8" s="43" t="str">
        <f aca="false">IF(OR(B8="",N8=""),"",ROUND(((N8+N(O8))-(B8+N(C8)))*24,1))</f>
        <v/>
      </c>
      <c r="Q8" s="17"/>
      <c r="R8" s="17"/>
      <c r="S8" s="17"/>
      <c r="T8" s="17"/>
      <c r="U8" s="17"/>
      <c r="V8" s="17"/>
      <c r="W8" s="44" t="str">
        <f aca="false">IF(OR(E8="",COUNTA(Q8:V8)=0),"",SUMIFS(Settings!$AA$2:$AA$21,Settings!$Y$2:$Y$21,"Budget AED 5k+/mo?",Settings!$Z$2:$Z$21,Q8)+SUMIFS(Settings!$AA$2:$AA$21,Settings!$Y$2:$Y$21,"Decision-maker?",Settings!$Z$2:$Z$21,R8)+SUMIFS(Settings!$AA$2:$AA$21,Settings!$Y$2:$Y$21,"Someone on camera?",Settings!$Z$2:$Z$21,S8)+SUMIFS(Settings!$AA$2:$AA$21,Settings!$Y$2:$Y$21,"OK with 3-month term?",Settings!$Z$2:$Z$21,T8)+SUMIFS(Settings!$AA$2:$AA$21,Settings!$Y$2:$Y$21,"Start timeline",Settings!$Z$2:$Z$21,U8)+SUMIFS(Settings!$AA$2:$AA$21,Settings!$Y$2:$Y$21,"Social media gap",Settings!$Z$2:$Z$21,V8)+IF(F8="",0,IF(COUNTIF(Settings!$AC$2:$AC$6,F8)&gt;0,Settings!$AA$20,Settings!$AA$21)))</f>
        <v/>
      </c>
      <c r="X8" s="44" t="str">
        <f aca="false">IF(E8="","",IF(COUNTA(Q8:V8)=0,"Not scored",IF(COUNTA(Q8:V8)&lt;6,"Partly scored ("&amp;COUNTA(Q8:V8)&amp;"/6)",IF(W8&gt;=Settings!$S$8,"Hot",IF(W8&gt;=Settings!$S$9,"Warm","Cold")))))</f>
        <v/>
      </c>
      <c r="Y8" s="44" t="str">
        <f aca="false">IF(E8="","",IF(AND(Q8="No",S8="No"),"🚩 Budget  ·  🚩 No one on camera",IF(Q8="No","🚩 Budget under AED 5k",IF(S8="No","🚩 No one on camera",""))))</f>
        <v/>
      </c>
      <c r="Z8" s="17"/>
      <c r="AA8" s="17"/>
      <c r="AB8" s="40"/>
      <c r="AC8" s="17"/>
      <c r="AD8" s="45" t="str">
        <f aca="false">IF(OR(E8="",AB8="",OR(AA8="Contract signed + paid",AA8="Closed – No response",AA8="Lost"),N(AC8)&gt;=Settings!$S$3),"",AB8+Settings!$S$2)</f>
        <v/>
      </c>
      <c r="AE8" s="40"/>
      <c r="AF8" s="41"/>
      <c r="AG8" s="17"/>
      <c r="AH8" s="17"/>
      <c r="AI8" s="17"/>
      <c r="AJ8" s="46" t="str">
        <f aca="true">IF(OR(E8="",B8=""),"",INT(TODAY()-B8))</f>
        <v/>
      </c>
      <c r="AK8" s="44" t="str">
        <f aca="true">IF(E8="","",IF(OR(COUNTIFS(Clients!$C$2:$C$501,E8,Clients!$S$2:$S$501,"Paid")&gt;0,AND(I8&lt;&gt;"",COUNTIFS(Clients!$E$2:$E$501,I8,Clients!$S$2:$S$501,"Paid")&gt;0)),"⚠ Refunded before – no free video",IF(OR(AA8="Contract signed + paid",AA8="Closed – No response",AA8="Lost"),"",IF(AA8="","Set a stage",IF(AND(AA8="Proposal sent",COUNTA(Q8:V8)&lt;6),"Score this lead – proposal sent unscored",IF(N(AC8)&gt;=Settings!$S$3,"Close – 4 follow-ups sent",IF(AD8="",IF(AB8="","Make first contact",""),IF(TODAY()&gt;AD8,"OVERDUE follow-up",IF(TODAY()=AD8,"Follow up today","")))))))))</f>
        <v/>
      </c>
    </row>
    <row r="9" customFormat="false" ht="15" hidden="false" customHeight="false" outlineLevel="0" collapsed="false">
      <c r="A9" s="17"/>
      <c r="B9" s="40"/>
      <c r="C9" s="41"/>
      <c r="D9" s="17"/>
      <c r="E9" s="17"/>
      <c r="F9" s="17"/>
      <c r="G9" s="17"/>
      <c r="H9" s="17"/>
      <c r="I9" s="42"/>
      <c r="J9" s="17"/>
      <c r="K9" s="17"/>
      <c r="L9" s="17"/>
      <c r="M9" s="17"/>
      <c r="N9" s="40"/>
      <c r="O9" s="41"/>
      <c r="P9" s="43" t="str">
        <f aca="false">IF(OR(B9="",N9=""),"",ROUND(((N9+N(O9))-(B9+N(C9)))*24,1))</f>
        <v/>
      </c>
      <c r="Q9" s="17"/>
      <c r="R9" s="17"/>
      <c r="S9" s="17"/>
      <c r="T9" s="17"/>
      <c r="U9" s="17"/>
      <c r="V9" s="17"/>
      <c r="W9" s="44" t="str">
        <f aca="false">IF(OR(E9="",COUNTA(Q9:V9)=0),"",SUMIFS(Settings!$AA$2:$AA$21,Settings!$Y$2:$Y$21,"Budget AED 5k+/mo?",Settings!$Z$2:$Z$21,Q9)+SUMIFS(Settings!$AA$2:$AA$21,Settings!$Y$2:$Y$21,"Decision-maker?",Settings!$Z$2:$Z$21,R9)+SUMIFS(Settings!$AA$2:$AA$21,Settings!$Y$2:$Y$21,"Someone on camera?",Settings!$Z$2:$Z$21,S9)+SUMIFS(Settings!$AA$2:$AA$21,Settings!$Y$2:$Y$21,"OK with 3-month term?",Settings!$Z$2:$Z$21,T9)+SUMIFS(Settings!$AA$2:$AA$21,Settings!$Y$2:$Y$21,"Start timeline",Settings!$Z$2:$Z$21,U9)+SUMIFS(Settings!$AA$2:$AA$21,Settings!$Y$2:$Y$21,"Social media gap",Settings!$Z$2:$Z$21,V9)+IF(F9="",0,IF(COUNTIF(Settings!$AC$2:$AC$6,F9)&gt;0,Settings!$AA$20,Settings!$AA$21)))</f>
        <v/>
      </c>
      <c r="X9" s="44" t="str">
        <f aca="false">IF(E9="","",IF(COUNTA(Q9:V9)=0,"Not scored",IF(COUNTA(Q9:V9)&lt;6,"Partly scored ("&amp;COUNTA(Q9:V9)&amp;"/6)",IF(W9&gt;=Settings!$S$8,"Hot",IF(W9&gt;=Settings!$S$9,"Warm","Cold")))))</f>
        <v/>
      </c>
      <c r="Y9" s="44" t="str">
        <f aca="false">IF(E9="","",IF(AND(Q9="No",S9="No"),"🚩 Budget  ·  🚩 No one on camera",IF(Q9="No","🚩 Budget under AED 5k",IF(S9="No","🚩 No one on camera",""))))</f>
        <v/>
      </c>
      <c r="Z9" s="17"/>
      <c r="AA9" s="17"/>
      <c r="AB9" s="40"/>
      <c r="AC9" s="17"/>
      <c r="AD9" s="45" t="str">
        <f aca="false">IF(OR(E9="",AB9="",OR(AA9="Contract signed + paid",AA9="Closed – No response",AA9="Lost"),N(AC9)&gt;=Settings!$S$3),"",AB9+Settings!$S$2)</f>
        <v/>
      </c>
      <c r="AE9" s="40"/>
      <c r="AF9" s="41"/>
      <c r="AG9" s="17"/>
      <c r="AH9" s="17"/>
      <c r="AI9" s="17"/>
      <c r="AJ9" s="46" t="str">
        <f aca="true">IF(OR(E9="",B9=""),"",INT(TODAY()-B9))</f>
        <v/>
      </c>
      <c r="AK9" s="44" t="str">
        <f aca="true">IF(E9="","",IF(OR(COUNTIFS(Clients!$C$2:$C$501,E9,Clients!$S$2:$S$501,"Paid")&gt;0,AND(I9&lt;&gt;"",COUNTIFS(Clients!$E$2:$E$501,I9,Clients!$S$2:$S$501,"Paid")&gt;0)),"⚠ Refunded before – no free video",IF(OR(AA9="Contract signed + paid",AA9="Closed – No response",AA9="Lost"),"",IF(AA9="","Set a stage",IF(AND(AA9="Proposal sent",COUNTA(Q9:V9)&lt;6),"Score this lead – proposal sent unscored",IF(N(AC9)&gt;=Settings!$S$3,"Close – 4 follow-ups sent",IF(AD9="",IF(AB9="","Make first contact",""),IF(TODAY()&gt;AD9,"OVERDUE follow-up",IF(TODAY()=AD9,"Follow up today","")))))))))</f>
        <v/>
      </c>
    </row>
    <row r="10" customFormat="false" ht="15" hidden="false" customHeight="false" outlineLevel="0" collapsed="false">
      <c r="A10" s="17"/>
      <c r="B10" s="40"/>
      <c r="C10" s="41"/>
      <c r="D10" s="17"/>
      <c r="E10" s="17"/>
      <c r="F10" s="17"/>
      <c r="G10" s="17"/>
      <c r="H10" s="17"/>
      <c r="I10" s="42"/>
      <c r="J10" s="17"/>
      <c r="K10" s="17"/>
      <c r="L10" s="17"/>
      <c r="M10" s="17"/>
      <c r="N10" s="40"/>
      <c r="O10" s="41"/>
      <c r="P10" s="43" t="str">
        <f aca="false">IF(OR(B10="",N10=""),"",ROUND(((N10+N(O10))-(B10+N(C10)))*24,1))</f>
        <v/>
      </c>
      <c r="Q10" s="17"/>
      <c r="R10" s="17"/>
      <c r="S10" s="17"/>
      <c r="T10" s="17"/>
      <c r="U10" s="17"/>
      <c r="V10" s="17"/>
      <c r="W10" s="44" t="str">
        <f aca="false">IF(OR(E10="",COUNTA(Q10:V10)=0),"",SUMIFS(Settings!$AA$2:$AA$21,Settings!$Y$2:$Y$21,"Budget AED 5k+/mo?",Settings!$Z$2:$Z$21,Q10)+SUMIFS(Settings!$AA$2:$AA$21,Settings!$Y$2:$Y$21,"Decision-maker?",Settings!$Z$2:$Z$21,R10)+SUMIFS(Settings!$AA$2:$AA$21,Settings!$Y$2:$Y$21,"Someone on camera?",Settings!$Z$2:$Z$21,S10)+SUMIFS(Settings!$AA$2:$AA$21,Settings!$Y$2:$Y$21,"OK with 3-month term?",Settings!$Z$2:$Z$21,T10)+SUMIFS(Settings!$AA$2:$AA$21,Settings!$Y$2:$Y$21,"Start timeline",Settings!$Z$2:$Z$21,U10)+SUMIFS(Settings!$AA$2:$AA$21,Settings!$Y$2:$Y$21,"Social media gap",Settings!$Z$2:$Z$21,V10)+IF(F10="",0,IF(COUNTIF(Settings!$AC$2:$AC$6,F10)&gt;0,Settings!$AA$20,Settings!$AA$21)))</f>
        <v/>
      </c>
      <c r="X10" s="44" t="str">
        <f aca="false">IF(E10="","",IF(COUNTA(Q10:V10)=0,"Not scored",IF(COUNTA(Q10:V10)&lt;6,"Partly scored ("&amp;COUNTA(Q10:V10)&amp;"/6)",IF(W10&gt;=Settings!$S$8,"Hot",IF(W10&gt;=Settings!$S$9,"Warm","Cold")))))</f>
        <v/>
      </c>
      <c r="Y10" s="44" t="str">
        <f aca="false">IF(E10="","",IF(AND(Q10="No",S10="No"),"🚩 Budget  ·  🚩 No one on camera",IF(Q10="No","🚩 Budget under AED 5k",IF(S10="No","🚩 No one on camera",""))))</f>
        <v/>
      </c>
      <c r="Z10" s="17"/>
      <c r="AA10" s="17"/>
      <c r="AB10" s="40"/>
      <c r="AC10" s="17"/>
      <c r="AD10" s="45" t="str">
        <f aca="false">IF(OR(E10="",AB10="",OR(AA10="Contract signed + paid",AA10="Closed – No response",AA10="Lost"),N(AC10)&gt;=Settings!$S$3),"",AB10+Settings!$S$2)</f>
        <v/>
      </c>
      <c r="AE10" s="40"/>
      <c r="AF10" s="41"/>
      <c r="AG10" s="17"/>
      <c r="AH10" s="17"/>
      <c r="AI10" s="17"/>
      <c r="AJ10" s="46" t="str">
        <f aca="true">IF(OR(E10="",B10=""),"",INT(TODAY()-B10))</f>
        <v/>
      </c>
      <c r="AK10" s="44" t="str">
        <f aca="true">IF(E10="","",IF(OR(COUNTIFS(Clients!$C$2:$C$501,E10,Clients!$S$2:$S$501,"Paid")&gt;0,AND(I10&lt;&gt;"",COUNTIFS(Clients!$E$2:$E$501,I10,Clients!$S$2:$S$501,"Paid")&gt;0)),"⚠ Refunded before – no free video",IF(OR(AA10="Contract signed + paid",AA10="Closed – No response",AA10="Lost"),"",IF(AA10="","Set a stage",IF(AND(AA10="Proposal sent",COUNTA(Q10:V10)&lt;6),"Score this lead – proposal sent unscored",IF(N(AC10)&gt;=Settings!$S$3,"Close – 4 follow-ups sent",IF(AD10="",IF(AB10="","Make first contact",""),IF(TODAY()&gt;AD10,"OVERDUE follow-up",IF(TODAY()=AD10,"Follow up today","")))))))))</f>
        <v/>
      </c>
    </row>
    <row r="11" customFormat="false" ht="15" hidden="false" customHeight="false" outlineLevel="0" collapsed="false">
      <c r="A11" s="17"/>
      <c r="B11" s="40"/>
      <c r="C11" s="41"/>
      <c r="D11" s="17"/>
      <c r="E11" s="17"/>
      <c r="F11" s="17"/>
      <c r="G11" s="17"/>
      <c r="H11" s="17"/>
      <c r="I11" s="42"/>
      <c r="J11" s="17"/>
      <c r="K11" s="17"/>
      <c r="L11" s="17"/>
      <c r="M11" s="17"/>
      <c r="N11" s="40"/>
      <c r="O11" s="41"/>
      <c r="P11" s="43" t="str">
        <f aca="false">IF(OR(B11="",N11=""),"",ROUND(((N11+N(O11))-(B11+N(C11)))*24,1))</f>
        <v/>
      </c>
      <c r="Q11" s="17"/>
      <c r="R11" s="17"/>
      <c r="S11" s="17"/>
      <c r="T11" s="17"/>
      <c r="U11" s="17"/>
      <c r="V11" s="17"/>
      <c r="W11" s="44" t="str">
        <f aca="false">IF(OR(E11="",COUNTA(Q11:V11)=0),"",SUMIFS(Settings!$AA$2:$AA$21,Settings!$Y$2:$Y$21,"Budget AED 5k+/mo?",Settings!$Z$2:$Z$21,Q11)+SUMIFS(Settings!$AA$2:$AA$21,Settings!$Y$2:$Y$21,"Decision-maker?",Settings!$Z$2:$Z$21,R11)+SUMIFS(Settings!$AA$2:$AA$21,Settings!$Y$2:$Y$21,"Someone on camera?",Settings!$Z$2:$Z$21,S11)+SUMIFS(Settings!$AA$2:$AA$21,Settings!$Y$2:$Y$21,"OK with 3-month term?",Settings!$Z$2:$Z$21,T11)+SUMIFS(Settings!$AA$2:$AA$21,Settings!$Y$2:$Y$21,"Start timeline",Settings!$Z$2:$Z$21,U11)+SUMIFS(Settings!$AA$2:$AA$21,Settings!$Y$2:$Y$21,"Social media gap",Settings!$Z$2:$Z$21,V11)+IF(F11="",0,IF(COUNTIF(Settings!$AC$2:$AC$6,F11)&gt;0,Settings!$AA$20,Settings!$AA$21)))</f>
        <v/>
      </c>
      <c r="X11" s="44" t="str">
        <f aca="false">IF(E11="","",IF(COUNTA(Q11:V11)=0,"Not scored",IF(COUNTA(Q11:V11)&lt;6,"Partly scored ("&amp;COUNTA(Q11:V11)&amp;"/6)",IF(W11&gt;=Settings!$S$8,"Hot",IF(W11&gt;=Settings!$S$9,"Warm","Cold")))))</f>
        <v/>
      </c>
      <c r="Y11" s="44" t="str">
        <f aca="false">IF(E11="","",IF(AND(Q11="No",S11="No"),"🚩 Budget  ·  🚩 No one on camera",IF(Q11="No","🚩 Budget under AED 5k",IF(S11="No","🚩 No one on camera",""))))</f>
        <v/>
      </c>
      <c r="Z11" s="17"/>
      <c r="AA11" s="17"/>
      <c r="AB11" s="40"/>
      <c r="AC11" s="17"/>
      <c r="AD11" s="45" t="str">
        <f aca="false">IF(OR(E11="",AB11="",OR(AA11="Contract signed + paid",AA11="Closed – No response",AA11="Lost"),N(AC11)&gt;=Settings!$S$3),"",AB11+Settings!$S$2)</f>
        <v/>
      </c>
      <c r="AE11" s="40"/>
      <c r="AF11" s="41"/>
      <c r="AG11" s="17"/>
      <c r="AH11" s="17"/>
      <c r="AI11" s="17"/>
      <c r="AJ11" s="46" t="str">
        <f aca="true">IF(OR(E11="",B11=""),"",INT(TODAY()-B11))</f>
        <v/>
      </c>
      <c r="AK11" s="44" t="str">
        <f aca="true">IF(E11="","",IF(OR(COUNTIFS(Clients!$C$2:$C$501,E11,Clients!$S$2:$S$501,"Paid")&gt;0,AND(I11&lt;&gt;"",COUNTIFS(Clients!$E$2:$E$501,I11,Clients!$S$2:$S$501,"Paid")&gt;0)),"⚠ Refunded before – no free video",IF(OR(AA11="Contract signed + paid",AA11="Closed – No response",AA11="Lost"),"",IF(AA11="","Set a stage",IF(AND(AA11="Proposal sent",COUNTA(Q11:V11)&lt;6),"Score this lead – proposal sent unscored",IF(N(AC11)&gt;=Settings!$S$3,"Close – 4 follow-ups sent",IF(AD11="",IF(AB11="","Make first contact",""),IF(TODAY()&gt;AD11,"OVERDUE follow-up",IF(TODAY()=AD11,"Follow up today","")))))))))</f>
        <v/>
      </c>
    </row>
    <row r="12" customFormat="false" ht="15" hidden="false" customHeight="false" outlineLevel="0" collapsed="false">
      <c r="A12" s="17"/>
      <c r="B12" s="40"/>
      <c r="C12" s="41"/>
      <c r="D12" s="17"/>
      <c r="E12" s="17"/>
      <c r="F12" s="17"/>
      <c r="G12" s="17"/>
      <c r="H12" s="17"/>
      <c r="I12" s="42"/>
      <c r="J12" s="17"/>
      <c r="K12" s="17"/>
      <c r="L12" s="17"/>
      <c r="M12" s="17"/>
      <c r="N12" s="40"/>
      <c r="O12" s="41"/>
      <c r="P12" s="43" t="str">
        <f aca="false">IF(OR(B12="",N12=""),"",ROUND(((N12+N(O12))-(B12+N(C12)))*24,1))</f>
        <v/>
      </c>
      <c r="Q12" s="17"/>
      <c r="R12" s="17"/>
      <c r="S12" s="17"/>
      <c r="T12" s="17"/>
      <c r="U12" s="17"/>
      <c r="V12" s="17"/>
      <c r="W12" s="44" t="str">
        <f aca="false">IF(OR(E12="",COUNTA(Q12:V12)=0),"",SUMIFS(Settings!$AA$2:$AA$21,Settings!$Y$2:$Y$21,"Budget AED 5k+/mo?",Settings!$Z$2:$Z$21,Q12)+SUMIFS(Settings!$AA$2:$AA$21,Settings!$Y$2:$Y$21,"Decision-maker?",Settings!$Z$2:$Z$21,R12)+SUMIFS(Settings!$AA$2:$AA$21,Settings!$Y$2:$Y$21,"Someone on camera?",Settings!$Z$2:$Z$21,S12)+SUMIFS(Settings!$AA$2:$AA$21,Settings!$Y$2:$Y$21,"OK with 3-month term?",Settings!$Z$2:$Z$21,T12)+SUMIFS(Settings!$AA$2:$AA$21,Settings!$Y$2:$Y$21,"Start timeline",Settings!$Z$2:$Z$21,U12)+SUMIFS(Settings!$AA$2:$AA$21,Settings!$Y$2:$Y$21,"Social media gap",Settings!$Z$2:$Z$21,V12)+IF(F12="",0,IF(COUNTIF(Settings!$AC$2:$AC$6,F12)&gt;0,Settings!$AA$20,Settings!$AA$21)))</f>
        <v/>
      </c>
      <c r="X12" s="44" t="str">
        <f aca="false">IF(E12="","",IF(COUNTA(Q12:V12)=0,"Not scored",IF(COUNTA(Q12:V12)&lt;6,"Partly scored ("&amp;COUNTA(Q12:V12)&amp;"/6)",IF(W12&gt;=Settings!$S$8,"Hot",IF(W12&gt;=Settings!$S$9,"Warm","Cold")))))</f>
        <v/>
      </c>
      <c r="Y12" s="44" t="str">
        <f aca="false">IF(E12="","",IF(AND(Q12="No",S12="No"),"🚩 Budget  ·  🚩 No one on camera",IF(Q12="No","🚩 Budget under AED 5k",IF(S12="No","🚩 No one on camera",""))))</f>
        <v/>
      </c>
      <c r="Z12" s="17"/>
      <c r="AA12" s="17"/>
      <c r="AB12" s="40"/>
      <c r="AC12" s="17"/>
      <c r="AD12" s="45" t="str">
        <f aca="false">IF(OR(E12="",AB12="",OR(AA12="Contract signed + paid",AA12="Closed – No response",AA12="Lost"),N(AC12)&gt;=Settings!$S$3),"",AB12+Settings!$S$2)</f>
        <v/>
      </c>
      <c r="AE12" s="40"/>
      <c r="AF12" s="41"/>
      <c r="AG12" s="17"/>
      <c r="AH12" s="17"/>
      <c r="AI12" s="17"/>
      <c r="AJ12" s="46" t="str">
        <f aca="true">IF(OR(E12="",B12=""),"",INT(TODAY()-B12))</f>
        <v/>
      </c>
      <c r="AK12" s="44" t="str">
        <f aca="true">IF(E12="","",IF(OR(COUNTIFS(Clients!$C$2:$C$501,E12,Clients!$S$2:$S$501,"Paid")&gt;0,AND(I12&lt;&gt;"",COUNTIFS(Clients!$E$2:$E$501,I12,Clients!$S$2:$S$501,"Paid")&gt;0)),"⚠ Refunded before – no free video",IF(OR(AA12="Contract signed + paid",AA12="Closed – No response",AA12="Lost"),"",IF(AA12="","Set a stage",IF(AND(AA12="Proposal sent",COUNTA(Q12:V12)&lt;6),"Score this lead – proposal sent unscored",IF(N(AC12)&gt;=Settings!$S$3,"Close – 4 follow-ups sent",IF(AD12="",IF(AB12="","Make first contact",""),IF(TODAY()&gt;AD12,"OVERDUE follow-up",IF(TODAY()=AD12,"Follow up today","")))))))))</f>
        <v/>
      </c>
    </row>
    <row r="13" customFormat="false" ht="15" hidden="false" customHeight="false" outlineLevel="0" collapsed="false">
      <c r="A13" s="17"/>
      <c r="B13" s="40"/>
      <c r="C13" s="41"/>
      <c r="D13" s="17"/>
      <c r="E13" s="17"/>
      <c r="F13" s="17"/>
      <c r="G13" s="17"/>
      <c r="H13" s="17"/>
      <c r="I13" s="42"/>
      <c r="J13" s="17"/>
      <c r="K13" s="17"/>
      <c r="L13" s="17"/>
      <c r="M13" s="17"/>
      <c r="N13" s="40"/>
      <c r="O13" s="41"/>
      <c r="P13" s="43" t="str">
        <f aca="false">IF(OR(B13="",N13=""),"",ROUND(((N13+N(O13))-(B13+N(C13)))*24,1))</f>
        <v/>
      </c>
      <c r="Q13" s="17"/>
      <c r="R13" s="17"/>
      <c r="S13" s="17"/>
      <c r="T13" s="17"/>
      <c r="U13" s="17"/>
      <c r="V13" s="17"/>
      <c r="W13" s="44" t="str">
        <f aca="false">IF(OR(E13="",COUNTA(Q13:V13)=0),"",SUMIFS(Settings!$AA$2:$AA$21,Settings!$Y$2:$Y$21,"Budget AED 5k+/mo?",Settings!$Z$2:$Z$21,Q13)+SUMIFS(Settings!$AA$2:$AA$21,Settings!$Y$2:$Y$21,"Decision-maker?",Settings!$Z$2:$Z$21,R13)+SUMIFS(Settings!$AA$2:$AA$21,Settings!$Y$2:$Y$21,"Someone on camera?",Settings!$Z$2:$Z$21,S13)+SUMIFS(Settings!$AA$2:$AA$21,Settings!$Y$2:$Y$21,"OK with 3-month term?",Settings!$Z$2:$Z$21,T13)+SUMIFS(Settings!$AA$2:$AA$21,Settings!$Y$2:$Y$21,"Start timeline",Settings!$Z$2:$Z$21,U13)+SUMIFS(Settings!$AA$2:$AA$21,Settings!$Y$2:$Y$21,"Social media gap",Settings!$Z$2:$Z$21,V13)+IF(F13="",0,IF(COUNTIF(Settings!$AC$2:$AC$6,F13)&gt;0,Settings!$AA$20,Settings!$AA$21)))</f>
        <v/>
      </c>
      <c r="X13" s="44" t="str">
        <f aca="false">IF(E13="","",IF(COUNTA(Q13:V13)=0,"Not scored",IF(COUNTA(Q13:V13)&lt;6,"Partly scored ("&amp;COUNTA(Q13:V13)&amp;"/6)",IF(W13&gt;=Settings!$S$8,"Hot",IF(W13&gt;=Settings!$S$9,"Warm","Cold")))))</f>
        <v/>
      </c>
      <c r="Y13" s="44" t="str">
        <f aca="false">IF(E13="","",IF(AND(Q13="No",S13="No"),"🚩 Budget  ·  🚩 No one on camera",IF(Q13="No","🚩 Budget under AED 5k",IF(S13="No","🚩 No one on camera",""))))</f>
        <v/>
      </c>
      <c r="Z13" s="17"/>
      <c r="AA13" s="17"/>
      <c r="AB13" s="40"/>
      <c r="AC13" s="17"/>
      <c r="AD13" s="45" t="str">
        <f aca="false">IF(OR(E13="",AB13="",OR(AA13="Contract signed + paid",AA13="Closed – No response",AA13="Lost"),N(AC13)&gt;=Settings!$S$3),"",AB13+Settings!$S$2)</f>
        <v/>
      </c>
      <c r="AE13" s="40"/>
      <c r="AF13" s="41"/>
      <c r="AG13" s="17"/>
      <c r="AH13" s="17"/>
      <c r="AI13" s="17"/>
      <c r="AJ13" s="46" t="str">
        <f aca="true">IF(OR(E13="",B13=""),"",INT(TODAY()-B13))</f>
        <v/>
      </c>
      <c r="AK13" s="44" t="str">
        <f aca="true">IF(E13="","",IF(OR(COUNTIFS(Clients!$C$2:$C$501,E13,Clients!$S$2:$S$501,"Paid")&gt;0,AND(I13&lt;&gt;"",COUNTIFS(Clients!$E$2:$E$501,I13,Clients!$S$2:$S$501,"Paid")&gt;0)),"⚠ Refunded before – no free video",IF(OR(AA13="Contract signed + paid",AA13="Closed – No response",AA13="Lost"),"",IF(AA13="","Set a stage",IF(AND(AA13="Proposal sent",COUNTA(Q13:V13)&lt;6),"Score this lead – proposal sent unscored",IF(N(AC13)&gt;=Settings!$S$3,"Close – 4 follow-ups sent",IF(AD13="",IF(AB13="","Make first contact",""),IF(TODAY()&gt;AD13,"OVERDUE follow-up",IF(TODAY()=AD13,"Follow up today","")))))))))</f>
        <v/>
      </c>
    </row>
    <row r="14" customFormat="false" ht="15" hidden="false" customHeight="false" outlineLevel="0" collapsed="false">
      <c r="A14" s="17"/>
      <c r="B14" s="40"/>
      <c r="C14" s="41"/>
      <c r="D14" s="17"/>
      <c r="E14" s="17"/>
      <c r="F14" s="17"/>
      <c r="G14" s="17"/>
      <c r="H14" s="17"/>
      <c r="I14" s="42"/>
      <c r="J14" s="17"/>
      <c r="K14" s="17"/>
      <c r="L14" s="17"/>
      <c r="M14" s="17"/>
      <c r="N14" s="40"/>
      <c r="O14" s="41"/>
      <c r="P14" s="43" t="str">
        <f aca="false">IF(OR(B14="",N14=""),"",ROUND(((N14+N(O14))-(B14+N(C14)))*24,1))</f>
        <v/>
      </c>
      <c r="Q14" s="17"/>
      <c r="R14" s="17"/>
      <c r="S14" s="17"/>
      <c r="T14" s="17"/>
      <c r="U14" s="17"/>
      <c r="V14" s="17"/>
      <c r="W14" s="44" t="str">
        <f aca="false">IF(OR(E14="",COUNTA(Q14:V14)=0),"",SUMIFS(Settings!$AA$2:$AA$21,Settings!$Y$2:$Y$21,"Budget AED 5k+/mo?",Settings!$Z$2:$Z$21,Q14)+SUMIFS(Settings!$AA$2:$AA$21,Settings!$Y$2:$Y$21,"Decision-maker?",Settings!$Z$2:$Z$21,R14)+SUMIFS(Settings!$AA$2:$AA$21,Settings!$Y$2:$Y$21,"Someone on camera?",Settings!$Z$2:$Z$21,S14)+SUMIFS(Settings!$AA$2:$AA$21,Settings!$Y$2:$Y$21,"OK with 3-month term?",Settings!$Z$2:$Z$21,T14)+SUMIFS(Settings!$AA$2:$AA$21,Settings!$Y$2:$Y$21,"Start timeline",Settings!$Z$2:$Z$21,U14)+SUMIFS(Settings!$AA$2:$AA$21,Settings!$Y$2:$Y$21,"Social media gap",Settings!$Z$2:$Z$21,V14)+IF(F14="",0,IF(COUNTIF(Settings!$AC$2:$AC$6,F14)&gt;0,Settings!$AA$20,Settings!$AA$21)))</f>
        <v/>
      </c>
      <c r="X14" s="44" t="str">
        <f aca="false">IF(E14="","",IF(COUNTA(Q14:V14)=0,"Not scored",IF(COUNTA(Q14:V14)&lt;6,"Partly scored ("&amp;COUNTA(Q14:V14)&amp;"/6)",IF(W14&gt;=Settings!$S$8,"Hot",IF(W14&gt;=Settings!$S$9,"Warm","Cold")))))</f>
        <v/>
      </c>
      <c r="Y14" s="44" t="str">
        <f aca="false">IF(E14="","",IF(AND(Q14="No",S14="No"),"🚩 Budget  ·  🚩 No one on camera",IF(Q14="No","🚩 Budget under AED 5k",IF(S14="No","🚩 No one on camera",""))))</f>
        <v/>
      </c>
      <c r="Z14" s="17"/>
      <c r="AA14" s="17"/>
      <c r="AB14" s="40"/>
      <c r="AC14" s="17"/>
      <c r="AD14" s="45" t="str">
        <f aca="false">IF(OR(E14="",AB14="",OR(AA14="Contract signed + paid",AA14="Closed – No response",AA14="Lost"),N(AC14)&gt;=Settings!$S$3),"",AB14+Settings!$S$2)</f>
        <v/>
      </c>
      <c r="AE14" s="40"/>
      <c r="AF14" s="41"/>
      <c r="AG14" s="17"/>
      <c r="AH14" s="17"/>
      <c r="AI14" s="17"/>
      <c r="AJ14" s="46" t="str">
        <f aca="true">IF(OR(E14="",B14=""),"",INT(TODAY()-B14))</f>
        <v/>
      </c>
      <c r="AK14" s="44" t="str">
        <f aca="true">IF(E14="","",IF(OR(COUNTIFS(Clients!$C$2:$C$501,E14,Clients!$S$2:$S$501,"Paid")&gt;0,AND(I14&lt;&gt;"",COUNTIFS(Clients!$E$2:$E$501,I14,Clients!$S$2:$S$501,"Paid")&gt;0)),"⚠ Refunded before – no free video",IF(OR(AA14="Contract signed + paid",AA14="Closed – No response",AA14="Lost"),"",IF(AA14="","Set a stage",IF(AND(AA14="Proposal sent",COUNTA(Q14:V14)&lt;6),"Score this lead – proposal sent unscored",IF(N(AC14)&gt;=Settings!$S$3,"Close – 4 follow-ups sent",IF(AD14="",IF(AB14="","Make first contact",""),IF(TODAY()&gt;AD14,"OVERDUE follow-up",IF(TODAY()=AD14,"Follow up today","")))))))))</f>
        <v/>
      </c>
    </row>
    <row r="15" customFormat="false" ht="15" hidden="false" customHeight="false" outlineLevel="0" collapsed="false">
      <c r="A15" s="17"/>
      <c r="B15" s="40"/>
      <c r="C15" s="41"/>
      <c r="D15" s="17"/>
      <c r="E15" s="17"/>
      <c r="F15" s="17"/>
      <c r="G15" s="17"/>
      <c r="H15" s="17"/>
      <c r="I15" s="42"/>
      <c r="J15" s="17"/>
      <c r="K15" s="17"/>
      <c r="L15" s="17"/>
      <c r="M15" s="17"/>
      <c r="N15" s="40"/>
      <c r="O15" s="41"/>
      <c r="P15" s="43" t="str">
        <f aca="false">IF(OR(B15="",N15=""),"",ROUND(((N15+N(O15))-(B15+N(C15)))*24,1))</f>
        <v/>
      </c>
      <c r="Q15" s="17"/>
      <c r="R15" s="17"/>
      <c r="S15" s="17"/>
      <c r="T15" s="17"/>
      <c r="U15" s="17"/>
      <c r="V15" s="17"/>
      <c r="W15" s="44" t="str">
        <f aca="false">IF(OR(E15="",COUNTA(Q15:V15)=0),"",SUMIFS(Settings!$AA$2:$AA$21,Settings!$Y$2:$Y$21,"Budget AED 5k+/mo?",Settings!$Z$2:$Z$21,Q15)+SUMIFS(Settings!$AA$2:$AA$21,Settings!$Y$2:$Y$21,"Decision-maker?",Settings!$Z$2:$Z$21,R15)+SUMIFS(Settings!$AA$2:$AA$21,Settings!$Y$2:$Y$21,"Someone on camera?",Settings!$Z$2:$Z$21,S15)+SUMIFS(Settings!$AA$2:$AA$21,Settings!$Y$2:$Y$21,"OK with 3-month term?",Settings!$Z$2:$Z$21,T15)+SUMIFS(Settings!$AA$2:$AA$21,Settings!$Y$2:$Y$21,"Start timeline",Settings!$Z$2:$Z$21,U15)+SUMIFS(Settings!$AA$2:$AA$21,Settings!$Y$2:$Y$21,"Social media gap",Settings!$Z$2:$Z$21,V15)+IF(F15="",0,IF(COUNTIF(Settings!$AC$2:$AC$6,F15)&gt;0,Settings!$AA$20,Settings!$AA$21)))</f>
        <v/>
      </c>
      <c r="X15" s="44" t="str">
        <f aca="false">IF(E15="","",IF(COUNTA(Q15:V15)=0,"Not scored",IF(COUNTA(Q15:V15)&lt;6,"Partly scored ("&amp;COUNTA(Q15:V15)&amp;"/6)",IF(W15&gt;=Settings!$S$8,"Hot",IF(W15&gt;=Settings!$S$9,"Warm","Cold")))))</f>
        <v/>
      </c>
      <c r="Y15" s="44" t="str">
        <f aca="false">IF(E15="","",IF(AND(Q15="No",S15="No"),"🚩 Budget  ·  🚩 No one on camera",IF(Q15="No","🚩 Budget under AED 5k",IF(S15="No","🚩 No one on camera",""))))</f>
        <v/>
      </c>
      <c r="Z15" s="17"/>
      <c r="AA15" s="17"/>
      <c r="AB15" s="40"/>
      <c r="AC15" s="17"/>
      <c r="AD15" s="45" t="str">
        <f aca="false">IF(OR(E15="",AB15="",OR(AA15="Contract signed + paid",AA15="Closed – No response",AA15="Lost"),N(AC15)&gt;=Settings!$S$3),"",AB15+Settings!$S$2)</f>
        <v/>
      </c>
      <c r="AE15" s="40"/>
      <c r="AF15" s="41"/>
      <c r="AG15" s="17"/>
      <c r="AH15" s="17"/>
      <c r="AI15" s="17"/>
      <c r="AJ15" s="46" t="str">
        <f aca="true">IF(OR(E15="",B15=""),"",INT(TODAY()-B15))</f>
        <v/>
      </c>
      <c r="AK15" s="44" t="str">
        <f aca="true">IF(E15="","",IF(OR(COUNTIFS(Clients!$C$2:$C$501,E15,Clients!$S$2:$S$501,"Paid")&gt;0,AND(I15&lt;&gt;"",COUNTIFS(Clients!$E$2:$E$501,I15,Clients!$S$2:$S$501,"Paid")&gt;0)),"⚠ Refunded before – no free video",IF(OR(AA15="Contract signed + paid",AA15="Closed – No response",AA15="Lost"),"",IF(AA15="","Set a stage",IF(AND(AA15="Proposal sent",COUNTA(Q15:V15)&lt;6),"Score this lead – proposal sent unscored",IF(N(AC15)&gt;=Settings!$S$3,"Close – 4 follow-ups sent",IF(AD15="",IF(AB15="","Make first contact",""),IF(TODAY()&gt;AD15,"OVERDUE follow-up",IF(TODAY()=AD15,"Follow up today","")))))))))</f>
        <v/>
      </c>
    </row>
    <row r="16" customFormat="false" ht="15" hidden="false" customHeight="false" outlineLevel="0" collapsed="false">
      <c r="A16" s="17"/>
      <c r="B16" s="40"/>
      <c r="C16" s="41"/>
      <c r="D16" s="17"/>
      <c r="E16" s="17"/>
      <c r="F16" s="17"/>
      <c r="G16" s="17"/>
      <c r="H16" s="17"/>
      <c r="I16" s="42"/>
      <c r="J16" s="17"/>
      <c r="K16" s="17"/>
      <c r="L16" s="17"/>
      <c r="M16" s="17"/>
      <c r="N16" s="40"/>
      <c r="O16" s="41"/>
      <c r="P16" s="43" t="str">
        <f aca="false">IF(OR(B16="",N16=""),"",ROUND(((N16+N(O16))-(B16+N(C16)))*24,1))</f>
        <v/>
      </c>
      <c r="Q16" s="17"/>
      <c r="R16" s="17"/>
      <c r="S16" s="17"/>
      <c r="T16" s="17"/>
      <c r="U16" s="17"/>
      <c r="V16" s="17"/>
      <c r="W16" s="44" t="str">
        <f aca="false">IF(OR(E16="",COUNTA(Q16:V16)=0),"",SUMIFS(Settings!$AA$2:$AA$21,Settings!$Y$2:$Y$21,"Budget AED 5k+/mo?",Settings!$Z$2:$Z$21,Q16)+SUMIFS(Settings!$AA$2:$AA$21,Settings!$Y$2:$Y$21,"Decision-maker?",Settings!$Z$2:$Z$21,R16)+SUMIFS(Settings!$AA$2:$AA$21,Settings!$Y$2:$Y$21,"Someone on camera?",Settings!$Z$2:$Z$21,S16)+SUMIFS(Settings!$AA$2:$AA$21,Settings!$Y$2:$Y$21,"OK with 3-month term?",Settings!$Z$2:$Z$21,T16)+SUMIFS(Settings!$AA$2:$AA$21,Settings!$Y$2:$Y$21,"Start timeline",Settings!$Z$2:$Z$21,U16)+SUMIFS(Settings!$AA$2:$AA$21,Settings!$Y$2:$Y$21,"Social media gap",Settings!$Z$2:$Z$21,V16)+IF(F16="",0,IF(COUNTIF(Settings!$AC$2:$AC$6,F16)&gt;0,Settings!$AA$20,Settings!$AA$21)))</f>
        <v/>
      </c>
      <c r="X16" s="44" t="str">
        <f aca="false">IF(E16="","",IF(COUNTA(Q16:V16)=0,"Not scored",IF(COUNTA(Q16:V16)&lt;6,"Partly scored ("&amp;COUNTA(Q16:V16)&amp;"/6)",IF(W16&gt;=Settings!$S$8,"Hot",IF(W16&gt;=Settings!$S$9,"Warm","Cold")))))</f>
        <v/>
      </c>
      <c r="Y16" s="44" t="str">
        <f aca="false">IF(E16="","",IF(AND(Q16="No",S16="No"),"🚩 Budget  ·  🚩 No one on camera",IF(Q16="No","🚩 Budget under AED 5k",IF(S16="No","🚩 No one on camera",""))))</f>
        <v/>
      </c>
      <c r="Z16" s="17"/>
      <c r="AA16" s="17"/>
      <c r="AB16" s="40"/>
      <c r="AC16" s="17"/>
      <c r="AD16" s="45" t="str">
        <f aca="false">IF(OR(E16="",AB16="",OR(AA16="Contract signed + paid",AA16="Closed – No response",AA16="Lost"),N(AC16)&gt;=Settings!$S$3),"",AB16+Settings!$S$2)</f>
        <v/>
      </c>
      <c r="AE16" s="40"/>
      <c r="AF16" s="41"/>
      <c r="AG16" s="17"/>
      <c r="AH16" s="17"/>
      <c r="AI16" s="17"/>
      <c r="AJ16" s="46" t="str">
        <f aca="true">IF(OR(E16="",B16=""),"",INT(TODAY()-B16))</f>
        <v/>
      </c>
      <c r="AK16" s="44" t="str">
        <f aca="true">IF(E16="","",IF(OR(COUNTIFS(Clients!$C$2:$C$501,E16,Clients!$S$2:$S$501,"Paid")&gt;0,AND(I16&lt;&gt;"",COUNTIFS(Clients!$E$2:$E$501,I16,Clients!$S$2:$S$501,"Paid")&gt;0)),"⚠ Refunded before – no free video",IF(OR(AA16="Contract signed + paid",AA16="Closed – No response",AA16="Lost"),"",IF(AA16="","Set a stage",IF(AND(AA16="Proposal sent",COUNTA(Q16:V16)&lt;6),"Score this lead – proposal sent unscored",IF(N(AC16)&gt;=Settings!$S$3,"Close – 4 follow-ups sent",IF(AD16="",IF(AB16="","Make first contact",""),IF(TODAY()&gt;AD16,"OVERDUE follow-up",IF(TODAY()=AD16,"Follow up today","")))))))))</f>
        <v/>
      </c>
    </row>
    <row r="17" customFormat="false" ht="15" hidden="false" customHeight="false" outlineLevel="0" collapsed="false">
      <c r="A17" s="17"/>
      <c r="B17" s="40"/>
      <c r="C17" s="41"/>
      <c r="D17" s="17"/>
      <c r="E17" s="17"/>
      <c r="F17" s="17"/>
      <c r="G17" s="17"/>
      <c r="H17" s="17"/>
      <c r="I17" s="42"/>
      <c r="J17" s="17"/>
      <c r="K17" s="17"/>
      <c r="L17" s="17"/>
      <c r="M17" s="17"/>
      <c r="N17" s="40"/>
      <c r="O17" s="41"/>
      <c r="P17" s="43" t="str">
        <f aca="false">IF(OR(B17="",N17=""),"",ROUND(((N17+N(O17))-(B17+N(C17)))*24,1))</f>
        <v/>
      </c>
      <c r="Q17" s="17"/>
      <c r="R17" s="17"/>
      <c r="S17" s="17"/>
      <c r="T17" s="17"/>
      <c r="U17" s="17"/>
      <c r="V17" s="17"/>
      <c r="W17" s="44" t="str">
        <f aca="false">IF(OR(E17="",COUNTA(Q17:V17)=0),"",SUMIFS(Settings!$AA$2:$AA$21,Settings!$Y$2:$Y$21,"Budget AED 5k+/mo?",Settings!$Z$2:$Z$21,Q17)+SUMIFS(Settings!$AA$2:$AA$21,Settings!$Y$2:$Y$21,"Decision-maker?",Settings!$Z$2:$Z$21,R17)+SUMIFS(Settings!$AA$2:$AA$21,Settings!$Y$2:$Y$21,"Someone on camera?",Settings!$Z$2:$Z$21,S17)+SUMIFS(Settings!$AA$2:$AA$21,Settings!$Y$2:$Y$21,"OK with 3-month term?",Settings!$Z$2:$Z$21,T17)+SUMIFS(Settings!$AA$2:$AA$21,Settings!$Y$2:$Y$21,"Start timeline",Settings!$Z$2:$Z$21,U17)+SUMIFS(Settings!$AA$2:$AA$21,Settings!$Y$2:$Y$21,"Social media gap",Settings!$Z$2:$Z$21,V17)+IF(F17="",0,IF(COUNTIF(Settings!$AC$2:$AC$6,F17)&gt;0,Settings!$AA$20,Settings!$AA$21)))</f>
        <v/>
      </c>
      <c r="X17" s="44" t="str">
        <f aca="false">IF(E17="","",IF(COUNTA(Q17:V17)=0,"Not scored",IF(COUNTA(Q17:V17)&lt;6,"Partly scored ("&amp;COUNTA(Q17:V17)&amp;"/6)",IF(W17&gt;=Settings!$S$8,"Hot",IF(W17&gt;=Settings!$S$9,"Warm","Cold")))))</f>
        <v/>
      </c>
      <c r="Y17" s="44" t="str">
        <f aca="false">IF(E17="","",IF(AND(Q17="No",S17="No"),"🚩 Budget  ·  🚩 No one on camera",IF(Q17="No","🚩 Budget under AED 5k",IF(S17="No","🚩 No one on camera",""))))</f>
        <v/>
      </c>
      <c r="Z17" s="17"/>
      <c r="AA17" s="17"/>
      <c r="AB17" s="40"/>
      <c r="AC17" s="17"/>
      <c r="AD17" s="45" t="str">
        <f aca="false">IF(OR(E17="",AB17="",OR(AA17="Contract signed + paid",AA17="Closed – No response",AA17="Lost"),N(AC17)&gt;=Settings!$S$3),"",AB17+Settings!$S$2)</f>
        <v/>
      </c>
      <c r="AE17" s="40"/>
      <c r="AF17" s="41"/>
      <c r="AG17" s="17"/>
      <c r="AH17" s="17"/>
      <c r="AI17" s="17"/>
      <c r="AJ17" s="46" t="str">
        <f aca="true">IF(OR(E17="",B17=""),"",INT(TODAY()-B17))</f>
        <v/>
      </c>
      <c r="AK17" s="44" t="str">
        <f aca="true">IF(E17="","",IF(OR(COUNTIFS(Clients!$C$2:$C$501,E17,Clients!$S$2:$S$501,"Paid")&gt;0,AND(I17&lt;&gt;"",COUNTIFS(Clients!$E$2:$E$501,I17,Clients!$S$2:$S$501,"Paid")&gt;0)),"⚠ Refunded before – no free video",IF(OR(AA17="Contract signed + paid",AA17="Closed – No response",AA17="Lost"),"",IF(AA17="","Set a stage",IF(AND(AA17="Proposal sent",COUNTA(Q17:V17)&lt;6),"Score this lead – proposal sent unscored",IF(N(AC17)&gt;=Settings!$S$3,"Close – 4 follow-ups sent",IF(AD17="",IF(AB17="","Make first contact",""),IF(TODAY()&gt;AD17,"OVERDUE follow-up",IF(TODAY()=AD17,"Follow up today","")))))))))</f>
        <v/>
      </c>
    </row>
    <row r="18" customFormat="false" ht="15" hidden="false" customHeight="false" outlineLevel="0" collapsed="false">
      <c r="A18" s="17"/>
      <c r="B18" s="40"/>
      <c r="C18" s="41"/>
      <c r="D18" s="17"/>
      <c r="E18" s="17"/>
      <c r="F18" s="17"/>
      <c r="G18" s="17"/>
      <c r="H18" s="17"/>
      <c r="I18" s="42"/>
      <c r="J18" s="17"/>
      <c r="K18" s="17"/>
      <c r="L18" s="17"/>
      <c r="M18" s="17"/>
      <c r="N18" s="40"/>
      <c r="O18" s="41"/>
      <c r="P18" s="43" t="str">
        <f aca="false">IF(OR(B18="",N18=""),"",ROUND(((N18+N(O18))-(B18+N(C18)))*24,1))</f>
        <v/>
      </c>
      <c r="Q18" s="17"/>
      <c r="R18" s="17"/>
      <c r="S18" s="17"/>
      <c r="T18" s="17"/>
      <c r="U18" s="17"/>
      <c r="V18" s="17"/>
      <c r="W18" s="44" t="str">
        <f aca="false">IF(OR(E18="",COUNTA(Q18:V18)=0),"",SUMIFS(Settings!$AA$2:$AA$21,Settings!$Y$2:$Y$21,"Budget AED 5k+/mo?",Settings!$Z$2:$Z$21,Q18)+SUMIFS(Settings!$AA$2:$AA$21,Settings!$Y$2:$Y$21,"Decision-maker?",Settings!$Z$2:$Z$21,R18)+SUMIFS(Settings!$AA$2:$AA$21,Settings!$Y$2:$Y$21,"Someone on camera?",Settings!$Z$2:$Z$21,S18)+SUMIFS(Settings!$AA$2:$AA$21,Settings!$Y$2:$Y$21,"OK with 3-month term?",Settings!$Z$2:$Z$21,T18)+SUMIFS(Settings!$AA$2:$AA$21,Settings!$Y$2:$Y$21,"Start timeline",Settings!$Z$2:$Z$21,U18)+SUMIFS(Settings!$AA$2:$AA$21,Settings!$Y$2:$Y$21,"Social media gap",Settings!$Z$2:$Z$21,V18)+IF(F18="",0,IF(COUNTIF(Settings!$AC$2:$AC$6,F18)&gt;0,Settings!$AA$20,Settings!$AA$21)))</f>
        <v/>
      </c>
      <c r="X18" s="44" t="str">
        <f aca="false">IF(E18="","",IF(COUNTA(Q18:V18)=0,"Not scored",IF(COUNTA(Q18:V18)&lt;6,"Partly scored ("&amp;COUNTA(Q18:V18)&amp;"/6)",IF(W18&gt;=Settings!$S$8,"Hot",IF(W18&gt;=Settings!$S$9,"Warm","Cold")))))</f>
        <v/>
      </c>
      <c r="Y18" s="44" t="str">
        <f aca="false">IF(E18="","",IF(AND(Q18="No",S18="No"),"🚩 Budget  ·  🚩 No one on camera",IF(Q18="No","🚩 Budget under AED 5k",IF(S18="No","🚩 No one on camera",""))))</f>
        <v/>
      </c>
      <c r="Z18" s="17"/>
      <c r="AA18" s="17"/>
      <c r="AB18" s="40"/>
      <c r="AC18" s="17"/>
      <c r="AD18" s="45" t="str">
        <f aca="false">IF(OR(E18="",AB18="",OR(AA18="Contract signed + paid",AA18="Closed – No response",AA18="Lost"),N(AC18)&gt;=Settings!$S$3),"",AB18+Settings!$S$2)</f>
        <v/>
      </c>
      <c r="AE18" s="40"/>
      <c r="AF18" s="41"/>
      <c r="AG18" s="17"/>
      <c r="AH18" s="17"/>
      <c r="AI18" s="17"/>
      <c r="AJ18" s="46" t="str">
        <f aca="true">IF(OR(E18="",B18=""),"",INT(TODAY()-B18))</f>
        <v/>
      </c>
      <c r="AK18" s="44" t="str">
        <f aca="true">IF(E18="","",IF(OR(COUNTIFS(Clients!$C$2:$C$501,E18,Clients!$S$2:$S$501,"Paid")&gt;0,AND(I18&lt;&gt;"",COUNTIFS(Clients!$E$2:$E$501,I18,Clients!$S$2:$S$501,"Paid")&gt;0)),"⚠ Refunded before – no free video",IF(OR(AA18="Contract signed + paid",AA18="Closed – No response",AA18="Lost"),"",IF(AA18="","Set a stage",IF(AND(AA18="Proposal sent",COUNTA(Q18:V18)&lt;6),"Score this lead – proposal sent unscored",IF(N(AC18)&gt;=Settings!$S$3,"Close – 4 follow-ups sent",IF(AD18="",IF(AB18="","Make first contact",""),IF(TODAY()&gt;AD18,"OVERDUE follow-up",IF(TODAY()=AD18,"Follow up today","")))))))))</f>
        <v/>
      </c>
    </row>
    <row r="19" customFormat="false" ht="15" hidden="false" customHeight="false" outlineLevel="0" collapsed="false">
      <c r="A19" s="17"/>
      <c r="B19" s="40"/>
      <c r="C19" s="41"/>
      <c r="D19" s="17"/>
      <c r="E19" s="17"/>
      <c r="F19" s="17"/>
      <c r="G19" s="17"/>
      <c r="H19" s="17"/>
      <c r="I19" s="42"/>
      <c r="J19" s="17"/>
      <c r="K19" s="17"/>
      <c r="L19" s="17"/>
      <c r="M19" s="17"/>
      <c r="N19" s="40"/>
      <c r="O19" s="41"/>
      <c r="P19" s="43" t="str">
        <f aca="false">IF(OR(B19="",N19=""),"",ROUND(((N19+N(O19))-(B19+N(C19)))*24,1))</f>
        <v/>
      </c>
      <c r="Q19" s="17"/>
      <c r="R19" s="17"/>
      <c r="S19" s="17"/>
      <c r="T19" s="17"/>
      <c r="U19" s="17"/>
      <c r="V19" s="17"/>
      <c r="W19" s="44" t="str">
        <f aca="false">IF(OR(E19="",COUNTA(Q19:V19)=0),"",SUMIFS(Settings!$AA$2:$AA$21,Settings!$Y$2:$Y$21,"Budget AED 5k+/mo?",Settings!$Z$2:$Z$21,Q19)+SUMIFS(Settings!$AA$2:$AA$21,Settings!$Y$2:$Y$21,"Decision-maker?",Settings!$Z$2:$Z$21,R19)+SUMIFS(Settings!$AA$2:$AA$21,Settings!$Y$2:$Y$21,"Someone on camera?",Settings!$Z$2:$Z$21,S19)+SUMIFS(Settings!$AA$2:$AA$21,Settings!$Y$2:$Y$21,"OK with 3-month term?",Settings!$Z$2:$Z$21,T19)+SUMIFS(Settings!$AA$2:$AA$21,Settings!$Y$2:$Y$21,"Start timeline",Settings!$Z$2:$Z$21,U19)+SUMIFS(Settings!$AA$2:$AA$21,Settings!$Y$2:$Y$21,"Social media gap",Settings!$Z$2:$Z$21,V19)+IF(F19="",0,IF(COUNTIF(Settings!$AC$2:$AC$6,F19)&gt;0,Settings!$AA$20,Settings!$AA$21)))</f>
        <v/>
      </c>
      <c r="X19" s="44" t="str">
        <f aca="false">IF(E19="","",IF(COUNTA(Q19:V19)=0,"Not scored",IF(COUNTA(Q19:V19)&lt;6,"Partly scored ("&amp;COUNTA(Q19:V19)&amp;"/6)",IF(W19&gt;=Settings!$S$8,"Hot",IF(W19&gt;=Settings!$S$9,"Warm","Cold")))))</f>
        <v/>
      </c>
      <c r="Y19" s="44" t="str">
        <f aca="false">IF(E19="","",IF(AND(Q19="No",S19="No"),"🚩 Budget  ·  🚩 No one on camera",IF(Q19="No","🚩 Budget under AED 5k",IF(S19="No","🚩 No one on camera",""))))</f>
        <v/>
      </c>
      <c r="Z19" s="17"/>
      <c r="AA19" s="17"/>
      <c r="AB19" s="40"/>
      <c r="AC19" s="17"/>
      <c r="AD19" s="45" t="str">
        <f aca="false">IF(OR(E19="",AB19="",OR(AA19="Contract signed + paid",AA19="Closed – No response",AA19="Lost"),N(AC19)&gt;=Settings!$S$3),"",AB19+Settings!$S$2)</f>
        <v/>
      </c>
      <c r="AE19" s="40"/>
      <c r="AF19" s="41"/>
      <c r="AG19" s="17"/>
      <c r="AH19" s="17"/>
      <c r="AI19" s="17"/>
      <c r="AJ19" s="46" t="str">
        <f aca="true">IF(OR(E19="",B19=""),"",INT(TODAY()-B19))</f>
        <v/>
      </c>
      <c r="AK19" s="44" t="str">
        <f aca="true">IF(E19="","",IF(OR(COUNTIFS(Clients!$C$2:$C$501,E19,Clients!$S$2:$S$501,"Paid")&gt;0,AND(I19&lt;&gt;"",COUNTIFS(Clients!$E$2:$E$501,I19,Clients!$S$2:$S$501,"Paid")&gt;0)),"⚠ Refunded before – no free video",IF(OR(AA19="Contract signed + paid",AA19="Closed – No response",AA19="Lost"),"",IF(AA19="","Set a stage",IF(AND(AA19="Proposal sent",COUNTA(Q19:V19)&lt;6),"Score this lead – proposal sent unscored",IF(N(AC19)&gt;=Settings!$S$3,"Close – 4 follow-ups sent",IF(AD19="",IF(AB19="","Make first contact",""),IF(TODAY()&gt;AD19,"OVERDUE follow-up",IF(TODAY()=AD19,"Follow up today","")))))))))</f>
        <v/>
      </c>
    </row>
    <row r="20" customFormat="false" ht="15" hidden="false" customHeight="false" outlineLevel="0" collapsed="false">
      <c r="A20" s="17"/>
      <c r="B20" s="40"/>
      <c r="C20" s="41"/>
      <c r="D20" s="17"/>
      <c r="E20" s="17"/>
      <c r="F20" s="17"/>
      <c r="G20" s="17"/>
      <c r="H20" s="17"/>
      <c r="I20" s="42"/>
      <c r="J20" s="17"/>
      <c r="K20" s="17"/>
      <c r="L20" s="17"/>
      <c r="M20" s="17"/>
      <c r="N20" s="40"/>
      <c r="O20" s="41"/>
      <c r="P20" s="43" t="str">
        <f aca="false">IF(OR(B20="",N20=""),"",ROUND(((N20+N(O20))-(B20+N(C20)))*24,1))</f>
        <v/>
      </c>
      <c r="Q20" s="17"/>
      <c r="R20" s="17"/>
      <c r="S20" s="17"/>
      <c r="T20" s="17"/>
      <c r="U20" s="17"/>
      <c r="V20" s="17"/>
      <c r="W20" s="44" t="str">
        <f aca="false">IF(OR(E20="",COUNTA(Q20:V20)=0),"",SUMIFS(Settings!$AA$2:$AA$21,Settings!$Y$2:$Y$21,"Budget AED 5k+/mo?",Settings!$Z$2:$Z$21,Q20)+SUMIFS(Settings!$AA$2:$AA$21,Settings!$Y$2:$Y$21,"Decision-maker?",Settings!$Z$2:$Z$21,R20)+SUMIFS(Settings!$AA$2:$AA$21,Settings!$Y$2:$Y$21,"Someone on camera?",Settings!$Z$2:$Z$21,S20)+SUMIFS(Settings!$AA$2:$AA$21,Settings!$Y$2:$Y$21,"OK with 3-month term?",Settings!$Z$2:$Z$21,T20)+SUMIFS(Settings!$AA$2:$AA$21,Settings!$Y$2:$Y$21,"Start timeline",Settings!$Z$2:$Z$21,U20)+SUMIFS(Settings!$AA$2:$AA$21,Settings!$Y$2:$Y$21,"Social media gap",Settings!$Z$2:$Z$21,V20)+IF(F20="",0,IF(COUNTIF(Settings!$AC$2:$AC$6,F20)&gt;0,Settings!$AA$20,Settings!$AA$21)))</f>
        <v/>
      </c>
      <c r="X20" s="44" t="str">
        <f aca="false">IF(E20="","",IF(COUNTA(Q20:V20)=0,"Not scored",IF(COUNTA(Q20:V20)&lt;6,"Partly scored ("&amp;COUNTA(Q20:V20)&amp;"/6)",IF(W20&gt;=Settings!$S$8,"Hot",IF(W20&gt;=Settings!$S$9,"Warm","Cold")))))</f>
        <v/>
      </c>
      <c r="Y20" s="44" t="str">
        <f aca="false">IF(E20="","",IF(AND(Q20="No",S20="No"),"🚩 Budget  ·  🚩 No one on camera",IF(Q20="No","🚩 Budget under AED 5k",IF(S20="No","🚩 No one on camera",""))))</f>
        <v/>
      </c>
      <c r="Z20" s="17"/>
      <c r="AA20" s="17"/>
      <c r="AB20" s="40"/>
      <c r="AC20" s="17"/>
      <c r="AD20" s="45" t="str">
        <f aca="false">IF(OR(E20="",AB20="",OR(AA20="Contract signed + paid",AA20="Closed – No response",AA20="Lost"),N(AC20)&gt;=Settings!$S$3),"",AB20+Settings!$S$2)</f>
        <v/>
      </c>
      <c r="AE20" s="40"/>
      <c r="AF20" s="41"/>
      <c r="AG20" s="17"/>
      <c r="AH20" s="17"/>
      <c r="AI20" s="17"/>
      <c r="AJ20" s="46" t="str">
        <f aca="true">IF(OR(E20="",B20=""),"",INT(TODAY()-B20))</f>
        <v/>
      </c>
      <c r="AK20" s="44" t="str">
        <f aca="true">IF(E20="","",IF(OR(COUNTIFS(Clients!$C$2:$C$501,E20,Clients!$S$2:$S$501,"Paid")&gt;0,AND(I20&lt;&gt;"",COUNTIFS(Clients!$E$2:$E$501,I20,Clients!$S$2:$S$501,"Paid")&gt;0)),"⚠ Refunded before – no free video",IF(OR(AA20="Contract signed + paid",AA20="Closed – No response",AA20="Lost"),"",IF(AA20="","Set a stage",IF(AND(AA20="Proposal sent",COUNTA(Q20:V20)&lt;6),"Score this lead – proposal sent unscored",IF(N(AC20)&gt;=Settings!$S$3,"Close – 4 follow-ups sent",IF(AD20="",IF(AB20="","Make first contact",""),IF(TODAY()&gt;AD20,"OVERDUE follow-up",IF(TODAY()=AD20,"Follow up today","")))))))))</f>
        <v/>
      </c>
    </row>
    <row r="21" customFormat="false" ht="15" hidden="false" customHeight="false" outlineLevel="0" collapsed="false">
      <c r="A21" s="17"/>
      <c r="B21" s="40"/>
      <c r="C21" s="41"/>
      <c r="D21" s="17"/>
      <c r="E21" s="17"/>
      <c r="F21" s="17"/>
      <c r="G21" s="17"/>
      <c r="H21" s="17"/>
      <c r="I21" s="42"/>
      <c r="J21" s="17"/>
      <c r="K21" s="17"/>
      <c r="L21" s="17"/>
      <c r="M21" s="17"/>
      <c r="N21" s="40"/>
      <c r="O21" s="41"/>
      <c r="P21" s="43" t="str">
        <f aca="false">IF(OR(B21="",N21=""),"",ROUND(((N21+N(O21))-(B21+N(C21)))*24,1))</f>
        <v/>
      </c>
      <c r="Q21" s="17"/>
      <c r="R21" s="17"/>
      <c r="S21" s="17"/>
      <c r="T21" s="17"/>
      <c r="U21" s="17"/>
      <c r="V21" s="17"/>
      <c r="W21" s="44" t="str">
        <f aca="false">IF(OR(E21="",COUNTA(Q21:V21)=0),"",SUMIFS(Settings!$AA$2:$AA$21,Settings!$Y$2:$Y$21,"Budget AED 5k+/mo?",Settings!$Z$2:$Z$21,Q21)+SUMIFS(Settings!$AA$2:$AA$21,Settings!$Y$2:$Y$21,"Decision-maker?",Settings!$Z$2:$Z$21,R21)+SUMIFS(Settings!$AA$2:$AA$21,Settings!$Y$2:$Y$21,"Someone on camera?",Settings!$Z$2:$Z$21,S21)+SUMIFS(Settings!$AA$2:$AA$21,Settings!$Y$2:$Y$21,"OK with 3-month term?",Settings!$Z$2:$Z$21,T21)+SUMIFS(Settings!$AA$2:$AA$21,Settings!$Y$2:$Y$21,"Start timeline",Settings!$Z$2:$Z$21,U21)+SUMIFS(Settings!$AA$2:$AA$21,Settings!$Y$2:$Y$21,"Social media gap",Settings!$Z$2:$Z$21,V21)+IF(F21="",0,IF(COUNTIF(Settings!$AC$2:$AC$6,F21)&gt;0,Settings!$AA$20,Settings!$AA$21)))</f>
        <v/>
      </c>
      <c r="X21" s="44" t="str">
        <f aca="false">IF(E21="","",IF(COUNTA(Q21:V21)=0,"Not scored",IF(COUNTA(Q21:V21)&lt;6,"Partly scored ("&amp;COUNTA(Q21:V21)&amp;"/6)",IF(W21&gt;=Settings!$S$8,"Hot",IF(W21&gt;=Settings!$S$9,"Warm","Cold")))))</f>
        <v/>
      </c>
      <c r="Y21" s="44" t="str">
        <f aca="false">IF(E21="","",IF(AND(Q21="No",S21="No"),"🚩 Budget  ·  🚩 No one on camera",IF(Q21="No","🚩 Budget under AED 5k",IF(S21="No","🚩 No one on camera",""))))</f>
        <v/>
      </c>
      <c r="Z21" s="17"/>
      <c r="AA21" s="17"/>
      <c r="AB21" s="40"/>
      <c r="AC21" s="17"/>
      <c r="AD21" s="45" t="str">
        <f aca="false">IF(OR(E21="",AB21="",OR(AA21="Contract signed + paid",AA21="Closed – No response",AA21="Lost"),N(AC21)&gt;=Settings!$S$3),"",AB21+Settings!$S$2)</f>
        <v/>
      </c>
      <c r="AE21" s="40"/>
      <c r="AF21" s="41"/>
      <c r="AG21" s="17"/>
      <c r="AH21" s="17"/>
      <c r="AI21" s="17"/>
      <c r="AJ21" s="46" t="str">
        <f aca="true">IF(OR(E21="",B21=""),"",INT(TODAY()-B21))</f>
        <v/>
      </c>
      <c r="AK21" s="44" t="str">
        <f aca="true">IF(E21="","",IF(OR(COUNTIFS(Clients!$C$2:$C$501,E21,Clients!$S$2:$S$501,"Paid")&gt;0,AND(I21&lt;&gt;"",COUNTIFS(Clients!$E$2:$E$501,I21,Clients!$S$2:$S$501,"Paid")&gt;0)),"⚠ Refunded before – no free video",IF(OR(AA21="Contract signed + paid",AA21="Closed – No response",AA21="Lost"),"",IF(AA21="","Set a stage",IF(AND(AA21="Proposal sent",COUNTA(Q21:V21)&lt;6),"Score this lead – proposal sent unscored",IF(N(AC21)&gt;=Settings!$S$3,"Close – 4 follow-ups sent",IF(AD21="",IF(AB21="","Make first contact",""),IF(TODAY()&gt;AD21,"OVERDUE follow-up",IF(TODAY()=AD21,"Follow up today","")))))))))</f>
        <v/>
      </c>
    </row>
    <row r="22" customFormat="false" ht="15" hidden="false" customHeight="false" outlineLevel="0" collapsed="false">
      <c r="A22" s="17"/>
      <c r="B22" s="40"/>
      <c r="C22" s="41"/>
      <c r="D22" s="17"/>
      <c r="E22" s="17"/>
      <c r="F22" s="17"/>
      <c r="G22" s="17"/>
      <c r="H22" s="17"/>
      <c r="I22" s="42"/>
      <c r="J22" s="17"/>
      <c r="K22" s="17"/>
      <c r="L22" s="17"/>
      <c r="M22" s="17"/>
      <c r="N22" s="40"/>
      <c r="O22" s="41"/>
      <c r="P22" s="43" t="str">
        <f aca="false">IF(OR(B22="",N22=""),"",ROUND(((N22+N(O22))-(B22+N(C22)))*24,1))</f>
        <v/>
      </c>
      <c r="Q22" s="17"/>
      <c r="R22" s="17"/>
      <c r="S22" s="17"/>
      <c r="T22" s="17"/>
      <c r="U22" s="17"/>
      <c r="V22" s="17"/>
      <c r="W22" s="44" t="str">
        <f aca="false">IF(OR(E22="",COUNTA(Q22:V22)=0),"",SUMIFS(Settings!$AA$2:$AA$21,Settings!$Y$2:$Y$21,"Budget AED 5k+/mo?",Settings!$Z$2:$Z$21,Q22)+SUMIFS(Settings!$AA$2:$AA$21,Settings!$Y$2:$Y$21,"Decision-maker?",Settings!$Z$2:$Z$21,R22)+SUMIFS(Settings!$AA$2:$AA$21,Settings!$Y$2:$Y$21,"Someone on camera?",Settings!$Z$2:$Z$21,S22)+SUMIFS(Settings!$AA$2:$AA$21,Settings!$Y$2:$Y$21,"OK with 3-month term?",Settings!$Z$2:$Z$21,T22)+SUMIFS(Settings!$AA$2:$AA$21,Settings!$Y$2:$Y$21,"Start timeline",Settings!$Z$2:$Z$21,U22)+SUMIFS(Settings!$AA$2:$AA$21,Settings!$Y$2:$Y$21,"Social media gap",Settings!$Z$2:$Z$21,V22)+IF(F22="",0,IF(COUNTIF(Settings!$AC$2:$AC$6,F22)&gt;0,Settings!$AA$20,Settings!$AA$21)))</f>
        <v/>
      </c>
      <c r="X22" s="44" t="str">
        <f aca="false">IF(E22="","",IF(COUNTA(Q22:V22)=0,"Not scored",IF(COUNTA(Q22:V22)&lt;6,"Partly scored ("&amp;COUNTA(Q22:V22)&amp;"/6)",IF(W22&gt;=Settings!$S$8,"Hot",IF(W22&gt;=Settings!$S$9,"Warm","Cold")))))</f>
        <v/>
      </c>
      <c r="Y22" s="44" t="str">
        <f aca="false">IF(E22="","",IF(AND(Q22="No",S22="No"),"🚩 Budget  ·  🚩 No one on camera",IF(Q22="No","🚩 Budget under AED 5k",IF(S22="No","🚩 No one on camera",""))))</f>
        <v/>
      </c>
      <c r="Z22" s="17"/>
      <c r="AA22" s="17"/>
      <c r="AB22" s="40"/>
      <c r="AC22" s="17"/>
      <c r="AD22" s="45" t="str">
        <f aca="false">IF(OR(E22="",AB22="",OR(AA22="Contract signed + paid",AA22="Closed – No response",AA22="Lost"),N(AC22)&gt;=Settings!$S$3),"",AB22+Settings!$S$2)</f>
        <v/>
      </c>
      <c r="AE22" s="40"/>
      <c r="AF22" s="41"/>
      <c r="AG22" s="17"/>
      <c r="AH22" s="17"/>
      <c r="AI22" s="17"/>
      <c r="AJ22" s="46" t="str">
        <f aca="true">IF(OR(E22="",B22=""),"",INT(TODAY()-B22))</f>
        <v/>
      </c>
      <c r="AK22" s="44" t="str">
        <f aca="true">IF(E22="","",IF(OR(COUNTIFS(Clients!$C$2:$C$501,E22,Clients!$S$2:$S$501,"Paid")&gt;0,AND(I22&lt;&gt;"",COUNTIFS(Clients!$E$2:$E$501,I22,Clients!$S$2:$S$501,"Paid")&gt;0)),"⚠ Refunded before – no free video",IF(OR(AA22="Contract signed + paid",AA22="Closed – No response",AA22="Lost"),"",IF(AA22="","Set a stage",IF(AND(AA22="Proposal sent",COUNTA(Q22:V22)&lt;6),"Score this lead – proposal sent unscored",IF(N(AC22)&gt;=Settings!$S$3,"Close – 4 follow-ups sent",IF(AD22="",IF(AB22="","Make first contact",""),IF(TODAY()&gt;AD22,"OVERDUE follow-up",IF(TODAY()=AD22,"Follow up today","")))))))))</f>
        <v/>
      </c>
    </row>
    <row r="23" customFormat="false" ht="15" hidden="false" customHeight="false" outlineLevel="0" collapsed="false">
      <c r="A23" s="17"/>
      <c r="B23" s="40"/>
      <c r="C23" s="41"/>
      <c r="D23" s="17"/>
      <c r="E23" s="17"/>
      <c r="F23" s="17"/>
      <c r="G23" s="17"/>
      <c r="H23" s="17"/>
      <c r="I23" s="42"/>
      <c r="J23" s="17"/>
      <c r="K23" s="17"/>
      <c r="L23" s="17"/>
      <c r="M23" s="17"/>
      <c r="N23" s="40"/>
      <c r="O23" s="41"/>
      <c r="P23" s="43" t="str">
        <f aca="false">IF(OR(B23="",N23=""),"",ROUND(((N23+N(O23))-(B23+N(C23)))*24,1))</f>
        <v/>
      </c>
      <c r="Q23" s="17"/>
      <c r="R23" s="17"/>
      <c r="S23" s="17"/>
      <c r="T23" s="17"/>
      <c r="U23" s="17"/>
      <c r="V23" s="17"/>
      <c r="W23" s="44" t="str">
        <f aca="false">IF(OR(E23="",COUNTA(Q23:V23)=0),"",SUMIFS(Settings!$AA$2:$AA$21,Settings!$Y$2:$Y$21,"Budget AED 5k+/mo?",Settings!$Z$2:$Z$21,Q23)+SUMIFS(Settings!$AA$2:$AA$21,Settings!$Y$2:$Y$21,"Decision-maker?",Settings!$Z$2:$Z$21,R23)+SUMIFS(Settings!$AA$2:$AA$21,Settings!$Y$2:$Y$21,"Someone on camera?",Settings!$Z$2:$Z$21,S23)+SUMIFS(Settings!$AA$2:$AA$21,Settings!$Y$2:$Y$21,"OK with 3-month term?",Settings!$Z$2:$Z$21,T23)+SUMIFS(Settings!$AA$2:$AA$21,Settings!$Y$2:$Y$21,"Start timeline",Settings!$Z$2:$Z$21,U23)+SUMIFS(Settings!$AA$2:$AA$21,Settings!$Y$2:$Y$21,"Social media gap",Settings!$Z$2:$Z$21,V23)+IF(F23="",0,IF(COUNTIF(Settings!$AC$2:$AC$6,F23)&gt;0,Settings!$AA$20,Settings!$AA$21)))</f>
        <v/>
      </c>
      <c r="X23" s="44" t="str">
        <f aca="false">IF(E23="","",IF(COUNTA(Q23:V23)=0,"Not scored",IF(COUNTA(Q23:V23)&lt;6,"Partly scored ("&amp;COUNTA(Q23:V23)&amp;"/6)",IF(W23&gt;=Settings!$S$8,"Hot",IF(W23&gt;=Settings!$S$9,"Warm","Cold")))))</f>
        <v/>
      </c>
      <c r="Y23" s="44" t="str">
        <f aca="false">IF(E23="","",IF(AND(Q23="No",S23="No"),"🚩 Budget  ·  🚩 No one on camera",IF(Q23="No","🚩 Budget under AED 5k",IF(S23="No","🚩 No one on camera",""))))</f>
        <v/>
      </c>
      <c r="Z23" s="17"/>
      <c r="AA23" s="17"/>
      <c r="AB23" s="40"/>
      <c r="AC23" s="17"/>
      <c r="AD23" s="45" t="str">
        <f aca="false">IF(OR(E23="",AB23="",OR(AA23="Contract signed + paid",AA23="Closed – No response",AA23="Lost"),N(AC23)&gt;=Settings!$S$3),"",AB23+Settings!$S$2)</f>
        <v/>
      </c>
      <c r="AE23" s="40"/>
      <c r="AF23" s="41"/>
      <c r="AG23" s="17"/>
      <c r="AH23" s="17"/>
      <c r="AI23" s="17"/>
      <c r="AJ23" s="46" t="str">
        <f aca="true">IF(OR(E23="",B23=""),"",INT(TODAY()-B23))</f>
        <v/>
      </c>
      <c r="AK23" s="44" t="str">
        <f aca="true">IF(E23="","",IF(OR(COUNTIFS(Clients!$C$2:$C$501,E23,Clients!$S$2:$S$501,"Paid")&gt;0,AND(I23&lt;&gt;"",COUNTIFS(Clients!$E$2:$E$501,I23,Clients!$S$2:$S$501,"Paid")&gt;0)),"⚠ Refunded before – no free video",IF(OR(AA23="Contract signed + paid",AA23="Closed – No response",AA23="Lost"),"",IF(AA23="","Set a stage",IF(AND(AA23="Proposal sent",COUNTA(Q23:V23)&lt;6),"Score this lead – proposal sent unscored",IF(N(AC23)&gt;=Settings!$S$3,"Close – 4 follow-ups sent",IF(AD23="",IF(AB23="","Make first contact",""),IF(TODAY()&gt;AD23,"OVERDUE follow-up",IF(TODAY()=AD23,"Follow up today","")))))))))</f>
        <v/>
      </c>
    </row>
    <row r="24" customFormat="false" ht="15" hidden="false" customHeight="false" outlineLevel="0" collapsed="false">
      <c r="A24" s="17"/>
      <c r="B24" s="40"/>
      <c r="C24" s="41"/>
      <c r="D24" s="17"/>
      <c r="E24" s="17"/>
      <c r="F24" s="17"/>
      <c r="G24" s="17"/>
      <c r="H24" s="17"/>
      <c r="I24" s="42"/>
      <c r="J24" s="17"/>
      <c r="K24" s="17"/>
      <c r="L24" s="17"/>
      <c r="M24" s="17"/>
      <c r="N24" s="40"/>
      <c r="O24" s="41"/>
      <c r="P24" s="43" t="str">
        <f aca="false">IF(OR(B24="",N24=""),"",ROUND(((N24+N(O24))-(B24+N(C24)))*24,1))</f>
        <v/>
      </c>
      <c r="Q24" s="17"/>
      <c r="R24" s="17"/>
      <c r="S24" s="17"/>
      <c r="T24" s="17"/>
      <c r="U24" s="17"/>
      <c r="V24" s="17"/>
      <c r="W24" s="44" t="str">
        <f aca="false">IF(OR(E24="",COUNTA(Q24:V24)=0),"",SUMIFS(Settings!$AA$2:$AA$21,Settings!$Y$2:$Y$21,"Budget AED 5k+/mo?",Settings!$Z$2:$Z$21,Q24)+SUMIFS(Settings!$AA$2:$AA$21,Settings!$Y$2:$Y$21,"Decision-maker?",Settings!$Z$2:$Z$21,R24)+SUMIFS(Settings!$AA$2:$AA$21,Settings!$Y$2:$Y$21,"Someone on camera?",Settings!$Z$2:$Z$21,S24)+SUMIFS(Settings!$AA$2:$AA$21,Settings!$Y$2:$Y$21,"OK with 3-month term?",Settings!$Z$2:$Z$21,T24)+SUMIFS(Settings!$AA$2:$AA$21,Settings!$Y$2:$Y$21,"Start timeline",Settings!$Z$2:$Z$21,U24)+SUMIFS(Settings!$AA$2:$AA$21,Settings!$Y$2:$Y$21,"Social media gap",Settings!$Z$2:$Z$21,V24)+IF(F24="",0,IF(COUNTIF(Settings!$AC$2:$AC$6,F24)&gt;0,Settings!$AA$20,Settings!$AA$21)))</f>
        <v/>
      </c>
      <c r="X24" s="44" t="str">
        <f aca="false">IF(E24="","",IF(COUNTA(Q24:V24)=0,"Not scored",IF(COUNTA(Q24:V24)&lt;6,"Partly scored ("&amp;COUNTA(Q24:V24)&amp;"/6)",IF(W24&gt;=Settings!$S$8,"Hot",IF(W24&gt;=Settings!$S$9,"Warm","Cold")))))</f>
        <v/>
      </c>
      <c r="Y24" s="44" t="str">
        <f aca="false">IF(E24="","",IF(AND(Q24="No",S24="No"),"🚩 Budget  ·  🚩 No one on camera",IF(Q24="No","🚩 Budget under AED 5k",IF(S24="No","🚩 No one on camera",""))))</f>
        <v/>
      </c>
      <c r="Z24" s="17"/>
      <c r="AA24" s="17"/>
      <c r="AB24" s="40"/>
      <c r="AC24" s="17"/>
      <c r="AD24" s="45" t="str">
        <f aca="false">IF(OR(E24="",AB24="",OR(AA24="Contract signed + paid",AA24="Closed – No response",AA24="Lost"),N(AC24)&gt;=Settings!$S$3),"",AB24+Settings!$S$2)</f>
        <v/>
      </c>
      <c r="AE24" s="40"/>
      <c r="AF24" s="41"/>
      <c r="AG24" s="17"/>
      <c r="AH24" s="17"/>
      <c r="AI24" s="17"/>
      <c r="AJ24" s="46" t="str">
        <f aca="true">IF(OR(E24="",B24=""),"",INT(TODAY()-B24))</f>
        <v/>
      </c>
      <c r="AK24" s="44" t="str">
        <f aca="true">IF(E24="","",IF(OR(COUNTIFS(Clients!$C$2:$C$501,E24,Clients!$S$2:$S$501,"Paid")&gt;0,AND(I24&lt;&gt;"",COUNTIFS(Clients!$E$2:$E$501,I24,Clients!$S$2:$S$501,"Paid")&gt;0)),"⚠ Refunded before – no free video",IF(OR(AA24="Contract signed + paid",AA24="Closed – No response",AA24="Lost"),"",IF(AA24="","Set a stage",IF(AND(AA24="Proposal sent",COUNTA(Q24:V24)&lt;6),"Score this lead – proposal sent unscored",IF(N(AC24)&gt;=Settings!$S$3,"Close – 4 follow-ups sent",IF(AD24="",IF(AB24="","Make first contact",""),IF(TODAY()&gt;AD24,"OVERDUE follow-up",IF(TODAY()=AD24,"Follow up today","")))))))))</f>
        <v/>
      </c>
    </row>
    <row r="25" customFormat="false" ht="15" hidden="false" customHeight="false" outlineLevel="0" collapsed="false">
      <c r="A25" s="17"/>
      <c r="B25" s="40"/>
      <c r="C25" s="41"/>
      <c r="D25" s="17"/>
      <c r="E25" s="17"/>
      <c r="F25" s="17"/>
      <c r="G25" s="17"/>
      <c r="H25" s="17"/>
      <c r="I25" s="42"/>
      <c r="J25" s="17"/>
      <c r="K25" s="17"/>
      <c r="L25" s="17"/>
      <c r="M25" s="17"/>
      <c r="N25" s="40"/>
      <c r="O25" s="41"/>
      <c r="P25" s="43" t="str">
        <f aca="false">IF(OR(B25="",N25=""),"",ROUND(((N25+N(O25))-(B25+N(C25)))*24,1))</f>
        <v/>
      </c>
      <c r="Q25" s="17"/>
      <c r="R25" s="17"/>
      <c r="S25" s="17"/>
      <c r="T25" s="17"/>
      <c r="U25" s="17"/>
      <c r="V25" s="17"/>
      <c r="W25" s="44" t="str">
        <f aca="false">IF(OR(E25="",COUNTA(Q25:V25)=0),"",SUMIFS(Settings!$AA$2:$AA$21,Settings!$Y$2:$Y$21,"Budget AED 5k+/mo?",Settings!$Z$2:$Z$21,Q25)+SUMIFS(Settings!$AA$2:$AA$21,Settings!$Y$2:$Y$21,"Decision-maker?",Settings!$Z$2:$Z$21,R25)+SUMIFS(Settings!$AA$2:$AA$21,Settings!$Y$2:$Y$21,"Someone on camera?",Settings!$Z$2:$Z$21,S25)+SUMIFS(Settings!$AA$2:$AA$21,Settings!$Y$2:$Y$21,"OK with 3-month term?",Settings!$Z$2:$Z$21,T25)+SUMIFS(Settings!$AA$2:$AA$21,Settings!$Y$2:$Y$21,"Start timeline",Settings!$Z$2:$Z$21,U25)+SUMIFS(Settings!$AA$2:$AA$21,Settings!$Y$2:$Y$21,"Social media gap",Settings!$Z$2:$Z$21,V25)+IF(F25="",0,IF(COUNTIF(Settings!$AC$2:$AC$6,F25)&gt;0,Settings!$AA$20,Settings!$AA$21)))</f>
        <v/>
      </c>
      <c r="X25" s="44" t="str">
        <f aca="false">IF(E25="","",IF(COUNTA(Q25:V25)=0,"Not scored",IF(COUNTA(Q25:V25)&lt;6,"Partly scored ("&amp;COUNTA(Q25:V25)&amp;"/6)",IF(W25&gt;=Settings!$S$8,"Hot",IF(W25&gt;=Settings!$S$9,"Warm","Cold")))))</f>
        <v/>
      </c>
      <c r="Y25" s="44" t="str">
        <f aca="false">IF(E25="","",IF(AND(Q25="No",S25="No"),"🚩 Budget  ·  🚩 No one on camera",IF(Q25="No","🚩 Budget under AED 5k",IF(S25="No","🚩 No one on camera",""))))</f>
        <v/>
      </c>
      <c r="Z25" s="17"/>
      <c r="AA25" s="17"/>
      <c r="AB25" s="40"/>
      <c r="AC25" s="17"/>
      <c r="AD25" s="45" t="str">
        <f aca="false">IF(OR(E25="",AB25="",OR(AA25="Contract signed + paid",AA25="Closed – No response",AA25="Lost"),N(AC25)&gt;=Settings!$S$3),"",AB25+Settings!$S$2)</f>
        <v/>
      </c>
      <c r="AE25" s="40"/>
      <c r="AF25" s="41"/>
      <c r="AG25" s="17"/>
      <c r="AH25" s="17"/>
      <c r="AI25" s="17"/>
      <c r="AJ25" s="46" t="str">
        <f aca="true">IF(OR(E25="",B25=""),"",INT(TODAY()-B25))</f>
        <v/>
      </c>
      <c r="AK25" s="44" t="str">
        <f aca="true">IF(E25="","",IF(OR(COUNTIFS(Clients!$C$2:$C$501,E25,Clients!$S$2:$S$501,"Paid")&gt;0,AND(I25&lt;&gt;"",COUNTIFS(Clients!$E$2:$E$501,I25,Clients!$S$2:$S$501,"Paid")&gt;0)),"⚠ Refunded before – no free video",IF(OR(AA25="Contract signed + paid",AA25="Closed – No response",AA25="Lost"),"",IF(AA25="","Set a stage",IF(AND(AA25="Proposal sent",COUNTA(Q25:V25)&lt;6),"Score this lead – proposal sent unscored",IF(N(AC25)&gt;=Settings!$S$3,"Close – 4 follow-ups sent",IF(AD25="",IF(AB25="","Make first contact",""),IF(TODAY()&gt;AD25,"OVERDUE follow-up",IF(TODAY()=AD25,"Follow up today","")))))))))</f>
        <v/>
      </c>
    </row>
    <row r="26" customFormat="false" ht="15" hidden="false" customHeight="false" outlineLevel="0" collapsed="false">
      <c r="A26" s="17"/>
      <c r="B26" s="40"/>
      <c r="C26" s="41"/>
      <c r="D26" s="17"/>
      <c r="E26" s="17"/>
      <c r="F26" s="17"/>
      <c r="G26" s="17"/>
      <c r="H26" s="17"/>
      <c r="I26" s="42"/>
      <c r="J26" s="17"/>
      <c r="K26" s="17"/>
      <c r="L26" s="17"/>
      <c r="M26" s="17"/>
      <c r="N26" s="40"/>
      <c r="O26" s="41"/>
      <c r="P26" s="43" t="str">
        <f aca="false">IF(OR(B26="",N26=""),"",ROUND(((N26+N(O26))-(B26+N(C26)))*24,1))</f>
        <v/>
      </c>
      <c r="Q26" s="17"/>
      <c r="R26" s="17"/>
      <c r="S26" s="17"/>
      <c r="T26" s="17"/>
      <c r="U26" s="17"/>
      <c r="V26" s="17"/>
      <c r="W26" s="44" t="str">
        <f aca="false">IF(OR(E26="",COUNTA(Q26:V26)=0),"",SUMIFS(Settings!$AA$2:$AA$21,Settings!$Y$2:$Y$21,"Budget AED 5k+/mo?",Settings!$Z$2:$Z$21,Q26)+SUMIFS(Settings!$AA$2:$AA$21,Settings!$Y$2:$Y$21,"Decision-maker?",Settings!$Z$2:$Z$21,R26)+SUMIFS(Settings!$AA$2:$AA$21,Settings!$Y$2:$Y$21,"Someone on camera?",Settings!$Z$2:$Z$21,S26)+SUMIFS(Settings!$AA$2:$AA$21,Settings!$Y$2:$Y$21,"OK with 3-month term?",Settings!$Z$2:$Z$21,T26)+SUMIFS(Settings!$AA$2:$AA$21,Settings!$Y$2:$Y$21,"Start timeline",Settings!$Z$2:$Z$21,U26)+SUMIFS(Settings!$AA$2:$AA$21,Settings!$Y$2:$Y$21,"Social media gap",Settings!$Z$2:$Z$21,V26)+IF(F26="",0,IF(COUNTIF(Settings!$AC$2:$AC$6,F26)&gt;0,Settings!$AA$20,Settings!$AA$21)))</f>
        <v/>
      </c>
      <c r="X26" s="44" t="str">
        <f aca="false">IF(E26="","",IF(COUNTA(Q26:V26)=0,"Not scored",IF(COUNTA(Q26:V26)&lt;6,"Partly scored ("&amp;COUNTA(Q26:V26)&amp;"/6)",IF(W26&gt;=Settings!$S$8,"Hot",IF(W26&gt;=Settings!$S$9,"Warm","Cold")))))</f>
        <v/>
      </c>
      <c r="Y26" s="44" t="str">
        <f aca="false">IF(E26="","",IF(AND(Q26="No",S26="No"),"🚩 Budget  ·  🚩 No one on camera",IF(Q26="No","🚩 Budget under AED 5k",IF(S26="No","🚩 No one on camera",""))))</f>
        <v/>
      </c>
      <c r="Z26" s="17"/>
      <c r="AA26" s="17"/>
      <c r="AB26" s="40"/>
      <c r="AC26" s="17"/>
      <c r="AD26" s="45" t="str">
        <f aca="false">IF(OR(E26="",AB26="",OR(AA26="Contract signed + paid",AA26="Closed – No response",AA26="Lost"),N(AC26)&gt;=Settings!$S$3),"",AB26+Settings!$S$2)</f>
        <v/>
      </c>
      <c r="AE26" s="40"/>
      <c r="AF26" s="41"/>
      <c r="AG26" s="17"/>
      <c r="AH26" s="17"/>
      <c r="AI26" s="17"/>
      <c r="AJ26" s="46" t="str">
        <f aca="true">IF(OR(E26="",B26=""),"",INT(TODAY()-B26))</f>
        <v/>
      </c>
      <c r="AK26" s="44" t="str">
        <f aca="true">IF(E26="","",IF(OR(COUNTIFS(Clients!$C$2:$C$501,E26,Clients!$S$2:$S$501,"Paid")&gt;0,AND(I26&lt;&gt;"",COUNTIFS(Clients!$E$2:$E$501,I26,Clients!$S$2:$S$501,"Paid")&gt;0)),"⚠ Refunded before – no free video",IF(OR(AA26="Contract signed + paid",AA26="Closed – No response",AA26="Lost"),"",IF(AA26="","Set a stage",IF(AND(AA26="Proposal sent",COUNTA(Q26:V26)&lt;6),"Score this lead – proposal sent unscored",IF(N(AC26)&gt;=Settings!$S$3,"Close – 4 follow-ups sent",IF(AD26="",IF(AB26="","Make first contact",""),IF(TODAY()&gt;AD26,"OVERDUE follow-up",IF(TODAY()=AD26,"Follow up today","")))))))))</f>
        <v/>
      </c>
    </row>
    <row r="27" customFormat="false" ht="15" hidden="false" customHeight="false" outlineLevel="0" collapsed="false">
      <c r="A27" s="17"/>
      <c r="B27" s="40"/>
      <c r="C27" s="41"/>
      <c r="D27" s="17"/>
      <c r="E27" s="17"/>
      <c r="F27" s="17"/>
      <c r="G27" s="17"/>
      <c r="H27" s="17"/>
      <c r="I27" s="42"/>
      <c r="J27" s="17"/>
      <c r="K27" s="17"/>
      <c r="L27" s="17"/>
      <c r="M27" s="17"/>
      <c r="N27" s="40"/>
      <c r="O27" s="41"/>
      <c r="P27" s="43" t="str">
        <f aca="false">IF(OR(B27="",N27=""),"",ROUND(((N27+N(O27))-(B27+N(C27)))*24,1))</f>
        <v/>
      </c>
      <c r="Q27" s="17"/>
      <c r="R27" s="17"/>
      <c r="S27" s="17"/>
      <c r="T27" s="17"/>
      <c r="U27" s="17"/>
      <c r="V27" s="17"/>
      <c r="W27" s="44" t="str">
        <f aca="false">IF(OR(E27="",COUNTA(Q27:V27)=0),"",SUMIFS(Settings!$AA$2:$AA$21,Settings!$Y$2:$Y$21,"Budget AED 5k+/mo?",Settings!$Z$2:$Z$21,Q27)+SUMIFS(Settings!$AA$2:$AA$21,Settings!$Y$2:$Y$21,"Decision-maker?",Settings!$Z$2:$Z$21,R27)+SUMIFS(Settings!$AA$2:$AA$21,Settings!$Y$2:$Y$21,"Someone on camera?",Settings!$Z$2:$Z$21,S27)+SUMIFS(Settings!$AA$2:$AA$21,Settings!$Y$2:$Y$21,"OK with 3-month term?",Settings!$Z$2:$Z$21,T27)+SUMIFS(Settings!$AA$2:$AA$21,Settings!$Y$2:$Y$21,"Start timeline",Settings!$Z$2:$Z$21,U27)+SUMIFS(Settings!$AA$2:$AA$21,Settings!$Y$2:$Y$21,"Social media gap",Settings!$Z$2:$Z$21,V27)+IF(F27="",0,IF(COUNTIF(Settings!$AC$2:$AC$6,F27)&gt;0,Settings!$AA$20,Settings!$AA$21)))</f>
        <v/>
      </c>
      <c r="X27" s="44" t="str">
        <f aca="false">IF(E27="","",IF(COUNTA(Q27:V27)=0,"Not scored",IF(COUNTA(Q27:V27)&lt;6,"Partly scored ("&amp;COUNTA(Q27:V27)&amp;"/6)",IF(W27&gt;=Settings!$S$8,"Hot",IF(W27&gt;=Settings!$S$9,"Warm","Cold")))))</f>
        <v/>
      </c>
      <c r="Y27" s="44" t="str">
        <f aca="false">IF(E27="","",IF(AND(Q27="No",S27="No"),"🚩 Budget  ·  🚩 No one on camera",IF(Q27="No","🚩 Budget under AED 5k",IF(S27="No","🚩 No one on camera",""))))</f>
        <v/>
      </c>
      <c r="Z27" s="17"/>
      <c r="AA27" s="17"/>
      <c r="AB27" s="40"/>
      <c r="AC27" s="17"/>
      <c r="AD27" s="45" t="str">
        <f aca="false">IF(OR(E27="",AB27="",OR(AA27="Contract signed + paid",AA27="Closed – No response",AA27="Lost"),N(AC27)&gt;=Settings!$S$3),"",AB27+Settings!$S$2)</f>
        <v/>
      </c>
      <c r="AE27" s="40"/>
      <c r="AF27" s="41"/>
      <c r="AG27" s="17"/>
      <c r="AH27" s="17"/>
      <c r="AI27" s="17"/>
      <c r="AJ27" s="46" t="str">
        <f aca="true">IF(OR(E27="",B27=""),"",INT(TODAY()-B27))</f>
        <v/>
      </c>
      <c r="AK27" s="44" t="str">
        <f aca="true">IF(E27="","",IF(OR(COUNTIFS(Clients!$C$2:$C$501,E27,Clients!$S$2:$S$501,"Paid")&gt;0,AND(I27&lt;&gt;"",COUNTIFS(Clients!$E$2:$E$501,I27,Clients!$S$2:$S$501,"Paid")&gt;0)),"⚠ Refunded before – no free video",IF(OR(AA27="Contract signed + paid",AA27="Closed – No response",AA27="Lost"),"",IF(AA27="","Set a stage",IF(AND(AA27="Proposal sent",COUNTA(Q27:V27)&lt;6),"Score this lead – proposal sent unscored",IF(N(AC27)&gt;=Settings!$S$3,"Close – 4 follow-ups sent",IF(AD27="",IF(AB27="","Make first contact",""),IF(TODAY()&gt;AD27,"OVERDUE follow-up",IF(TODAY()=AD27,"Follow up today","")))))))))</f>
        <v/>
      </c>
    </row>
    <row r="28" customFormat="false" ht="15" hidden="false" customHeight="false" outlineLevel="0" collapsed="false">
      <c r="A28" s="17"/>
      <c r="B28" s="40"/>
      <c r="C28" s="41"/>
      <c r="D28" s="17"/>
      <c r="E28" s="17"/>
      <c r="F28" s="17"/>
      <c r="G28" s="17"/>
      <c r="H28" s="17"/>
      <c r="I28" s="42"/>
      <c r="J28" s="17"/>
      <c r="K28" s="17"/>
      <c r="L28" s="17"/>
      <c r="M28" s="17"/>
      <c r="N28" s="40"/>
      <c r="O28" s="41"/>
      <c r="P28" s="43" t="str">
        <f aca="false">IF(OR(B28="",N28=""),"",ROUND(((N28+N(O28))-(B28+N(C28)))*24,1))</f>
        <v/>
      </c>
      <c r="Q28" s="17"/>
      <c r="R28" s="17"/>
      <c r="S28" s="17"/>
      <c r="T28" s="17"/>
      <c r="U28" s="17"/>
      <c r="V28" s="17"/>
      <c r="W28" s="44" t="str">
        <f aca="false">IF(OR(E28="",COUNTA(Q28:V28)=0),"",SUMIFS(Settings!$AA$2:$AA$21,Settings!$Y$2:$Y$21,"Budget AED 5k+/mo?",Settings!$Z$2:$Z$21,Q28)+SUMIFS(Settings!$AA$2:$AA$21,Settings!$Y$2:$Y$21,"Decision-maker?",Settings!$Z$2:$Z$21,R28)+SUMIFS(Settings!$AA$2:$AA$21,Settings!$Y$2:$Y$21,"Someone on camera?",Settings!$Z$2:$Z$21,S28)+SUMIFS(Settings!$AA$2:$AA$21,Settings!$Y$2:$Y$21,"OK with 3-month term?",Settings!$Z$2:$Z$21,T28)+SUMIFS(Settings!$AA$2:$AA$21,Settings!$Y$2:$Y$21,"Start timeline",Settings!$Z$2:$Z$21,U28)+SUMIFS(Settings!$AA$2:$AA$21,Settings!$Y$2:$Y$21,"Social media gap",Settings!$Z$2:$Z$21,V28)+IF(F28="",0,IF(COUNTIF(Settings!$AC$2:$AC$6,F28)&gt;0,Settings!$AA$20,Settings!$AA$21)))</f>
        <v/>
      </c>
      <c r="X28" s="44" t="str">
        <f aca="false">IF(E28="","",IF(COUNTA(Q28:V28)=0,"Not scored",IF(COUNTA(Q28:V28)&lt;6,"Partly scored ("&amp;COUNTA(Q28:V28)&amp;"/6)",IF(W28&gt;=Settings!$S$8,"Hot",IF(W28&gt;=Settings!$S$9,"Warm","Cold")))))</f>
        <v/>
      </c>
      <c r="Y28" s="44" t="str">
        <f aca="false">IF(E28="","",IF(AND(Q28="No",S28="No"),"🚩 Budget  ·  🚩 No one on camera",IF(Q28="No","🚩 Budget under AED 5k",IF(S28="No","🚩 No one on camera",""))))</f>
        <v/>
      </c>
      <c r="Z28" s="17"/>
      <c r="AA28" s="17"/>
      <c r="AB28" s="40"/>
      <c r="AC28" s="17"/>
      <c r="AD28" s="45" t="str">
        <f aca="false">IF(OR(E28="",AB28="",OR(AA28="Contract signed + paid",AA28="Closed – No response",AA28="Lost"),N(AC28)&gt;=Settings!$S$3),"",AB28+Settings!$S$2)</f>
        <v/>
      </c>
      <c r="AE28" s="40"/>
      <c r="AF28" s="41"/>
      <c r="AG28" s="17"/>
      <c r="AH28" s="17"/>
      <c r="AI28" s="17"/>
      <c r="AJ28" s="46" t="str">
        <f aca="true">IF(OR(E28="",B28=""),"",INT(TODAY()-B28))</f>
        <v/>
      </c>
      <c r="AK28" s="44" t="str">
        <f aca="true">IF(E28="","",IF(OR(COUNTIFS(Clients!$C$2:$C$501,E28,Clients!$S$2:$S$501,"Paid")&gt;0,AND(I28&lt;&gt;"",COUNTIFS(Clients!$E$2:$E$501,I28,Clients!$S$2:$S$501,"Paid")&gt;0)),"⚠ Refunded before – no free video",IF(OR(AA28="Contract signed + paid",AA28="Closed – No response",AA28="Lost"),"",IF(AA28="","Set a stage",IF(AND(AA28="Proposal sent",COUNTA(Q28:V28)&lt;6),"Score this lead – proposal sent unscored",IF(N(AC28)&gt;=Settings!$S$3,"Close – 4 follow-ups sent",IF(AD28="",IF(AB28="","Make first contact",""),IF(TODAY()&gt;AD28,"OVERDUE follow-up",IF(TODAY()=AD28,"Follow up today","")))))))))</f>
        <v/>
      </c>
    </row>
    <row r="29" customFormat="false" ht="15" hidden="false" customHeight="false" outlineLevel="0" collapsed="false">
      <c r="A29" s="17"/>
      <c r="B29" s="40"/>
      <c r="C29" s="41"/>
      <c r="D29" s="17"/>
      <c r="E29" s="17"/>
      <c r="F29" s="17"/>
      <c r="G29" s="17"/>
      <c r="H29" s="17"/>
      <c r="I29" s="42"/>
      <c r="J29" s="17"/>
      <c r="K29" s="17"/>
      <c r="L29" s="17"/>
      <c r="M29" s="17"/>
      <c r="N29" s="40"/>
      <c r="O29" s="41"/>
      <c r="P29" s="43" t="str">
        <f aca="false">IF(OR(B29="",N29=""),"",ROUND(((N29+N(O29))-(B29+N(C29)))*24,1))</f>
        <v/>
      </c>
      <c r="Q29" s="17"/>
      <c r="R29" s="17"/>
      <c r="S29" s="17"/>
      <c r="T29" s="17"/>
      <c r="U29" s="17"/>
      <c r="V29" s="17"/>
      <c r="W29" s="44" t="str">
        <f aca="false">IF(OR(E29="",COUNTA(Q29:V29)=0),"",SUMIFS(Settings!$AA$2:$AA$21,Settings!$Y$2:$Y$21,"Budget AED 5k+/mo?",Settings!$Z$2:$Z$21,Q29)+SUMIFS(Settings!$AA$2:$AA$21,Settings!$Y$2:$Y$21,"Decision-maker?",Settings!$Z$2:$Z$21,R29)+SUMIFS(Settings!$AA$2:$AA$21,Settings!$Y$2:$Y$21,"Someone on camera?",Settings!$Z$2:$Z$21,S29)+SUMIFS(Settings!$AA$2:$AA$21,Settings!$Y$2:$Y$21,"OK with 3-month term?",Settings!$Z$2:$Z$21,T29)+SUMIFS(Settings!$AA$2:$AA$21,Settings!$Y$2:$Y$21,"Start timeline",Settings!$Z$2:$Z$21,U29)+SUMIFS(Settings!$AA$2:$AA$21,Settings!$Y$2:$Y$21,"Social media gap",Settings!$Z$2:$Z$21,V29)+IF(F29="",0,IF(COUNTIF(Settings!$AC$2:$AC$6,F29)&gt;0,Settings!$AA$20,Settings!$AA$21)))</f>
        <v/>
      </c>
      <c r="X29" s="44" t="str">
        <f aca="false">IF(E29="","",IF(COUNTA(Q29:V29)=0,"Not scored",IF(COUNTA(Q29:V29)&lt;6,"Partly scored ("&amp;COUNTA(Q29:V29)&amp;"/6)",IF(W29&gt;=Settings!$S$8,"Hot",IF(W29&gt;=Settings!$S$9,"Warm","Cold")))))</f>
        <v/>
      </c>
      <c r="Y29" s="44" t="str">
        <f aca="false">IF(E29="","",IF(AND(Q29="No",S29="No"),"🚩 Budget  ·  🚩 No one on camera",IF(Q29="No","🚩 Budget under AED 5k",IF(S29="No","🚩 No one on camera",""))))</f>
        <v/>
      </c>
      <c r="Z29" s="17"/>
      <c r="AA29" s="17"/>
      <c r="AB29" s="40"/>
      <c r="AC29" s="17"/>
      <c r="AD29" s="45" t="str">
        <f aca="false">IF(OR(E29="",AB29="",OR(AA29="Contract signed + paid",AA29="Closed – No response",AA29="Lost"),N(AC29)&gt;=Settings!$S$3),"",AB29+Settings!$S$2)</f>
        <v/>
      </c>
      <c r="AE29" s="40"/>
      <c r="AF29" s="41"/>
      <c r="AG29" s="17"/>
      <c r="AH29" s="17"/>
      <c r="AI29" s="17"/>
      <c r="AJ29" s="46" t="str">
        <f aca="true">IF(OR(E29="",B29=""),"",INT(TODAY()-B29))</f>
        <v/>
      </c>
      <c r="AK29" s="44" t="str">
        <f aca="true">IF(E29="","",IF(OR(COUNTIFS(Clients!$C$2:$C$501,E29,Clients!$S$2:$S$501,"Paid")&gt;0,AND(I29&lt;&gt;"",COUNTIFS(Clients!$E$2:$E$501,I29,Clients!$S$2:$S$501,"Paid")&gt;0)),"⚠ Refunded before – no free video",IF(OR(AA29="Contract signed + paid",AA29="Closed – No response",AA29="Lost"),"",IF(AA29="","Set a stage",IF(AND(AA29="Proposal sent",COUNTA(Q29:V29)&lt;6),"Score this lead – proposal sent unscored",IF(N(AC29)&gt;=Settings!$S$3,"Close – 4 follow-ups sent",IF(AD29="",IF(AB29="","Make first contact",""),IF(TODAY()&gt;AD29,"OVERDUE follow-up",IF(TODAY()=AD29,"Follow up today","")))))))))</f>
        <v/>
      </c>
    </row>
    <row r="30" customFormat="false" ht="15" hidden="false" customHeight="false" outlineLevel="0" collapsed="false">
      <c r="A30" s="17"/>
      <c r="B30" s="40"/>
      <c r="C30" s="41"/>
      <c r="D30" s="17"/>
      <c r="E30" s="17"/>
      <c r="F30" s="17"/>
      <c r="G30" s="17"/>
      <c r="H30" s="17"/>
      <c r="I30" s="42"/>
      <c r="J30" s="17"/>
      <c r="K30" s="17"/>
      <c r="L30" s="17"/>
      <c r="M30" s="17"/>
      <c r="N30" s="40"/>
      <c r="O30" s="41"/>
      <c r="P30" s="43" t="str">
        <f aca="false">IF(OR(B30="",N30=""),"",ROUND(((N30+N(O30))-(B30+N(C30)))*24,1))</f>
        <v/>
      </c>
      <c r="Q30" s="17"/>
      <c r="R30" s="17"/>
      <c r="S30" s="17"/>
      <c r="T30" s="17"/>
      <c r="U30" s="17"/>
      <c r="V30" s="17"/>
      <c r="W30" s="44" t="str">
        <f aca="false">IF(OR(E30="",COUNTA(Q30:V30)=0),"",SUMIFS(Settings!$AA$2:$AA$21,Settings!$Y$2:$Y$21,"Budget AED 5k+/mo?",Settings!$Z$2:$Z$21,Q30)+SUMIFS(Settings!$AA$2:$AA$21,Settings!$Y$2:$Y$21,"Decision-maker?",Settings!$Z$2:$Z$21,R30)+SUMIFS(Settings!$AA$2:$AA$21,Settings!$Y$2:$Y$21,"Someone on camera?",Settings!$Z$2:$Z$21,S30)+SUMIFS(Settings!$AA$2:$AA$21,Settings!$Y$2:$Y$21,"OK with 3-month term?",Settings!$Z$2:$Z$21,T30)+SUMIFS(Settings!$AA$2:$AA$21,Settings!$Y$2:$Y$21,"Start timeline",Settings!$Z$2:$Z$21,U30)+SUMIFS(Settings!$AA$2:$AA$21,Settings!$Y$2:$Y$21,"Social media gap",Settings!$Z$2:$Z$21,V30)+IF(F30="",0,IF(COUNTIF(Settings!$AC$2:$AC$6,F30)&gt;0,Settings!$AA$20,Settings!$AA$21)))</f>
        <v/>
      </c>
      <c r="X30" s="44" t="str">
        <f aca="false">IF(E30="","",IF(COUNTA(Q30:V30)=0,"Not scored",IF(COUNTA(Q30:V30)&lt;6,"Partly scored ("&amp;COUNTA(Q30:V30)&amp;"/6)",IF(W30&gt;=Settings!$S$8,"Hot",IF(W30&gt;=Settings!$S$9,"Warm","Cold")))))</f>
        <v/>
      </c>
      <c r="Y30" s="44" t="str">
        <f aca="false">IF(E30="","",IF(AND(Q30="No",S30="No"),"🚩 Budget  ·  🚩 No one on camera",IF(Q30="No","🚩 Budget under AED 5k",IF(S30="No","🚩 No one on camera",""))))</f>
        <v/>
      </c>
      <c r="Z30" s="17"/>
      <c r="AA30" s="17"/>
      <c r="AB30" s="40"/>
      <c r="AC30" s="17"/>
      <c r="AD30" s="45" t="str">
        <f aca="false">IF(OR(E30="",AB30="",OR(AA30="Contract signed + paid",AA30="Closed – No response",AA30="Lost"),N(AC30)&gt;=Settings!$S$3),"",AB30+Settings!$S$2)</f>
        <v/>
      </c>
      <c r="AE30" s="40"/>
      <c r="AF30" s="41"/>
      <c r="AG30" s="17"/>
      <c r="AH30" s="17"/>
      <c r="AI30" s="17"/>
      <c r="AJ30" s="46" t="str">
        <f aca="true">IF(OR(E30="",B30=""),"",INT(TODAY()-B30))</f>
        <v/>
      </c>
      <c r="AK30" s="44" t="str">
        <f aca="true">IF(E30="","",IF(OR(COUNTIFS(Clients!$C$2:$C$501,E30,Clients!$S$2:$S$501,"Paid")&gt;0,AND(I30&lt;&gt;"",COUNTIFS(Clients!$E$2:$E$501,I30,Clients!$S$2:$S$501,"Paid")&gt;0)),"⚠ Refunded before – no free video",IF(OR(AA30="Contract signed + paid",AA30="Closed – No response",AA30="Lost"),"",IF(AA30="","Set a stage",IF(AND(AA30="Proposal sent",COUNTA(Q30:V30)&lt;6),"Score this lead – proposal sent unscored",IF(N(AC30)&gt;=Settings!$S$3,"Close – 4 follow-ups sent",IF(AD30="",IF(AB30="","Make first contact",""),IF(TODAY()&gt;AD30,"OVERDUE follow-up",IF(TODAY()=AD30,"Follow up today","")))))))))</f>
        <v/>
      </c>
    </row>
    <row r="31" customFormat="false" ht="15" hidden="false" customHeight="false" outlineLevel="0" collapsed="false">
      <c r="A31" s="17"/>
      <c r="B31" s="40"/>
      <c r="C31" s="41"/>
      <c r="D31" s="17"/>
      <c r="E31" s="17"/>
      <c r="F31" s="17"/>
      <c r="G31" s="17"/>
      <c r="H31" s="17"/>
      <c r="I31" s="42"/>
      <c r="J31" s="17"/>
      <c r="K31" s="17"/>
      <c r="L31" s="17"/>
      <c r="M31" s="17"/>
      <c r="N31" s="40"/>
      <c r="O31" s="41"/>
      <c r="P31" s="43" t="str">
        <f aca="false">IF(OR(B31="",N31=""),"",ROUND(((N31+N(O31))-(B31+N(C31)))*24,1))</f>
        <v/>
      </c>
      <c r="Q31" s="17"/>
      <c r="R31" s="17"/>
      <c r="S31" s="17"/>
      <c r="T31" s="17"/>
      <c r="U31" s="17"/>
      <c r="V31" s="17"/>
      <c r="W31" s="44" t="str">
        <f aca="false">IF(OR(E31="",COUNTA(Q31:V31)=0),"",SUMIFS(Settings!$AA$2:$AA$21,Settings!$Y$2:$Y$21,"Budget AED 5k+/mo?",Settings!$Z$2:$Z$21,Q31)+SUMIFS(Settings!$AA$2:$AA$21,Settings!$Y$2:$Y$21,"Decision-maker?",Settings!$Z$2:$Z$21,R31)+SUMIFS(Settings!$AA$2:$AA$21,Settings!$Y$2:$Y$21,"Someone on camera?",Settings!$Z$2:$Z$21,S31)+SUMIFS(Settings!$AA$2:$AA$21,Settings!$Y$2:$Y$21,"OK with 3-month term?",Settings!$Z$2:$Z$21,T31)+SUMIFS(Settings!$AA$2:$AA$21,Settings!$Y$2:$Y$21,"Start timeline",Settings!$Z$2:$Z$21,U31)+SUMIFS(Settings!$AA$2:$AA$21,Settings!$Y$2:$Y$21,"Social media gap",Settings!$Z$2:$Z$21,V31)+IF(F31="",0,IF(COUNTIF(Settings!$AC$2:$AC$6,F31)&gt;0,Settings!$AA$20,Settings!$AA$21)))</f>
        <v/>
      </c>
      <c r="X31" s="44" t="str">
        <f aca="false">IF(E31="","",IF(COUNTA(Q31:V31)=0,"Not scored",IF(COUNTA(Q31:V31)&lt;6,"Partly scored ("&amp;COUNTA(Q31:V31)&amp;"/6)",IF(W31&gt;=Settings!$S$8,"Hot",IF(W31&gt;=Settings!$S$9,"Warm","Cold")))))</f>
        <v/>
      </c>
      <c r="Y31" s="44" t="str">
        <f aca="false">IF(E31="","",IF(AND(Q31="No",S31="No"),"🚩 Budget  ·  🚩 No one on camera",IF(Q31="No","🚩 Budget under AED 5k",IF(S31="No","🚩 No one on camera",""))))</f>
        <v/>
      </c>
      <c r="Z31" s="17"/>
      <c r="AA31" s="17"/>
      <c r="AB31" s="40"/>
      <c r="AC31" s="17"/>
      <c r="AD31" s="45" t="str">
        <f aca="false">IF(OR(E31="",AB31="",OR(AA31="Contract signed + paid",AA31="Closed – No response",AA31="Lost"),N(AC31)&gt;=Settings!$S$3),"",AB31+Settings!$S$2)</f>
        <v/>
      </c>
      <c r="AE31" s="40"/>
      <c r="AF31" s="41"/>
      <c r="AG31" s="17"/>
      <c r="AH31" s="17"/>
      <c r="AI31" s="17"/>
      <c r="AJ31" s="46" t="str">
        <f aca="true">IF(OR(E31="",B31=""),"",INT(TODAY()-B31))</f>
        <v/>
      </c>
      <c r="AK31" s="44" t="str">
        <f aca="true">IF(E31="","",IF(OR(COUNTIFS(Clients!$C$2:$C$501,E31,Clients!$S$2:$S$501,"Paid")&gt;0,AND(I31&lt;&gt;"",COUNTIFS(Clients!$E$2:$E$501,I31,Clients!$S$2:$S$501,"Paid")&gt;0)),"⚠ Refunded before – no free video",IF(OR(AA31="Contract signed + paid",AA31="Closed – No response",AA31="Lost"),"",IF(AA31="","Set a stage",IF(AND(AA31="Proposal sent",COUNTA(Q31:V31)&lt;6),"Score this lead – proposal sent unscored",IF(N(AC31)&gt;=Settings!$S$3,"Close – 4 follow-ups sent",IF(AD31="",IF(AB31="","Make first contact",""),IF(TODAY()&gt;AD31,"OVERDUE follow-up",IF(TODAY()=AD31,"Follow up today","")))))))))</f>
        <v/>
      </c>
    </row>
    <row r="32" customFormat="false" ht="15" hidden="false" customHeight="false" outlineLevel="0" collapsed="false">
      <c r="A32" s="17"/>
      <c r="B32" s="40"/>
      <c r="C32" s="41"/>
      <c r="D32" s="17"/>
      <c r="E32" s="17"/>
      <c r="F32" s="17"/>
      <c r="G32" s="17"/>
      <c r="H32" s="17"/>
      <c r="I32" s="42"/>
      <c r="J32" s="17"/>
      <c r="K32" s="17"/>
      <c r="L32" s="17"/>
      <c r="M32" s="17"/>
      <c r="N32" s="40"/>
      <c r="O32" s="41"/>
      <c r="P32" s="43" t="str">
        <f aca="false">IF(OR(B32="",N32=""),"",ROUND(((N32+N(O32))-(B32+N(C32)))*24,1))</f>
        <v/>
      </c>
      <c r="Q32" s="17"/>
      <c r="R32" s="17"/>
      <c r="S32" s="17"/>
      <c r="T32" s="17"/>
      <c r="U32" s="17"/>
      <c r="V32" s="17"/>
      <c r="W32" s="44" t="str">
        <f aca="false">IF(OR(E32="",COUNTA(Q32:V32)=0),"",SUMIFS(Settings!$AA$2:$AA$21,Settings!$Y$2:$Y$21,"Budget AED 5k+/mo?",Settings!$Z$2:$Z$21,Q32)+SUMIFS(Settings!$AA$2:$AA$21,Settings!$Y$2:$Y$21,"Decision-maker?",Settings!$Z$2:$Z$21,R32)+SUMIFS(Settings!$AA$2:$AA$21,Settings!$Y$2:$Y$21,"Someone on camera?",Settings!$Z$2:$Z$21,S32)+SUMIFS(Settings!$AA$2:$AA$21,Settings!$Y$2:$Y$21,"OK with 3-month term?",Settings!$Z$2:$Z$21,T32)+SUMIFS(Settings!$AA$2:$AA$21,Settings!$Y$2:$Y$21,"Start timeline",Settings!$Z$2:$Z$21,U32)+SUMIFS(Settings!$AA$2:$AA$21,Settings!$Y$2:$Y$21,"Social media gap",Settings!$Z$2:$Z$21,V32)+IF(F32="",0,IF(COUNTIF(Settings!$AC$2:$AC$6,F32)&gt;0,Settings!$AA$20,Settings!$AA$21)))</f>
        <v/>
      </c>
      <c r="X32" s="44" t="str">
        <f aca="false">IF(E32="","",IF(COUNTA(Q32:V32)=0,"Not scored",IF(COUNTA(Q32:V32)&lt;6,"Partly scored ("&amp;COUNTA(Q32:V32)&amp;"/6)",IF(W32&gt;=Settings!$S$8,"Hot",IF(W32&gt;=Settings!$S$9,"Warm","Cold")))))</f>
        <v/>
      </c>
      <c r="Y32" s="44" t="str">
        <f aca="false">IF(E32="","",IF(AND(Q32="No",S32="No"),"🚩 Budget  ·  🚩 No one on camera",IF(Q32="No","🚩 Budget under AED 5k",IF(S32="No","🚩 No one on camera",""))))</f>
        <v/>
      </c>
      <c r="Z32" s="17"/>
      <c r="AA32" s="17"/>
      <c r="AB32" s="40"/>
      <c r="AC32" s="17"/>
      <c r="AD32" s="45" t="str">
        <f aca="false">IF(OR(E32="",AB32="",OR(AA32="Contract signed + paid",AA32="Closed – No response",AA32="Lost"),N(AC32)&gt;=Settings!$S$3),"",AB32+Settings!$S$2)</f>
        <v/>
      </c>
      <c r="AE32" s="40"/>
      <c r="AF32" s="41"/>
      <c r="AG32" s="17"/>
      <c r="AH32" s="17"/>
      <c r="AI32" s="17"/>
      <c r="AJ32" s="46" t="str">
        <f aca="true">IF(OR(E32="",B32=""),"",INT(TODAY()-B32))</f>
        <v/>
      </c>
      <c r="AK32" s="44" t="str">
        <f aca="true">IF(E32="","",IF(OR(COUNTIFS(Clients!$C$2:$C$501,E32,Clients!$S$2:$S$501,"Paid")&gt;0,AND(I32&lt;&gt;"",COUNTIFS(Clients!$E$2:$E$501,I32,Clients!$S$2:$S$501,"Paid")&gt;0)),"⚠ Refunded before – no free video",IF(OR(AA32="Contract signed + paid",AA32="Closed – No response",AA32="Lost"),"",IF(AA32="","Set a stage",IF(AND(AA32="Proposal sent",COUNTA(Q32:V32)&lt;6),"Score this lead – proposal sent unscored",IF(N(AC32)&gt;=Settings!$S$3,"Close – 4 follow-ups sent",IF(AD32="",IF(AB32="","Make first contact",""),IF(TODAY()&gt;AD32,"OVERDUE follow-up",IF(TODAY()=AD32,"Follow up today","")))))))))</f>
        <v/>
      </c>
    </row>
    <row r="33" customFormat="false" ht="15" hidden="false" customHeight="false" outlineLevel="0" collapsed="false">
      <c r="A33" s="17"/>
      <c r="B33" s="40"/>
      <c r="C33" s="41"/>
      <c r="D33" s="17"/>
      <c r="E33" s="17"/>
      <c r="F33" s="17"/>
      <c r="G33" s="17"/>
      <c r="H33" s="17"/>
      <c r="I33" s="42"/>
      <c r="J33" s="17"/>
      <c r="K33" s="17"/>
      <c r="L33" s="17"/>
      <c r="M33" s="17"/>
      <c r="N33" s="40"/>
      <c r="O33" s="41"/>
      <c r="P33" s="43" t="str">
        <f aca="false">IF(OR(B33="",N33=""),"",ROUND(((N33+N(O33))-(B33+N(C33)))*24,1))</f>
        <v/>
      </c>
      <c r="Q33" s="17"/>
      <c r="R33" s="17"/>
      <c r="S33" s="17"/>
      <c r="T33" s="17"/>
      <c r="U33" s="17"/>
      <c r="V33" s="17"/>
      <c r="W33" s="44" t="str">
        <f aca="false">IF(OR(E33="",COUNTA(Q33:V33)=0),"",SUMIFS(Settings!$AA$2:$AA$21,Settings!$Y$2:$Y$21,"Budget AED 5k+/mo?",Settings!$Z$2:$Z$21,Q33)+SUMIFS(Settings!$AA$2:$AA$21,Settings!$Y$2:$Y$21,"Decision-maker?",Settings!$Z$2:$Z$21,R33)+SUMIFS(Settings!$AA$2:$AA$21,Settings!$Y$2:$Y$21,"Someone on camera?",Settings!$Z$2:$Z$21,S33)+SUMIFS(Settings!$AA$2:$AA$21,Settings!$Y$2:$Y$21,"OK with 3-month term?",Settings!$Z$2:$Z$21,T33)+SUMIFS(Settings!$AA$2:$AA$21,Settings!$Y$2:$Y$21,"Start timeline",Settings!$Z$2:$Z$21,U33)+SUMIFS(Settings!$AA$2:$AA$21,Settings!$Y$2:$Y$21,"Social media gap",Settings!$Z$2:$Z$21,V33)+IF(F33="",0,IF(COUNTIF(Settings!$AC$2:$AC$6,F33)&gt;0,Settings!$AA$20,Settings!$AA$21)))</f>
        <v/>
      </c>
      <c r="X33" s="44" t="str">
        <f aca="false">IF(E33="","",IF(COUNTA(Q33:V33)=0,"Not scored",IF(COUNTA(Q33:V33)&lt;6,"Partly scored ("&amp;COUNTA(Q33:V33)&amp;"/6)",IF(W33&gt;=Settings!$S$8,"Hot",IF(W33&gt;=Settings!$S$9,"Warm","Cold")))))</f>
        <v/>
      </c>
      <c r="Y33" s="44" t="str">
        <f aca="false">IF(E33="","",IF(AND(Q33="No",S33="No"),"🚩 Budget  ·  🚩 No one on camera",IF(Q33="No","🚩 Budget under AED 5k",IF(S33="No","🚩 No one on camera",""))))</f>
        <v/>
      </c>
      <c r="Z33" s="17"/>
      <c r="AA33" s="17"/>
      <c r="AB33" s="40"/>
      <c r="AC33" s="17"/>
      <c r="AD33" s="45" t="str">
        <f aca="false">IF(OR(E33="",AB33="",OR(AA33="Contract signed + paid",AA33="Closed – No response",AA33="Lost"),N(AC33)&gt;=Settings!$S$3),"",AB33+Settings!$S$2)</f>
        <v/>
      </c>
      <c r="AE33" s="40"/>
      <c r="AF33" s="41"/>
      <c r="AG33" s="17"/>
      <c r="AH33" s="17"/>
      <c r="AI33" s="17"/>
      <c r="AJ33" s="46" t="str">
        <f aca="true">IF(OR(E33="",B33=""),"",INT(TODAY()-B33))</f>
        <v/>
      </c>
      <c r="AK33" s="44" t="str">
        <f aca="true">IF(E33="","",IF(OR(COUNTIFS(Clients!$C$2:$C$501,E33,Clients!$S$2:$S$501,"Paid")&gt;0,AND(I33&lt;&gt;"",COUNTIFS(Clients!$E$2:$E$501,I33,Clients!$S$2:$S$501,"Paid")&gt;0)),"⚠ Refunded before – no free video",IF(OR(AA33="Contract signed + paid",AA33="Closed – No response",AA33="Lost"),"",IF(AA33="","Set a stage",IF(AND(AA33="Proposal sent",COUNTA(Q33:V33)&lt;6),"Score this lead – proposal sent unscored",IF(N(AC33)&gt;=Settings!$S$3,"Close – 4 follow-ups sent",IF(AD33="",IF(AB33="","Make first contact",""),IF(TODAY()&gt;AD33,"OVERDUE follow-up",IF(TODAY()=AD33,"Follow up today","")))))))))</f>
        <v/>
      </c>
    </row>
    <row r="34" customFormat="false" ht="15" hidden="false" customHeight="false" outlineLevel="0" collapsed="false">
      <c r="A34" s="17"/>
      <c r="B34" s="40"/>
      <c r="C34" s="41"/>
      <c r="D34" s="17"/>
      <c r="E34" s="17"/>
      <c r="F34" s="17"/>
      <c r="G34" s="17"/>
      <c r="H34" s="17"/>
      <c r="I34" s="42"/>
      <c r="J34" s="17"/>
      <c r="K34" s="17"/>
      <c r="L34" s="17"/>
      <c r="M34" s="17"/>
      <c r="N34" s="40"/>
      <c r="O34" s="41"/>
      <c r="P34" s="43" t="str">
        <f aca="false">IF(OR(B34="",N34=""),"",ROUND(((N34+N(O34))-(B34+N(C34)))*24,1))</f>
        <v/>
      </c>
      <c r="Q34" s="17"/>
      <c r="R34" s="17"/>
      <c r="S34" s="17"/>
      <c r="T34" s="17"/>
      <c r="U34" s="17"/>
      <c r="V34" s="17"/>
      <c r="W34" s="44" t="str">
        <f aca="false">IF(OR(E34="",COUNTA(Q34:V34)=0),"",SUMIFS(Settings!$AA$2:$AA$21,Settings!$Y$2:$Y$21,"Budget AED 5k+/mo?",Settings!$Z$2:$Z$21,Q34)+SUMIFS(Settings!$AA$2:$AA$21,Settings!$Y$2:$Y$21,"Decision-maker?",Settings!$Z$2:$Z$21,R34)+SUMIFS(Settings!$AA$2:$AA$21,Settings!$Y$2:$Y$21,"Someone on camera?",Settings!$Z$2:$Z$21,S34)+SUMIFS(Settings!$AA$2:$AA$21,Settings!$Y$2:$Y$21,"OK with 3-month term?",Settings!$Z$2:$Z$21,T34)+SUMIFS(Settings!$AA$2:$AA$21,Settings!$Y$2:$Y$21,"Start timeline",Settings!$Z$2:$Z$21,U34)+SUMIFS(Settings!$AA$2:$AA$21,Settings!$Y$2:$Y$21,"Social media gap",Settings!$Z$2:$Z$21,V34)+IF(F34="",0,IF(COUNTIF(Settings!$AC$2:$AC$6,F34)&gt;0,Settings!$AA$20,Settings!$AA$21)))</f>
        <v/>
      </c>
      <c r="X34" s="44" t="str">
        <f aca="false">IF(E34="","",IF(COUNTA(Q34:V34)=0,"Not scored",IF(COUNTA(Q34:V34)&lt;6,"Partly scored ("&amp;COUNTA(Q34:V34)&amp;"/6)",IF(W34&gt;=Settings!$S$8,"Hot",IF(W34&gt;=Settings!$S$9,"Warm","Cold")))))</f>
        <v/>
      </c>
      <c r="Y34" s="44" t="str">
        <f aca="false">IF(E34="","",IF(AND(Q34="No",S34="No"),"🚩 Budget  ·  🚩 No one on camera",IF(Q34="No","🚩 Budget under AED 5k",IF(S34="No","🚩 No one on camera",""))))</f>
        <v/>
      </c>
      <c r="Z34" s="17"/>
      <c r="AA34" s="17"/>
      <c r="AB34" s="40"/>
      <c r="AC34" s="17"/>
      <c r="AD34" s="45" t="str">
        <f aca="false">IF(OR(E34="",AB34="",OR(AA34="Contract signed + paid",AA34="Closed – No response",AA34="Lost"),N(AC34)&gt;=Settings!$S$3),"",AB34+Settings!$S$2)</f>
        <v/>
      </c>
      <c r="AE34" s="40"/>
      <c r="AF34" s="41"/>
      <c r="AG34" s="17"/>
      <c r="AH34" s="17"/>
      <c r="AI34" s="17"/>
      <c r="AJ34" s="46" t="str">
        <f aca="true">IF(OR(E34="",B34=""),"",INT(TODAY()-B34))</f>
        <v/>
      </c>
      <c r="AK34" s="44" t="str">
        <f aca="true">IF(E34="","",IF(OR(COUNTIFS(Clients!$C$2:$C$501,E34,Clients!$S$2:$S$501,"Paid")&gt;0,AND(I34&lt;&gt;"",COUNTIFS(Clients!$E$2:$E$501,I34,Clients!$S$2:$S$501,"Paid")&gt;0)),"⚠ Refunded before – no free video",IF(OR(AA34="Contract signed + paid",AA34="Closed – No response",AA34="Lost"),"",IF(AA34="","Set a stage",IF(AND(AA34="Proposal sent",COUNTA(Q34:V34)&lt;6),"Score this lead – proposal sent unscored",IF(N(AC34)&gt;=Settings!$S$3,"Close – 4 follow-ups sent",IF(AD34="",IF(AB34="","Make first contact",""),IF(TODAY()&gt;AD34,"OVERDUE follow-up",IF(TODAY()=AD34,"Follow up today","")))))))))</f>
        <v/>
      </c>
    </row>
    <row r="35" customFormat="false" ht="15" hidden="false" customHeight="false" outlineLevel="0" collapsed="false">
      <c r="A35" s="17"/>
      <c r="B35" s="40"/>
      <c r="C35" s="41"/>
      <c r="D35" s="17"/>
      <c r="E35" s="17"/>
      <c r="F35" s="17"/>
      <c r="G35" s="17"/>
      <c r="H35" s="17"/>
      <c r="I35" s="42"/>
      <c r="J35" s="17"/>
      <c r="K35" s="17"/>
      <c r="L35" s="17"/>
      <c r="M35" s="17"/>
      <c r="N35" s="40"/>
      <c r="O35" s="41"/>
      <c r="P35" s="43" t="str">
        <f aca="false">IF(OR(B35="",N35=""),"",ROUND(((N35+N(O35))-(B35+N(C35)))*24,1))</f>
        <v/>
      </c>
      <c r="Q35" s="17"/>
      <c r="R35" s="17"/>
      <c r="S35" s="17"/>
      <c r="T35" s="17"/>
      <c r="U35" s="17"/>
      <c r="V35" s="17"/>
      <c r="W35" s="44" t="str">
        <f aca="false">IF(OR(E35="",COUNTA(Q35:V35)=0),"",SUMIFS(Settings!$AA$2:$AA$21,Settings!$Y$2:$Y$21,"Budget AED 5k+/mo?",Settings!$Z$2:$Z$21,Q35)+SUMIFS(Settings!$AA$2:$AA$21,Settings!$Y$2:$Y$21,"Decision-maker?",Settings!$Z$2:$Z$21,R35)+SUMIFS(Settings!$AA$2:$AA$21,Settings!$Y$2:$Y$21,"Someone on camera?",Settings!$Z$2:$Z$21,S35)+SUMIFS(Settings!$AA$2:$AA$21,Settings!$Y$2:$Y$21,"OK with 3-month term?",Settings!$Z$2:$Z$21,T35)+SUMIFS(Settings!$AA$2:$AA$21,Settings!$Y$2:$Y$21,"Start timeline",Settings!$Z$2:$Z$21,U35)+SUMIFS(Settings!$AA$2:$AA$21,Settings!$Y$2:$Y$21,"Social media gap",Settings!$Z$2:$Z$21,V35)+IF(F35="",0,IF(COUNTIF(Settings!$AC$2:$AC$6,F35)&gt;0,Settings!$AA$20,Settings!$AA$21)))</f>
        <v/>
      </c>
      <c r="X35" s="44" t="str">
        <f aca="false">IF(E35="","",IF(COUNTA(Q35:V35)=0,"Not scored",IF(COUNTA(Q35:V35)&lt;6,"Partly scored ("&amp;COUNTA(Q35:V35)&amp;"/6)",IF(W35&gt;=Settings!$S$8,"Hot",IF(W35&gt;=Settings!$S$9,"Warm","Cold")))))</f>
        <v/>
      </c>
      <c r="Y35" s="44" t="str">
        <f aca="false">IF(E35="","",IF(AND(Q35="No",S35="No"),"🚩 Budget  ·  🚩 No one on camera",IF(Q35="No","🚩 Budget under AED 5k",IF(S35="No","🚩 No one on camera",""))))</f>
        <v/>
      </c>
      <c r="Z35" s="17"/>
      <c r="AA35" s="17"/>
      <c r="AB35" s="40"/>
      <c r="AC35" s="17"/>
      <c r="AD35" s="45" t="str">
        <f aca="false">IF(OR(E35="",AB35="",OR(AA35="Contract signed + paid",AA35="Closed – No response",AA35="Lost"),N(AC35)&gt;=Settings!$S$3),"",AB35+Settings!$S$2)</f>
        <v/>
      </c>
      <c r="AE35" s="40"/>
      <c r="AF35" s="41"/>
      <c r="AG35" s="17"/>
      <c r="AH35" s="17"/>
      <c r="AI35" s="17"/>
      <c r="AJ35" s="46" t="str">
        <f aca="true">IF(OR(E35="",B35=""),"",INT(TODAY()-B35))</f>
        <v/>
      </c>
      <c r="AK35" s="44" t="str">
        <f aca="true">IF(E35="","",IF(OR(COUNTIFS(Clients!$C$2:$C$501,E35,Clients!$S$2:$S$501,"Paid")&gt;0,AND(I35&lt;&gt;"",COUNTIFS(Clients!$E$2:$E$501,I35,Clients!$S$2:$S$501,"Paid")&gt;0)),"⚠ Refunded before – no free video",IF(OR(AA35="Contract signed + paid",AA35="Closed – No response",AA35="Lost"),"",IF(AA35="","Set a stage",IF(AND(AA35="Proposal sent",COUNTA(Q35:V35)&lt;6),"Score this lead – proposal sent unscored",IF(N(AC35)&gt;=Settings!$S$3,"Close – 4 follow-ups sent",IF(AD35="",IF(AB35="","Make first contact",""),IF(TODAY()&gt;AD35,"OVERDUE follow-up",IF(TODAY()=AD35,"Follow up today","")))))))))</f>
        <v/>
      </c>
    </row>
    <row r="36" customFormat="false" ht="15" hidden="false" customHeight="false" outlineLevel="0" collapsed="false">
      <c r="A36" s="17"/>
      <c r="B36" s="40"/>
      <c r="C36" s="41"/>
      <c r="D36" s="17"/>
      <c r="E36" s="17"/>
      <c r="F36" s="17"/>
      <c r="G36" s="17"/>
      <c r="H36" s="17"/>
      <c r="I36" s="42"/>
      <c r="J36" s="17"/>
      <c r="K36" s="17"/>
      <c r="L36" s="17"/>
      <c r="M36" s="17"/>
      <c r="N36" s="40"/>
      <c r="O36" s="41"/>
      <c r="P36" s="43" t="str">
        <f aca="false">IF(OR(B36="",N36=""),"",ROUND(((N36+N(O36))-(B36+N(C36)))*24,1))</f>
        <v/>
      </c>
      <c r="Q36" s="17"/>
      <c r="R36" s="17"/>
      <c r="S36" s="17"/>
      <c r="T36" s="17"/>
      <c r="U36" s="17"/>
      <c r="V36" s="17"/>
      <c r="W36" s="44" t="str">
        <f aca="false">IF(OR(E36="",COUNTA(Q36:V36)=0),"",SUMIFS(Settings!$AA$2:$AA$21,Settings!$Y$2:$Y$21,"Budget AED 5k+/mo?",Settings!$Z$2:$Z$21,Q36)+SUMIFS(Settings!$AA$2:$AA$21,Settings!$Y$2:$Y$21,"Decision-maker?",Settings!$Z$2:$Z$21,R36)+SUMIFS(Settings!$AA$2:$AA$21,Settings!$Y$2:$Y$21,"Someone on camera?",Settings!$Z$2:$Z$21,S36)+SUMIFS(Settings!$AA$2:$AA$21,Settings!$Y$2:$Y$21,"OK with 3-month term?",Settings!$Z$2:$Z$21,T36)+SUMIFS(Settings!$AA$2:$AA$21,Settings!$Y$2:$Y$21,"Start timeline",Settings!$Z$2:$Z$21,U36)+SUMIFS(Settings!$AA$2:$AA$21,Settings!$Y$2:$Y$21,"Social media gap",Settings!$Z$2:$Z$21,V36)+IF(F36="",0,IF(COUNTIF(Settings!$AC$2:$AC$6,F36)&gt;0,Settings!$AA$20,Settings!$AA$21)))</f>
        <v/>
      </c>
      <c r="X36" s="44" t="str">
        <f aca="false">IF(E36="","",IF(COUNTA(Q36:V36)=0,"Not scored",IF(COUNTA(Q36:V36)&lt;6,"Partly scored ("&amp;COUNTA(Q36:V36)&amp;"/6)",IF(W36&gt;=Settings!$S$8,"Hot",IF(W36&gt;=Settings!$S$9,"Warm","Cold")))))</f>
        <v/>
      </c>
      <c r="Y36" s="44" t="str">
        <f aca="false">IF(E36="","",IF(AND(Q36="No",S36="No"),"🚩 Budget  ·  🚩 No one on camera",IF(Q36="No","🚩 Budget under AED 5k",IF(S36="No","🚩 No one on camera",""))))</f>
        <v/>
      </c>
      <c r="Z36" s="17"/>
      <c r="AA36" s="17"/>
      <c r="AB36" s="40"/>
      <c r="AC36" s="17"/>
      <c r="AD36" s="45" t="str">
        <f aca="false">IF(OR(E36="",AB36="",OR(AA36="Contract signed + paid",AA36="Closed – No response",AA36="Lost"),N(AC36)&gt;=Settings!$S$3),"",AB36+Settings!$S$2)</f>
        <v/>
      </c>
      <c r="AE36" s="40"/>
      <c r="AF36" s="41"/>
      <c r="AG36" s="17"/>
      <c r="AH36" s="17"/>
      <c r="AI36" s="17"/>
      <c r="AJ36" s="46" t="str">
        <f aca="true">IF(OR(E36="",B36=""),"",INT(TODAY()-B36))</f>
        <v/>
      </c>
      <c r="AK36" s="44" t="str">
        <f aca="true">IF(E36="","",IF(OR(COUNTIFS(Clients!$C$2:$C$501,E36,Clients!$S$2:$S$501,"Paid")&gt;0,AND(I36&lt;&gt;"",COUNTIFS(Clients!$E$2:$E$501,I36,Clients!$S$2:$S$501,"Paid")&gt;0)),"⚠ Refunded before – no free video",IF(OR(AA36="Contract signed + paid",AA36="Closed – No response",AA36="Lost"),"",IF(AA36="","Set a stage",IF(AND(AA36="Proposal sent",COUNTA(Q36:V36)&lt;6),"Score this lead – proposal sent unscored",IF(N(AC36)&gt;=Settings!$S$3,"Close – 4 follow-ups sent",IF(AD36="",IF(AB36="","Make first contact",""),IF(TODAY()&gt;AD36,"OVERDUE follow-up",IF(TODAY()=AD36,"Follow up today","")))))))))</f>
        <v/>
      </c>
    </row>
    <row r="37" customFormat="false" ht="15" hidden="false" customHeight="false" outlineLevel="0" collapsed="false">
      <c r="A37" s="17"/>
      <c r="B37" s="40"/>
      <c r="C37" s="41"/>
      <c r="D37" s="17"/>
      <c r="E37" s="17"/>
      <c r="F37" s="17"/>
      <c r="G37" s="17"/>
      <c r="H37" s="17"/>
      <c r="I37" s="42"/>
      <c r="J37" s="17"/>
      <c r="K37" s="17"/>
      <c r="L37" s="17"/>
      <c r="M37" s="17"/>
      <c r="N37" s="40"/>
      <c r="O37" s="41"/>
      <c r="P37" s="43" t="str">
        <f aca="false">IF(OR(B37="",N37=""),"",ROUND(((N37+N(O37))-(B37+N(C37)))*24,1))</f>
        <v/>
      </c>
      <c r="Q37" s="17"/>
      <c r="R37" s="17"/>
      <c r="S37" s="17"/>
      <c r="T37" s="17"/>
      <c r="U37" s="17"/>
      <c r="V37" s="17"/>
      <c r="W37" s="44" t="str">
        <f aca="false">IF(OR(E37="",COUNTA(Q37:V37)=0),"",SUMIFS(Settings!$AA$2:$AA$21,Settings!$Y$2:$Y$21,"Budget AED 5k+/mo?",Settings!$Z$2:$Z$21,Q37)+SUMIFS(Settings!$AA$2:$AA$21,Settings!$Y$2:$Y$21,"Decision-maker?",Settings!$Z$2:$Z$21,R37)+SUMIFS(Settings!$AA$2:$AA$21,Settings!$Y$2:$Y$21,"Someone on camera?",Settings!$Z$2:$Z$21,S37)+SUMIFS(Settings!$AA$2:$AA$21,Settings!$Y$2:$Y$21,"OK with 3-month term?",Settings!$Z$2:$Z$21,T37)+SUMIFS(Settings!$AA$2:$AA$21,Settings!$Y$2:$Y$21,"Start timeline",Settings!$Z$2:$Z$21,U37)+SUMIFS(Settings!$AA$2:$AA$21,Settings!$Y$2:$Y$21,"Social media gap",Settings!$Z$2:$Z$21,V37)+IF(F37="",0,IF(COUNTIF(Settings!$AC$2:$AC$6,F37)&gt;0,Settings!$AA$20,Settings!$AA$21)))</f>
        <v/>
      </c>
      <c r="X37" s="44" t="str">
        <f aca="false">IF(E37="","",IF(COUNTA(Q37:V37)=0,"Not scored",IF(COUNTA(Q37:V37)&lt;6,"Partly scored ("&amp;COUNTA(Q37:V37)&amp;"/6)",IF(W37&gt;=Settings!$S$8,"Hot",IF(W37&gt;=Settings!$S$9,"Warm","Cold")))))</f>
        <v/>
      </c>
      <c r="Y37" s="44" t="str">
        <f aca="false">IF(E37="","",IF(AND(Q37="No",S37="No"),"🚩 Budget  ·  🚩 No one on camera",IF(Q37="No","🚩 Budget under AED 5k",IF(S37="No","🚩 No one on camera",""))))</f>
        <v/>
      </c>
      <c r="Z37" s="17"/>
      <c r="AA37" s="17"/>
      <c r="AB37" s="40"/>
      <c r="AC37" s="17"/>
      <c r="AD37" s="45" t="str">
        <f aca="false">IF(OR(E37="",AB37="",OR(AA37="Contract signed + paid",AA37="Closed – No response",AA37="Lost"),N(AC37)&gt;=Settings!$S$3),"",AB37+Settings!$S$2)</f>
        <v/>
      </c>
      <c r="AE37" s="40"/>
      <c r="AF37" s="41"/>
      <c r="AG37" s="17"/>
      <c r="AH37" s="17"/>
      <c r="AI37" s="17"/>
      <c r="AJ37" s="46" t="str">
        <f aca="true">IF(OR(E37="",B37=""),"",INT(TODAY()-B37))</f>
        <v/>
      </c>
      <c r="AK37" s="44" t="str">
        <f aca="true">IF(E37="","",IF(OR(COUNTIFS(Clients!$C$2:$C$501,E37,Clients!$S$2:$S$501,"Paid")&gt;0,AND(I37&lt;&gt;"",COUNTIFS(Clients!$E$2:$E$501,I37,Clients!$S$2:$S$501,"Paid")&gt;0)),"⚠ Refunded before – no free video",IF(OR(AA37="Contract signed + paid",AA37="Closed – No response",AA37="Lost"),"",IF(AA37="","Set a stage",IF(AND(AA37="Proposal sent",COUNTA(Q37:V37)&lt;6),"Score this lead – proposal sent unscored",IF(N(AC37)&gt;=Settings!$S$3,"Close – 4 follow-ups sent",IF(AD37="",IF(AB37="","Make first contact",""),IF(TODAY()&gt;AD37,"OVERDUE follow-up",IF(TODAY()=AD37,"Follow up today","")))))))))</f>
        <v/>
      </c>
    </row>
    <row r="38" customFormat="false" ht="15" hidden="false" customHeight="false" outlineLevel="0" collapsed="false">
      <c r="A38" s="17"/>
      <c r="B38" s="40"/>
      <c r="C38" s="41"/>
      <c r="D38" s="17"/>
      <c r="E38" s="17"/>
      <c r="F38" s="17"/>
      <c r="G38" s="17"/>
      <c r="H38" s="17"/>
      <c r="I38" s="42"/>
      <c r="J38" s="17"/>
      <c r="K38" s="17"/>
      <c r="L38" s="17"/>
      <c r="M38" s="17"/>
      <c r="N38" s="40"/>
      <c r="O38" s="41"/>
      <c r="P38" s="43" t="str">
        <f aca="false">IF(OR(B38="",N38=""),"",ROUND(((N38+N(O38))-(B38+N(C38)))*24,1))</f>
        <v/>
      </c>
      <c r="Q38" s="17"/>
      <c r="R38" s="17"/>
      <c r="S38" s="17"/>
      <c r="T38" s="17"/>
      <c r="U38" s="17"/>
      <c r="V38" s="17"/>
      <c r="W38" s="44" t="str">
        <f aca="false">IF(OR(E38="",COUNTA(Q38:V38)=0),"",SUMIFS(Settings!$AA$2:$AA$21,Settings!$Y$2:$Y$21,"Budget AED 5k+/mo?",Settings!$Z$2:$Z$21,Q38)+SUMIFS(Settings!$AA$2:$AA$21,Settings!$Y$2:$Y$21,"Decision-maker?",Settings!$Z$2:$Z$21,R38)+SUMIFS(Settings!$AA$2:$AA$21,Settings!$Y$2:$Y$21,"Someone on camera?",Settings!$Z$2:$Z$21,S38)+SUMIFS(Settings!$AA$2:$AA$21,Settings!$Y$2:$Y$21,"OK with 3-month term?",Settings!$Z$2:$Z$21,T38)+SUMIFS(Settings!$AA$2:$AA$21,Settings!$Y$2:$Y$21,"Start timeline",Settings!$Z$2:$Z$21,U38)+SUMIFS(Settings!$AA$2:$AA$21,Settings!$Y$2:$Y$21,"Social media gap",Settings!$Z$2:$Z$21,V38)+IF(F38="",0,IF(COUNTIF(Settings!$AC$2:$AC$6,F38)&gt;0,Settings!$AA$20,Settings!$AA$21)))</f>
        <v/>
      </c>
      <c r="X38" s="44" t="str">
        <f aca="false">IF(E38="","",IF(COUNTA(Q38:V38)=0,"Not scored",IF(COUNTA(Q38:V38)&lt;6,"Partly scored ("&amp;COUNTA(Q38:V38)&amp;"/6)",IF(W38&gt;=Settings!$S$8,"Hot",IF(W38&gt;=Settings!$S$9,"Warm","Cold")))))</f>
        <v/>
      </c>
      <c r="Y38" s="44" t="str">
        <f aca="false">IF(E38="","",IF(AND(Q38="No",S38="No"),"🚩 Budget  ·  🚩 No one on camera",IF(Q38="No","🚩 Budget under AED 5k",IF(S38="No","🚩 No one on camera",""))))</f>
        <v/>
      </c>
      <c r="Z38" s="17"/>
      <c r="AA38" s="17"/>
      <c r="AB38" s="40"/>
      <c r="AC38" s="17"/>
      <c r="AD38" s="45" t="str">
        <f aca="false">IF(OR(E38="",AB38="",OR(AA38="Contract signed + paid",AA38="Closed – No response",AA38="Lost"),N(AC38)&gt;=Settings!$S$3),"",AB38+Settings!$S$2)</f>
        <v/>
      </c>
      <c r="AE38" s="40"/>
      <c r="AF38" s="41"/>
      <c r="AG38" s="17"/>
      <c r="AH38" s="17"/>
      <c r="AI38" s="17"/>
      <c r="AJ38" s="46" t="str">
        <f aca="true">IF(OR(E38="",B38=""),"",INT(TODAY()-B38))</f>
        <v/>
      </c>
      <c r="AK38" s="44" t="str">
        <f aca="true">IF(E38="","",IF(OR(COUNTIFS(Clients!$C$2:$C$501,E38,Clients!$S$2:$S$501,"Paid")&gt;0,AND(I38&lt;&gt;"",COUNTIFS(Clients!$E$2:$E$501,I38,Clients!$S$2:$S$501,"Paid")&gt;0)),"⚠ Refunded before – no free video",IF(OR(AA38="Contract signed + paid",AA38="Closed – No response",AA38="Lost"),"",IF(AA38="","Set a stage",IF(AND(AA38="Proposal sent",COUNTA(Q38:V38)&lt;6),"Score this lead – proposal sent unscored",IF(N(AC38)&gt;=Settings!$S$3,"Close – 4 follow-ups sent",IF(AD38="",IF(AB38="","Make first contact",""),IF(TODAY()&gt;AD38,"OVERDUE follow-up",IF(TODAY()=AD38,"Follow up today","")))))))))</f>
        <v/>
      </c>
    </row>
    <row r="39" customFormat="false" ht="15" hidden="false" customHeight="false" outlineLevel="0" collapsed="false">
      <c r="A39" s="17"/>
      <c r="B39" s="40"/>
      <c r="C39" s="41"/>
      <c r="D39" s="17"/>
      <c r="E39" s="17"/>
      <c r="F39" s="17"/>
      <c r="G39" s="17"/>
      <c r="H39" s="17"/>
      <c r="I39" s="42"/>
      <c r="J39" s="17"/>
      <c r="K39" s="17"/>
      <c r="L39" s="17"/>
      <c r="M39" s="17"/>
      <c r="N39" s="40"/>
      <c r="O39" s="41"/>
      <c r="P39" s="43" t="str">
        <f aca="false">IF(OR(B39="",N39=""),"",ROUND(((N39+N(O39))-(B39+N(C39)))*24,1))</f>
        <v/>
      </c>
      <c r="Q39" s="17"/>
      <c r="R39" s="17"/>
      <c r="S39" s="17"/>
      <c r="T39" s="17"/>
      <c r="U39" s="17"/>
      <c r="V39" s="17"/>
      <c r="W39" s="44" t="str">
        <f aca="false">IF(OR(E39="",COUNTA(Q39:V39)=0),"",SUMIFS(Settings!$AA$2:$AA$21,Settings!$Y$2:$Y$21,"Budget AED 5k+/mo?",Settings!$Z$2:$Z$21,Q39)+SUMIFS(Settings!$AA$2:$AA$21,Settings!$Y$2:$Y$21,"Decision-maker?",Settings!$Z$2:$Z$21,R39)+SUMIFS(Settings!$AA$2:$AA$21,Settings!$Y$2:$Y$21,"Someone on camera?",Settings!$Z$2:$Z$21,S39)+SUMIFS(Settings!$AA$2:$AA$21,Settings!$Y$2:$Y$21,"OK with 3-month term?",Settings!$Z$2:$Z$21,T39)+SUMIFS(Settings!$AA$2:$AA$21,Settings!$Y$2:$Y$21,"Start timeline",Settings!$Z$2:$Z$21,U39)+SUMIFS(Settings!$AA$2:$AA$21,Settings!$Y$2:$Y$21,"Social media gap",Settings!$Z$2:$Z$21,V39)+IF(F39="",0,IF(COUNTIF(Settings!$AC$2:$AC$6,F39)&gt;0,Settings!$AA$20,Settings!$AA$21)))</f>
        <v/>
      </c>
      <c r="X39" s="44" t="str">
        <f aca="false">IF(E39="","",IF(COUNTA(Q39:V39)=0,"Not scored",IF(COUNTA(Q39:V39)&lt;6,"Partly scored ("&amp;COUNTA(Q39:V39)&amp;"/6)",IF(W39&gt;=Settings!$S$8,"Hot",IF(W39&gt;=Settings!$S$9,"Warm","Cold")))))</f>
        <v/>
      </c>
      <c r="Y39" s="44" t="str">
        <f aca="false">IF(E39="","",IF(AND(Q39="No",S39="No"),"🚩 Budget  ·  🚩 No one on camera",IF(Q39="No","🚩 Budget under AED 5k",IF(S39="No","🚩 No one on camera",""))))</f>
        <v/>
      </c>
      <c r="Z39" s="17"/>
      <c r="AA39" s="17"/>
      <c r="AB39" s="40"/>
      <c r="AC39" s="17"/>
      <c r="AD39" s="45" t="str">
        <f aca="false">IF(OR(E39="",AB39="",OR(AA39="Contract signed + paid",AA39="Closed – No response",AA39="Lost"),N(AC39)&gt;=Settings!$S$3),"",AB39+Settings!$S$2)</f>
        <v/>
      </c>
      <c r="AE39" s="40"/>
      <c r="AF39" s="41"/>
      <c r="AG39" s="17"/>
      <c r="AH39" s="17"/>
      <c r="AI39" s="17"/>
      <c r="AJ39" s="46" t="str">
        <f aca="true">IF(OR(E39="",B39=""),"",INT(TODAY()-B39))</f>
        <v/>
      </c>
      <c r="AK39" s="44" t="str">
        <f aca="true">IF(E39="","",IF(OR(COUNTIFS(Clients!$C$2:$C$501,E39,Clients!$S$2:$S$501,"Paid")&gt;0,AND(I39&lt;&gt;"",COUNTIFS(Clients!$E$2:$E$501,I39,Clients!$S$2:$S$501,"Paid")&gt;0)),"⚠ Refunded before – no free video",IF(OR(AA39="Contract signed + paid",AA39="Closed – No response",AA39="Lost"),"",IF(AA39="","Set a stage",IF(AND(AA39="Proposal sent",COUNTA(Q39:V39)&lt;6),"Score this lead – proposal sent unscored",IF(N(AC39)&gt;=Settings!$S$3,"Close – 4 follow-ups sent",IF(AD39="",IF(AB39="","Make first contact",""),IF(TODAY()&gt;AD39,"OVERDUE follow-up",IF(TODAY()=AD39,"Follow up today","")))))))))</f>
        <v/>
      </c>
    </row>
    <row r="40" customFormat="false" ht="15" hidden="false" customHeight="false" outlineLevel="0" collapsed="false">
      <c r="A40" s="17"/>
      <c r="B40" s="40"/>
      <c r="C40" s="41"/>
      <c r="D40" s="17"/>
      <c r="E40" s="17"/>
      <c r="F40" s="17"/>
      <c r="G40" s="17"/>
      <c r="H40" s="17"/>
      <c r="I40" s="42"/>
      <c r="J40" s="17"/>
      <c r="K40" s="17"/>
      <c r="L40" s="17"/>
      <c r="M40" s="17"/>
      <c r="N40" s="40"/>
      <c r="O40" s="41"/>
      <c r="P40" s="43" t="str">
        <f aca="false">IF(OR(B40="",N40=""),"",ROUND(((N40+N(O40))-(B40+N(C40)))*24,1))</f>
        <v/>
      </c>
      <c r="Q40" s="17"/>
      <c r="R40" s="17"/>
      <c r="S40" s="17"/>
      <c r="T40" s="17"/>
      <c r="U40" s="17"/>
      <c r="V40" s="17"/>
      <c r="W40" s="44" t="str">
        <f aca="false">IF(OR(E40="",COUNTA(Q40:V40)=0),"",SUMIFS(Settings!$AA$2:$AA$21,Settings!$Y$2:$Y$21,"Budget AED 5k+/mo?",Settings!$Z$2:$Z$21,Q40)+SUMIFS(Settings!$AA$2:$AA$21,Settings!$Y$2:$Y$21,"Decision-maker?",Settings!$Z$2:$Z$21,R40)+SUMIFS(Settings!$AA$2:$AA$21,Settings!$Y$2:$Y$21,"Someone on camera?",Settings!$Z$2:$Z$21,S40)+SUMIFS(Settings!$AA$2:$AA$21,Settings!$Y$2:$Y$21,"OK with 3-month term?",Settings!$Z$2:$Z$21,T40)+SUMIFS(Settings!$AA$2:$AA$21,Settings!$Y$2:$Y$21,"Start timeline",Settings!$Z$2:$Z$21,U40)+SUMIFS(Settings!$AA$2:$AA$21,Settings!$Y$2:$Y$21,"Social media gap",Settings!$Z$2:$Z$21,V40)+IF(F40="",0,IF(COUNTIF(Settings!$AC$2:$AC$6,F40)&gt;0,Settings!$AA$20,Settings!$AA$21)))</f>
        <v/>
      </c>
      <c r="X40" s="44" t="str">
        <f aca="false">IF(E40="","",IF(COUNTA(Q40:V40)=0,"Not scored",IF(COUNTA(Q40:V40)&lt;6,"Partly scored ("&amp;COUNTA(Q40:V40)&amp;"/6)",IF(W40&gt;=Settings!$S$8,"Hot",IF(W40&gt;=Settings!$S$9,"Warm","Cold")))))</f>
        <v/>
      </c>
      <c r="Y40" s="44" t="str">
        <f aca="false">IF(E40="","",IF(AND(Q40="No",S40="No"),"🚩 Budget  ·  🚩 No one on camera",IF(Q40="No","🚩 Budget under AED 5k",IF(S40="No","🚩 No one on camera",""))))</f>
        <v/>
      </c>
      <c r="Z40" s="17"/>
      <c r="AA40" s="17"/>
      <c r="AB40" s="40"/>
      <c r="AC40" s="17"/>
      <c r="AD40" s="45" t="str">
        <f aca="false">IF(OR(E40="",AB40="",OR(AA40="Contract signed + paid",AA40="Closed – No response",AA40="Lost"),N(AC40)&gt;=Settings!$S$3),"",AB40+Settings!$S$2)</f>
        <v/>
      </c>
      <c r="AE40" s="40"/>
      <c r="AF40" s="41"/>
      <c r="AG40" s="17"/>
      <c r="AH40" s="17"/>
      <c r="AI40" s="17"/>
      <c r="AJ40" s="46" t="str">
        <f aca="true">IF(OR(E40="",B40=""),"",INT(TODAY()-B40))</f>
        <v/>
      </c>
      <c r="AK40" s="44" t="str">
        <f aca="true">IF(E40="","",IF(OR(COUNTIFS(Clients!$C$2:$C$501,E40,Clients!$S$2:$S$501,"Paid")&gt;0,AND(I40&lt;&gt;"",COUNTIFS(Clients!$E$2:$E$501,I40,Clients!$S$2:$S$501,"Paid")&gt;0)),"⚠ Refunded before – no free video",IF(OR(AA40="Contract signed + paid",AA40="Closed – No response",AA40="Lost"),"",IF(AA40="","Set a stage",IF(AND(AA40="Proposal sent",COUNTA(Q40:V40)&lt;6),"Score this lead – proposal sent unscored",IF(N(AC40)&gt;=Settings!$S$3,"Close – 4 follow-ups sent",IF(AD40="",IF(AB40="","Make first contact",""),IF(TODAY()&gt;AD40,"OVERDUE follow-up",IF(TODAY()=AD40,"Follow up today","")))))))))</f>
        <v/>
      </c>
    </row>
    <row r="41" customFormat="false" ht="15" hidden="false" customHeight="false" outlineLevel="0" collapsed="false">
      <c r="A41" s="17"/>
      <c r="B41" s="40"/>
      <c r="C41" s="41"/>
      <c r="D41" s="17"/>
      <c r="E41" s="17"/>
      <c r="F41" s="17"/>
      <c r="G41" s="17"/>
      <c r="H41" s="17"/>
      <c r="I41" s="42"/>
      <c r="J41" s="17"/>
      <c r="K41" s="17"/>
      <c r="L41" s="17"/>
      <c r="M41" s="17"/>
      <c r="N41" s="40"/>
      <c r="O41" s="41"/>
      <c r="P41" s="43" t="str">
        <f aca="false">IF(OR(B41="",N41=""),"",ROUND(((N41+N(O41))-(B41+N(C41)))*24,1))</f>
        <v/>
      </c>
      <c r="Q41" s="17"/>
      <c r="R41" s="17"/>
      <c r="S41" s="17"/>
      <c r="T41" s="17"/>
      <c r="U41" s="17"/>
      <c r="V41" s="17"/>
      <c r="W41" s="44" t="str">
        <f aca="false">IF(OR(E41="",COUNTA(Q41:V41)=0),"",SUMIFS(Settings!$AA$2:$AA$21,Settings!$Y$2:$Y$21,"Budget AED 5k+/mo?",Settings!$Z$2:$Z$21,Q41)+SUMIFS(Settings!$AA$2:$AA$21,Settings!$Y$2:$Y$21,"Decision-maker?",Settings!$Z$2:$Z$21,R41)+SUMIFS(Settings!$AA$2:$AA$21,Settings!$Y$2:$Y$21,"Someone on camera?",Settings!$Z$2:$Z$21,S41)+SUMIFS(Settings!$AA$2:$AA$21,Settings!$Y$2:$Y$21,"OK with 3-month term?",Settings!$Z$2:$Z$21,T41)+SUMIFS(Settings!$AA$2:$AA$21,Settings!$Y$2:$Y$21,"Start timeline",Settings!$Z$2:$Z$21,U41)+SUMIFS(Settings!$AA$2:$AA$21,Settings!$Y$2:$Y$21,"Social media gap",Settings!$Z$2:$Z$21,V41)+IF(F41="",0,IF(COUNTIF(Settings!$AC$2:$AC$6,F41)&gt;0,Settings!$AA$20,Settings!$AA$21)))</f>
        <v/>
      </c>
      <c r="X41" s="44" t="str">
        <f aca="false">IF(E41="","",IF(COUNTA(Q41:V41)=0,"Not scored",IF(COUNTA(Q41:V41)&lt;6,"Partly scored ("&amp;COUNTA(Q41:V41)&amp;"/6)",IF(W41&gt;=Settings!$S$8,"Hot",IF(W41&gt;=Settings!$S$9,"Warm","Cold")))))</f>
        <v/>
      </c>
      <c r="Y41" s="44" t="str">
        <f aca="false">IF(E41="","",IF(AND(Q41="No",S41="No"),"🚩 Budget  ·  🚩 No one on camera",IF(Q41="No","🚩 Budget under AED 5k",IF(S41="No","🚩 No one on camera",""))))</f>
        <v/>
      </c>
      <c r="Z41" s="17"/>
      <c r="AA41" s="17"/>
      <c r="AB41" s="40"/>
      <c r="AC41" s="17"/>
      <c r="AD41" s="45" t="str">
        <f aca="false">IF(OR(E41="",AB41="",OR(AA41="Contract signed + paid",AA41="Closed – No response",AA41="Lost"),N(AC41)&gt;=Settings!$S$3),"",AB41+Settings!$S$2)</f>
        <v/>
      </c>
      <c r="AE41" s="40"/>
      <c r="AF41" s="41"/>
      <c r="AG41" s="17"/>
      <c r="AH41" s="17"/>
      <c r="AI41" s="17"/>
      <c r="AJ41" s="46" t="str">
        <f aca="true">IF(OR(E41="",B41=""),"",INT(TODAY()-B41))</f>
        <v/>
      </c>
      <c r="AK41" s="44" t="str">
        <f aca="true">IF(E41="","",IF(OR(COUNTIFS(Clients!$C$2:$C$501,E41,Clients!$S$2:$S$501,"Paid")&gt;0,AND(I41&lt;&gt;"",COUNTIFS(Clients!$E$2:$E$501,I41,Clients!$S$2:$S$501,"Paid")&gt;0)),"⚠ Refunded before – no free video",IF(OR(AA41="Contract signed + paid",AA41="Closed – No response",AA41="Lost"),"",IF(AA41="","Set a stage",IF(AND(AA41="Proposal sent",COUNTA(Q41:V41)&lt;6),"Score this lead – proposal sent unscored",IF(N(AC41)&gt;=Settings!$S$3,"Close – 4 follow-ups sent",IF(AD41="",IF(AB41="","Make first contact",""),IF(TODAY()&gt;AD41,"OVERDUE follow-up",IF(TODAY()=AD41,"Follow up today","")))))))))</f>
        <v/>
      </c>
    </row>
    <row r="42" customFormat="false" ht="15" hidden="false" customHeight="false" outlineLevel="0" collapsed="false">
      <c r="A42" s="17"/>
      <c r="B42" s="40"/>
      <c r="C42" s="41"/>
      <c r="D42" s="17"/>
      <c r="E42" s="17"/>
      <c r="F42" s="17"/>
      <c r="G42" s="17"/>
      <c r="H42" s="17"/>
      <c r="I42" s="42"/>
      <c r="J42" s="17"/>
      <c r="K42" s="17"/>
      <c r="L42" s="17"/>
      <c r="M42" s="17"/>
      <c r="N42" s="40"/>
      <c r="O42" s="41"/>
      <c r="P42" s="43" t="str">
        <f aca="false">IF(OR(B42="",N42=""),"",ROUND(((N42+N(O42))-(B42+N(C42)))*24,1))</f>
        <v/>
      </c>
      <c r="Q42" s="17"/>
      <c r="R42" s="17"/>
      <c r="S42" s="17"/>
      <c r="T42" s="17"/>
      <c r="U42" s="17"/>
      <c r="V42" s="17"/>
      <c r="W42" s="44" t="str">
        <f aca="false">IF(OR(E42="",COUNTA(Q42:V42)=0),"",SUMIFS(Settings!$AA$2:$AA$21,Settings!$Y$2:$Y$21,"Budget AED 5k+/mo?",Settings!$Z$2:$Z$21,Q42)+SUMIFS(Settings!$AA$2:$AA$21,Settings!$Y$2:$Y$21,"Decision-maker?",Settings!$Z$2:$Z$21,R42)+SUMIFS(Settings!$AA$2:$AA$21,Settings!$Y$2:$Y$21,"Someone on camera?",Settings!$Z$2:$Z$21,S42)+SUMIFS(Settings!$AA$2:$AA$21,Settings!$Y$2:$Y$21,"OK with 3-month term?",Settings!$Z$2:$Z$21,T42)+SUMIFS(Settings!$AA$2:$AA$21,Settings!$Y$2:$Y$21,"Start timeline",Settings!$Z$2:$Z$21,U42)+SUMIFS(Settings!$AA$2:$AA$21,Settings!$Y$2:$Y$21,"Social media gap",Settings!$Z$2:$Z$21,V42)+IF(F42="",0,IF(COUNTIF(Settings!$AC$2:$AC$6,F42)&gt;0,Settings!$AA$20,Settings!$AA$21)))</f>
        <v/>
      </c>
      <c r="X42" s="44" t="str">
        <f aca="false">IF(E42="","",IF(COUNTA(Q42:V42)=0,"Not scored",IF(COUNTA(Q42:V42)&lt;6,"Partly scored ("&amp;COUNTA(Q42:V42)&amp;"/6)",IF(W42&gt;=Settings!$S$8,"Hot",IF(W42&gt;=Settings!$S$9,"Warm","Cold")))))</f>
        <v/>
      </c>
      <c r="Y42" s="44" t="str">
        <f aca="false">IF(E42="","",IF(AND(Q42="No",S42="No"),"🚩 Budget  ·  🚩 No one on camera",IF(Q42="No","🚩 Budget under AED 5k",IF(S42="No","🚩 No one on camera",""))))</f>
        <v/>
      </c>
      <c r="Z42" s="17"/>
      <c r="AA42" s="17"/>
      <c r="AB42" s="40"/>
      <c r="AC42" s="17"/>
      <c r="AD42" s="45" t="str">
        <f aca="false">IF(OR(E42="",AB42="",OR(AA42="Contract signed + paid",AA42="Closed – No response",AA42="Lost"),N(AC42)&gt;=Settings!$S$3),"",AB42+Settings!$S$2)</f>
        <v/>
      </c>
      <c r="AE42" s="40"/>
      <c r="AF42" s="41"/>
      <c r="AG42" s="17"/>
      <c r="AH42" s="17"/>
      <c r="AI42" s="17"/>
      <c r="AJ42" s="46" t="str">
        <f aca="true">IF(OR(E42="",B42=""),"",INT(TODAY()-B42))</f>
        <v/>
      </c>
      <c r="AK42" s="44" t="str">
        <f aca="true">IF(E42="","",IF(OR(COUNTIFS(Clients!$C$2:$C$501,E42,Clients!$S$2:$S$501,"Paid")&gt;0,AND(I42&lt;&gt;"",COUNTIFS(Clients!$E$2:$E$501,I42,Clients!$S$2:$S$501,"Paid")&gt;0)),"⚠ Refunded before – no free video",IF(OR(AA42="Contract signed + paid",AA42="Closed – No response",AA42="Lost"),"",IF(AA42="","Set a stage",IF(AND(AA42="Proposal sent",COUNTA(Q42:V42)&lt;6),"Score this lead – proposal sent unscored",IF(N(AC42)&gt;=Settings!$S$3,"Close – 4 follow-ups sent",IF(AD42="",IF(AB42="","Make first contact",""),IF(TODAY()&gt;AD42,"OVERDUE follow-up",IF(TODAY()=AD42,"Follow up today","")))))))))</f>
        <v/>
      </c>
    </row>
    <row r="43" customFormat="false" ht="15" hidden="false" customHeight="false" outlineLevel="0" collapsed="false">
      <c r="A43" s="17"/>
      <c r="B43" s="40"/>
      <c r="C43" s="41"/>
      <c r="D43" s="17"/>
      <c r="E43" s="17"/>
      <c r="F43" s="17"/>
      <c r="G43" s="17"/>
      <c r="H43" s="17"/>
      <c r="I43" s="42"/>
      <c r="J43" s="17"/>
      <c r="K43" s="17"/>
      <c r="L43" s="17"/>
      <c r="M43" s="17"/>
      <c r="N43" s="40"/>
      <c r="O43" s="41"/>
      <c r="P43" s="43" t="str">
        <f aca="false">IF(OR(B43="",N43=""),"",ROUND(((N43+N(O43))-(B43+N(C43)))*24,1))</f>
        <v/>
      </c>
      <c r="Q43" s="17"/>
      <c r="R43" s="17"/>
      <c r="S43" s="17"/>
      <c r="T43" s="17"/>
      <c r="U43" s="17"/>
      <c r="V43" s="17"/>
      <c r="W43" s="44" t="str">
        <f aca="false">IF(OR(E43="",COUNTA(Q43:V43)=0),"",SUMIFS(Settings!$AA$2:$AA$21,Settings!$Y$2:$Y$21,"Budget AED 5k+/mo?",Settings!$Z$2:$Z$21,Q43)+SUMIFS(Settings!$AA$2:$AA$21,Settings!$Y$2:$Y$21,"Decision-maker?",Settings!$Z$2:$Z$21,R43)+SUMIFS(Settings!$AA$2:$AA$21,Settings!$Y$2:$Y$21,"Someone on camera?",Settings!$Z$2:$Z$21,S43)+SUMIFS(Settings!$AA$2:$AA$21,Settings!$Y$2:$Y$21,"OK with 3-month term?",Settings!$Z$2:$Z$21,T43)+SUMIFS(Settings!$AA$2:$AA$21,Settings!$Y$2:$Y$21,"Start timeline",Settings!$Z$2:$Z$21,U43)+SUMIFS(Settings!$AA$2:$AA$21,Settings!$Y$2:$Y$21,"Social media gap",Settings!$Z$2:$Z$21,V43)+IF(F43="",0,IF(COUNTIF(Settings!$AC$2:$AC$6,F43)&gt;0,Settings!$AA$20,Settings!$AA$21)))</f>
        <v/>
      </c>
      <c r="X43" s="44" t="str">
        <f aca="false">IF(E43="","",IF(COUNTA(Q43:V43)=0,"Not scored",IF(COUNTA(Q43:V43)&lt;6,"Partly scored ("&amp;COUNTA(Q43:V43)&amp;"/6)",IF(W43&gt;=Settings!$S$8,"Hot",IF(W43&gt;=Settings!$S$9,"Warm","Cold")))))</f>
        <v/>
      </c>
      <c r="Y43" s="44" t="str">
        <f aca="false">IF(E43="","",IF(AND(Q43="No",S43="No"),"🚩 Budget  ·  🚩 No one on camera",IF(Q43="No","🚩 Budget under AED 5k",IF(S43="No","🚩 No one on camera",""))))</f>
        <v/>
      </c>
      <c r="Z43" s="17"/>
      <c r="AA43" s="17"/>
      <c r="AB43" s="40"/>
      <c r="AC43" s="17"/>
      <c r="AD43" s="45" t="str">
        <f aca="false">IF(OR(E43="",AB43="",OR(AA43="Contract signed + paid",AA43="Closed – No response",AA43="Lost"),N(AC43)&gt;=Settings!$S$3),"",AB43+Settings!$S$2)</f>
        <v/>
      </c>
      <c r="AE43" s="40"/>
      <c r="AF43" s="41"/>
      <c r="AG43" s="17"/>
      <c r="AH43" s="17"/>
      <c r="AI43" s="17"/>
      <c r="AJ43" s="46" t="str">
        <f aca="true">IF(OR(E43="",B43=""),"",INT(TODAY()-B43))</f>
        <v/>
      </c>
      <c r="AK43" s="44" t="str">
        <f aca="true">IF(E43="","",IF(OR(COUNTIFS(Clients!$C$2:$C$501,E43,Clients!$S$2:$S$501,"Paid")&gt;0,AND(I43&lt;&gt;"",COUNTIFS(Clients!$E$2:$E$501,I43,Clients!$S$2:$S$501,"Paid")&gt;0)),"⚠ Refunded before – no free video",IF(OR(AA43="Contract signed + paid",AA43="Closed – No response",AA43="Lost"),"",IF(AA43="","Set a stage",IF(AND(AA43="Proposal sent",COUNTA(Q43:V43)&lt;6),"Score this lead – proposal sent unscored",IF(N(AC43)&gt;=Settings!$S$3,"Close – 4 follow-ups sent",IF(AD43="",IF(AB43="","Make first contact",""),IF(TODAY()&gt;AD43,"OVERDUE follow-up",IF(TODAY()=AD43,"Follow up today","")))))))))</f>
        <v/>
      </c>
    </row>
    <row r="44" customFormat="false" ht="15" hidden="false" customHeight="false" outlineLevel="0" collapsed="false">
      <c r="A44" s="17"/>
      <c r="B44" s="40"/>
      <c r="C44" s="41"/>
      <c r="D44" s="17"/>
      <c r="E44" s="17"/>
      <c r="F44" s="17"/>
      <c r="G44" s="17"/>
      <c r="H44" s="17"/>
      <c r="I44" s="42"/>
      <c r="J44" s="17"/>
      <c r="K44" s="17"/>
      <c r="L44" s="17"/>
      <c r="M44" s="17"/>
      <c r="N44" s="40"/>
      <c r="O44" s="41"/>
      <c r="P44" s="43" t="str">
        <f aca="false">IF(OR(B44="",N44=""),"",ROUND(((N44+N(O44))-(B44+N(C44)))*24,1))</f>
        <v/>
      </c>
      <c r="Q44" s="17"/>
      <c r="R44" s="17"/>
      <c r="S44" s="17"/>
      <c r="T44" s="17"/>
      <c r="U44" s="17"/>
      <c r="V44" s="17"/>
      <c r="W44" s="44" t="str">
        <f aca="false">IF(OR(E44="",COUNTA(Q44:V44)=0),"",SUMIFS(Settings!$AA$2:$AA$21,Settings!$Y$2:$Y$21,"Budget AED 5k+/mo?",Settings!$Z$2:$Z$21,Q44)+SUMIFS(Settings!$AA$2:$AA$21,Settings!$Y$2:$Y$21,"Decision-maker?",Settings!$Z$2:$Z$21,R44)+SUMIFS(Settings!$AA$2:$AA$21,Settings!$Y$2:$Y$21,"Someone on camera?",Settings!$Z$2:$Z$21,S44)+SUMIFS(Settings!$AA$2:$AA$21,Settings!$Y$2:$Y$21,"OK with 3-month term?",Settings!$Z$2:$Z$21,T44)+SUMIFS(Settings!$AA$2:$AA$21,Settings!$Y$2:$Y$21,"Start timeline",Settings!$Z$2:$Z$21,U44)+SUMIFS(Settings!$AA$2:$AA$21,Settings!$Y$2:$Y$21,"Social media gap",Settings!$Z$2:$Z$21,V44)+IF(F44="",0,IF(COUNTIF(Settings!$AC$2:$AC$6,F44)&gt;0,Settings!$AA$20,Settings!$AA$21)))</f>
        <v/>
      </c>
      <c r="X44" s="44" t="str">
        <f aca="false">IF(E44="","",IF(COUNTA(Q44:V44)=0,"Not scored",IF(COUNTA(Q44:V44)&lt;6,"Partly scored ("&amp;COUNTA(Q44:V44)&amp;"/6)",IF(W44&gt;=Settings!$S$8,"Hot",IF(W44&gt;=Settings!$S$9,"Warm","Cold")))))</f>
        <v/>
      </c>
      <c r="Y44" s="44" t="str">
        <f aca="false">IF(E44="","",IF(AND(Q44="No",S44="No"),"🚩 Budget  ·  🚩 No one on camera",IF(Q44="No","🚩 Budget under AED 5k",IF(S44="No","🚩 No one on camera",""))))</f>
        <v/>
      </c>
      <c r="Z44" s="17"/>
      <c r="AA44" s="17"/>
      <c r="AB44" s="40"/>
      <c r="AC44" s="17"/>
      <c r="AD44" s="45" t="str">
        <f aca="false">IF(OR(E44="",AB44="",OR(AA44="Contract signed + paid",AA44="Closed – No response",AA44="Lost"),N(AC44)&gt;=Settings!$S$3),"",AB44+Settings!$S$2)</f>
        <v/>
      </c>
      <c r="AE44" s="40"/>
      <c r="AF44" s="41"/>
      <c r="AG44" s="17"/>
      <c r="AH44" s="17"/>
      <c r="AI44" s="17"/>
      <c r="AJ44" s="46" t="str">
        <f aca="true">IF(OR(E44="",B44=""),"",INT(TODAY()-B44))</f>
        <v/>
      </c>
      <c r="AK44" s="44" t="str">
        <f aca="true">IF(E44="","",IF(OR(COUNTIFS(Clients!$C$2:$C$501,E44,Clients!$S$2:$S$501,"Paid")&gt;0,AND(I44&lt;&gt;"",COUNTIFS(Clients!$E$2:$E$501,I44,Clients!$S$2:$S$501,"Paid")&gt;0)),"⚠ Refunded before – no free video",IF(OR(AA44="Contract signed + paid",AA44="Closed – No response",AA44="Lost"),"",IF(AA44="","Set a stage",IF(AND(AA44="Proposal sent",COUNTA(Q44:V44)&lt;6),"Score this lead – proposal sent unscored",IF(N(AC44)&gt;=Settings!$S$3,"Close – 4 follow-ups sent",IF(AD44="",IF(AB44="","Make first contact",""),IF(TODAY()&gt;AD44,"OVERDUE follow-up",IF(TODAY()=AD44,"Follow up today","")))))))))</f>
        <v/>
      </c>
    </row>
    <row r="45" customFormat="false" ht="15" hidden="false" customHeight="false" outlineLevel="0" collapsed="false">
      <c r="A45" s="17"/>
      <c r="B45" s="40"/>
      <c r="C45" s="41"/>
      <c r="D45" s="17"/>
      <c r="E45" s="17"/>
      <c r="F45" s="17"/>
      <c r="G45" s="17"/>
      <c r="H45" s="17"/>
      <c r="I45" s="42"/>
      <c r="J45" s="17"/>
      <c r="K45" s="17"/>
      <c r="L45" s="17"/>
      <c r="M45" s="17"/>
      <c r="N45" s="40"/>
      <c r="O45" s="41"/>
      <c r="P45" s="43" t="str">
        <f aca="false">IF(OR(B45="",N45=""),"",ROUND(((N45+N(O45))-(B45+N(C45)))*24,1))</f>
        <v/>
      </c>
      <c r="Q45" s="17"/>
      <c r="R45" s="17"/>
      <c r="S45" s="17"/>
      <c r="T45" s="17"/>
      <c r="U45" s="17"/>
      <c r="V45" s="17"/>
      <c r="W45" s="44" t="str">
        <f aca="false">IF(OR(E45="",COUNTA(Q45:V45)=0),"",SUMIFS(Settings!$AA$2:$AA$21,Settings!$Y$2:$Y$21,"Budget AED 5k+/mo?",Settings!$Z$2:$Z$21,Q45)+SUMIFS(Settings!$AA$2:$AA$21,Settings!$Y$2:$Y$21,"Decision-maker?",Settings!$Z$2:$Z$21,R45)+SUMIFS(Settings!$AA$2:$AA$21,Settings!$Y$2:$Y$21,"Someone on camera?",Settings!$Z$2:$Z$21,S45)+SUMIFS(Settings!$AA$2:$AA$21,Settings!$Y$2:$Y$21,"OK with 3-month term?",Settings!$Z$2:$Z$21,T45)+SUMIFS(Settings!$AA$2:$AA$21,Settings!$Y$2:$Y$21,"Start timeline",Settings!$Z$2:$Z$21,U45)+SUMIFS(Settings!$AA$2:$AA$21,Settings!$Y$2:$Y$21,"Social media gap",Settings!$Z$2:$Z$21,V45)+IF(F45="",0,IF(COUNTIF(Settings!$AC$2:$AC$6,F45)&gt;0,Settings!$AA$20,Settings!$AA$21)))</f>
        <v/>
      </c>
      <c r="X45" s="44" t="str">
        <f aca="false">IF(E45="","",IF(COUNTA(Q45:V45)=0,"Not scored",IF(COUNTA(Q45:V45)&lt;6,"Partly scored ("&amp;COUNTA(Q45:V45)&amp;"/6)",IF(W45&gt;=Settings!$S$8,"Hot",IF(W45&gt;=Settings!$S$9,"Warm","Cold")))))</f>
        <v/>
      </c>
      <c r="Y45" s="44" t="str">
        <f aca="false">IF(E45="","",IF(AND(Q45="No",S45="No"),"🚩 Budget  ·  🚩 No one on camera",IF(Q45="No","🚩 Budget under AED 5k",IF(S45="No","🚩 No one on camera",""))))</f>
        <v/>
      </c>
      <c r="Z45" s="17"/>
      <c r="AA45" s="17"/>
      <c r="AB45" s="40"/>
      <c r="AC45" s="17"/>
      <c r="AD45" s="45" t="str">
        <f aca="false">IF(OR(E45="",AB45="",OR(AA45="Contract signed + paid",AA45="Closed – No response",AA45="Lost"),N(AC45)&gt;=Settings!$S$3),"",AB45+Settings!$S$2)</f>
        <v/>
      </c>
      <c r="AE45" s="40"/>
      <c r="AF45" s="41"/>
      <c r="AG45" s="17"/>
      <c r="AH45" s="17"/>
      <c r="AI45" s="17"/>
      <c r="AJ45" s="46" t="str">
        <f aca="true">IF(OR(E45="",B45=""),"",INT(TODAY()-B45))</f>
        <v/>
      </c>
      <c r="AK45" s="44" t="str">
        <f aca="true">IF(E45="","",IF(OR(COUNTIFS(Clients!$C$2:$C$501,E45,Clients!$S$2:$S$501,"Paid")&gt;0,AND(I45&lt;&gt;"",COUNTIFS(Clients!$E$2:$E$501,I45,Clients!$S$2:$S$501,"Paid")&gt;0)),"⚠ Refunded before – no free video",IF(OR(AA45="Contract signed + paid",AA45="Closed – No response",AA45="Lost"),"",IF(AA45="","Set a stage",IF(AND(AA45="Proposal sent",COUNTA(Q45:V45)&lt;6),"Score this lead – proposal sent unscored",IF(N(AC45)&gt;=Settings!$S$3,"Close – 4 follow-ups sent",IF(AD45="",IF(AB45="","Make first contact",""),IF(TODAY()&gt;AD45,"OVERDUE follow-up",IF(TODAY()=AD45,"Follow up today","")))))))))</f>
        <v/>
      </c>
    </row>
    <row r="46" customFormat="false" ht="15" hidden="false" customHeight="false" outlineLevel="0" collapsed="false">
      <c r="A46" s="17"/>
      <c r="B46" s="40"/>
      <c r="C46" s="41"/>
      <c r="D46" s="17"/>
      <c r="E46" s="17"/>
      <c r="F46" s="17"/>
      <c r="G46" s="17"/>
      <c r="H46" s="17"/>
      <c r="I46" s="42"/>
      <c r="J46" s="17"/>
      <c r="K46" s="17"/>
      <c r="L46" s="17"/>
      <c r="M46" s="17"/>
      <c r="N46" s="40"/>
      <c r="O46" s="41"/>
      <c r="P46" s="43" t="str">
        <f aca="false">IF(OR(B46="",N46=""),"",ROUND(((N46+N(O46))-(B46+N(C46)))*24,1))</f>
        <v/>
      </c>
      <c r="Q46" s="17"/>
      <c r="R46" s="17"/>
      <c r="S46" s="17"/>
      <c r="T46" s="17"/>
      <c r="U46" s="17"/>
      <c r="V46" s="17"/>
      <c r="W46" s="44" t="str">
        <f aca="false">IF(OR(E46="",COUNTA(Q46:V46)=0),"",SUMIFS(Settings!$AA$2:$AA$21,Settings!$Y$2:$Y$21,"Budget AED 5k+/mo?",Settings!$Z$2:$Z$21,Q46)+SUMIFS(Settings!$AA$2:$AA$21,Settings!$Y$2:$Y$21,"Decision-maker?",Settings!$Z$2:$Z$21,R46)+SUMIFS(Settings!$AA$2:$AA$21,Settings!$Y$2:$Y$21,"Someone on camera?",Settings!$Z$2:$Z$21,S46)+SUMIFS(Settings!$AA$2:$AA$21,Settings!$Y$2:$Y$21,"OK with 3-month term?",Settings!$Z$2:$Z$21,T46)+SUMIFS(Settings!$AA$2:$AA$21,Settings!$Y$2:$Y$21,"Start timeline",Settings!$Z$2:$Z$21,U46)+SUMIFS(Settings!$AA$2:$AA$21,Settings!$Y$2:$Y$21,"Social media gap",Settings!$Z$2:$Z$21,V46)+IF(F46="",0,IF(COUNTIF(Settings!$AC$2:$AC$6,F46)&gt;0,Settings!$AA$20,Settings!$AA$21)))</f>
        <v/>
      </c>
      <c r="X46" s="44" t="str">
        <f aca="false">IF(E46="","",IF(COUNTA(Q46:V46)=0,"Not scored",IF(COUNTA(Q46:V46)&lt;6,"Partly scored ("&amp;COUNTA(Q46:V46)&amp;"/6)",IF(W46&gt;=Settings!$S$8,"Hot",IF(W46&gt;=Settings!$S$9,"Warm","Cold")))))</f>
        <v/>
      </c>
      <c r="Y46" s="44" t="str">
        <f aca="false">IF(E46="","",IF(AND(Q46="No",S46="No"),"🚩 Budget  ·  🚩 No one on camera",IF(Q46="No","🚩 Budget under AED 5k",IF(S46="No","🚩 No one on camera",""))))</f>
        <v/>
      </c>
      <c r="Z46" s="17"/>
      <c r="AA46" s="17"/>
      <c r="AB46" s="40"/>
      <c r="AC46" s="17"/>
      <c r="AD46" s="45" t="str">
        <f aca="false">IF(OR(E46="",AB46="",OR(AA46="Contract signed + paid",AA46="Closed – No response",AA46="Lost"),N(AC46)&gt;=Settings!$S$3),"",AB46+Settings!$S$2)</f>
        <v/>
      </c>
      <c r="AE46" s="40"/>
      <c r="AF46" s="41"/>
      <c r="AG46" s="17"/>
      <c r="AH46" s="17"/>
      <c r="AI46" s="17"/>
      <c r="AJ46" s="46" t="str">
        <f aca="true">IF(OR(E46="",B46=""),"",INT(TODAY()-B46))</f>
        <v/>
      </c>
      <c r="AK46" s="44" t="str">
        <f aca="true">IF(E46="","",IF(OR(COUNTIFS(Clients!$C$2:$C$501,E46,Clients!$S$2:$S$501,"Paid")&gt;0,AND(I46&lt;&gt;"",COUNTIFS(Clients!$E$2:$E$501,I46,Clients!$S$2:$S$501,"Paid")&gt;0)),"⚠ Refunded before – no free video",IF(OR(AA46="Contract signed + paid",AA46="Closed – No response",AA46="Lost"),"",IF(AA46="","Set a stage",IF(AND(AA46="Proposal sent",COUNTA(Q46:V46)&lt;6),"Score this lead – proposal sent unscored",IF(N(AC46)&gt;=Settings!$S$3,"Close – 4 follow-ups sent",IF(AD46="",IF(AB46="","Make first contact",""),IF(TODAY()&gt;AD46,"OVERDUE follow-up",IF(TODAY()=AD46,"Follow up today","")))))))))</f>
        <v/>
      </c>
    </row>
    <row r="47" customFormat="false" ht="15" hidden="false" customHeight="false" outlineLevel="0" collapsed="false">
      <c r="A47" s="17"/>
      <c r="B47" s="40"/>
      <c r="C47" s="41"/>
      <c r="D47" s="17"/>
      <c r="E47" s="17"/>
      <c r="F47" s="17"/>
      <c r="G47" s="17"/>
      <c r="H47" s="17"/>
      <c r="I47" s="42"/>
      <c r="J47" s="17"/>
      <c r="K47" s="17"/>
      <c r="L47" s="17"/>
      <c r="M47" s="17"/>
      <c r="N47" s="40"/>
      <c r="O47" s="41"/>
      <c r="P47" s="43" t="str">
        <f aca="false">IF(OR(B47="",N47=""),"",ROUND(((N47+N(O47))-(B47+N(C47)))*24,1))</f>
        <v/>
      </c>
      <c r="Q47" s="17"/>
      <c r="R47" s="17"/>
      <c r="S47" s="17"/>
      <c r="T47" s="17"/>
      <c r="U47" s="17"/>
      <c r="V47" s="17"/>
      <c r="W47" s="44" t="str">
        <f aca="false">IF(OR(E47="",COUNTA(Q47:V47)=0),"",SUMIFS(Settings!$AA$2:$AA$21,Settings!$Y$2:$Y$21,"Budget AED 5k+/mo?",Settings!$Z$2:$Z$21,Q47)+SUMIFS(Settings!$AA$2:$AA$21,Settings!$Y$2:$Y$21,"Decision-maker?",Settings!$Z$2:$Z$21,R47)+SUMIFS(Settings!$AA$2:$AA$21,Settings!$Y$2:$Y$21,"Someone on camera?",Settings!$Z$2:$Z$21,S47)+SUMIFS(Settings!$AA$2:$AA$21,Settings!$Y$2:$Y$21,"OK with 3-month term?",Settings!$Z$2:$Z$21,T47)+SUMIFS(Settings!$AA$2:$AA$21,Settings!$Y$2:$Y$21,"Start timeline",Settings!$Z$2:$Z$21,U47)+SUMIFS(Settings!$AA$2:$AA$21,Settings!$Y$2:$Y$21,"Social media gap",Settings!$Z$2:$Z$21,V47)+IF(F47="",0,IF(COUNTIF(Settings!$AC$2:$AC$6,F47)&gt;0,Settings!$AA$20,Settings!$AA$21)))</f>
        <v/>
      </c>
      <c r="X47" s="44" t="str">
        <f aca="false">IF(E47="","",IF(COUNTA(Q47:V47)=0,"Not scored",IF(COUNTA(Q47:V47)&lt;6,"Partly scored ("&amp;COUNTA(Q47:V47)&amp;"/6)",IF(W47&gt;=Settings!$S$8,"Hot",IF(W47&gt;=Settings!$S$9,"Warm","Cold")))))</f>
        <v/>
      </c>
      <c r="Y47" s="44" t="str">
        <f aca="false">IF(E47="","",IF(AND(Q47="No",S47="No"),"🚩 Budget  ·  🚩 No one on camera",IF(Q47="No","🚩 Budget under AED 5k",IF(S47="No","🚩 No one on camera",""))))</f>
        <v/>
      </c>
      <c r="Z47" s="17"/>
      <c r="AA47" s="17"/>
      <c r="AB47" s="40"/>
      <c r="AC47" s="17"/>
      <c r="AD47" s="45" t="str">
        <f aca="false">IF(OR(E47="",AB47="",OR(AA47="Contract signed + paid",AA47="Closed – No response",AA47="Lost"),N(AC47)&gt;=Settings!$S$3),"",AB47+Settings!$S$2)</f>
        <v/>
      </c>
      <c r="AE47" s="40"/>
      <c r="AF47" s="41"/>
      <c r="AG47" s="17"/>
      <c r="AH47" s="17"/>
      <c r="AI47" s="17"/>
      <c r="AJ47" s="46" t="str">
        <f aca="true">IF(OR(E47="",B47=""),"",INT(TODAY()-B47))</f>
        <v/>
      </c>
      <c r="AK47" s="44" t="str">
        <f aca="true">IF(E47="","",IF(OR(COUNTIFS(Clients!$C$2:$C$501,E47,Clients!$S$2:$S$501,"Paid")&gt;0,AND(I47&lt;&gt;"",COUNTIFS(Clients!$E$2:$E$501,I47,Clients!$S$2:$S$501,"Paid")&gt;0)),"⚠ Refunded before – no free video",IF(OR(AA47="Contract signed + paid",AA47="Closed – No response",AA47="Lost"),"",IF(AA47="","Set a stage",IF(AND(AA47="Proposal sent",COUNTA(Q47:V47)&lt;6),"Score this lead – proposal sent unscored",IF(N(AC47)&gt;=Settings!$S$3,"Close – 4 follow-ups sent",IF(AD47="",IF(AB47="","Make first contact",""),IF(TODAY()&gt;AD47,"OVERDUE follow-up",IF(TODAY()=AD47,"Follow up today","")))))))))</f>
        <v/>
      </c>
    </row>
    <row r="48" customFormat="false" ht="15" hidden="false" customHeight="false" outlineLevel="0" collapsed="false">
      <c r="A48" s="17"/>
      <c r="B48" s="40"/>
      <c r="C48" s="41"/>
      <c r="D48" s="17"/>
      <c r="E48" s="17"/>
      <c r="F48" s="17"/>
      <c r="G48" s="17"/>
      <c r="H48" s="17"/>
      <c r="I48" s="42"/>
      <c r="J48" s="17"/>
      <c r="K48" s="17"/>
      <c r="L48" s="17"/>
      <c r="M48" s="17"/>
      <c r="N48" s="40"/>
      <c r="O48" s="41"/>
      <c r="P48" s="43" t="str">
        <f aca="false">IF(OR(B48="",N48=""),"",ROUND(((N48+N(O48))-(B48+N(C48)))*24,1))</f>
        <v/>
      </c>
      <c r="Q48" s="17"/>
      <c r="R48" s="17"/>
      <c r="S48" s="17"/>
      <c r="T48" s="17"/>
      <c r="U48" s="17"/>
      <c r="V48" s="17"/>
      <c r="W48" s="44" t="str">
        <f aca="false">IF(OR(E48="",COUNTA(Q48:V48)=0),"",SUMIFS(Settings!$AA$2:$AA$21,Settings!$Y$2:$Y$21,"Budget AED 5k+/mo?",Settings!$Z$2:$Z$21,Q48)+SUMIFS(Settings!$AA$2:$AA$21,Settings!$Y$2:$Y$21,"Decision-maker?",Settings!$Z$2:$Z$21,R48)+SUMIFS(Settings!$AA$2:$AA$21,Settings!$Y$2:$Y$21,"Someone on camera?",Settings!$Z$2:$Z$21,S48)+SUMIFS(Settings!$AA$2:$AA$21,Settings!$Y$2:$Y$21,"OK with 3-month term?",Settings!$Z$2:$Z$21,T48)+SUMIFS(Settings!$AA$2:$AA$21,Settings!$Y$2:$Y$21,"Start timeline",Settings!$Z$2:$Z$21,U48)+SUMIFS(Settings!$AA$2:$AA$21,Settings!$Y$2:$Y$21,"Social media gap",Settings!$Z$2:$Z$21,V48)+IF(F48="",0,IF(COUNTIF(Settings!$AC$2:$AC$6,F48)&gt;0,Settings!$AA$20,Settings!$AA$21)))</f>
        <v/>
      </c>
      <c r="X48" s="44" t="str">
        <f aca="false">IF(E48="","",IF(COUNTA(Q48:V48)=0,"Not scored",IF(COUNTA(Q48:V48)&lt;6,"Partly scored ("&amp;COUNTA(Q48:V48)&amp;"/6)",IF(W48&gt;=Settings!$S$8,"Hot",IF(W48&gt;=Settings!$S$9,"Warm","Cold")))))</f>
        <v/>
      </c>
      <c r="Y48" s="44" t="str">
        <f aca="false">IF(E48="","",IF(AND(Q48="No",S48="No"),"🚩 Budget  ·  🚩 No one on camera",IF(Q48="No","🚩 Budget under AED 5k",IF(S48="No","🚩 No one on camera",""))))</f>
        <v/>
      </c>
      <c r="Z48" s="17"/>
      <c r="AA48" s="17"/>
      <c r="AB48" s="40"/>
      <c r="AC48" s="17"/>
      <c r="AD48" s="45" t="str">
        <f aca="false">IF(OR(E48="",AB48="",OR(AA48="Contract signed + paid",AA48="Closed – No response",AA48="Lost"),N(AC48)&gt;=Settings!$S$3),"",AB48+Settings!$S$2)</f>
        <v/>
      </c>
      <c r="AE48" s="40"/>
      <c r="AF48" s="41"/>
      <c r="AG48" s="17"/>
      <c r="AH48" s="17"/>
      <c r="AI48" s="17"/>
      <c r="AJ48" s="46" t="str">
        <f aca="true">IF(OR(E48="",B48=""),"",INT(TODAY()-B48))</f>
        <v/>
      </c>
      <c r="AK48" s="44" t="str">
        <f aca="true">IF(E48="","",IF(OR(COUNTIFS(Clients!$C$2:$C$501,E48,Clients!$S$2:$S$501,"Paid")&gt;0,AND(I48&lt;&gt;"",COUNTIFS(Clients!$E$2:$E$501,I48,Clients!$S$2:$S$501,"Paid")&gt;0)),"⚠ Refunded before – no free video",IF(OR(AA48="Contract signed + paid",AA48="Closed – No response",AA48="Lost"),"",IF(AA48="","Set a stage",IF(AND(AA48="Proposal sent",COUNTA(Q48:V48)&lt;6),"Score this lead – proposal sent unscored",IF(N(AC48)&gt;=Settings!$S$3,"Close – 4 follow-ups sent",IF(AD48="",IF(AB48="","Make first contact",""),IF(TODAY()&gt;AD48,"OVERDUE follow-up",IF(TODAY()=AD48,"Follow up today","")))))))))</f>
        <v/>
      </c>
    </row>
    <row r="49" customFormat="false" ht="15" hidden="false" customHeight="false" outlineLevel="0" collapsed="false">
      <c r="A49" s="17"/>
      <c r="B49" s="40"/>
      <c r="C49" s="41"/>
      <c r="D49" s="17"/>
      <c r="E49" s="17"/>
      <c r="F49" s="17"/>
      <c r="G49" s="17"/>
      <c r="H49" s="17"/>
      <c r="I49" s="42"/>
      <c r="J49" s="17"/>
      <c r="K49" s="17"/>
      <c r="L49" s="17"/>
      <c r="M49" s="17"/>
      <c r="N49" s="40"/>
      <c r="O49" s="41"/>
      <c r="P49" s="43" t="str">
        <f aca="false">IF(OR(B49="",N49=""),"",ROUND(((N49+N(O49))-(B49+N(C49)))*24,1))</f>
        <v/>
      </c>
      <c r="Q49" s="17"/>
      <c r="R49" s="17"/>
      <c r="S49" s="17"/>
      <c r="T49" s="17"/>
      <c r="U49" s="17"/>
      <c r="V49" s="17"/>
      <c r="W49" s="44" t="str">
        <f aca="false">IF(OR(E49="",COUNTA(Q49:V49)=0),"",SUMIFS(Settings!$AA$2:$AA$21,Settings!$Y$2:$Y$21,"Budget AED 5k+/mo?",Settings!$Z$2:$Z$21,Q49)+SUMIFS(Settings!$AA$2:$AA$21,Settings!$Y$2:$Y$21,"Decision-maker?",Settings!$Z$2:$Z$21,R49)+SUMIFS(Settings!$AA$2:$AA$21,Settings!$Y$2:$Y$21,"Someone on camera?",Settings!$Z$2:$Z$21,S49)+SUMIFS(Settings!$AA$2:$AA$21,Settings!$Y$2:$Y$21,"OK with 3-month term?",Settings!$Z$2:$Z$21,T49)+SUMIFS(Settings!$AA$2:$AA$21,Settings!$Y$2:$Y$21,"Start timeline",Settings!$Z$2:$Z$21,U49)+SUMIFS(Settings!$AA$2:$AA$21,Settings!$Y$2:$Y$21,"Social media gap",Settings!$Z$2:$Z$21,V49)+IF(F49="",0,IF(COUNTIF(Settings!$AC$2:$AC$6,F49)&gt;0,Settings!$AA$20,Settings!$AA$21)))</f>
        <v/>
      </c>
      <c r="X49" s="44" t="str">
        <f aca="false">IF(E49="","",IF(COUNTA(Q49:V49)=0,"Not scored",IF(COUNTA(Q49:V49)&lt;6,"Partly scored ("&amp;COUNTA(Q49:V49)&amp;"/6)",IF(W49&gt;=Settings!$S$8,"Hot",IF(W49&gt;=Settings!$S$9,"Warm","Cold")))))</f>
        <v/>
      </c>
      <c r="Y49" s="44" t="str">
        <f aca="false">IF(E49="","",IF(AND(Q49="No",S49="No"),"🚩 Budget  ·  🚩 No one on camera",IF(Q49="No","🚩 Budget under AED 5k",IF(S49="No","🚩 No one on camera",""))))</f>
        <v/>
      </c>
      <c r="Z49" s="17"/>
      <c r="AA49" s="17"/>
      <c r="AB49" s="40"/>
      <c r="AC49" s="17"/>
      <c r="AD49" s="45" t="str">
        <f aca="false">IF(OR(E49="",AB49="",OR(AA49="Contract signed + paid",AA49="Closed – No response",AA49="Lost"),N(AC49)&gt;=Settings!$S$3),"",AB49+Settings!$S$2)</f>
        <v/>
      </c>
      <c r="AE49" s="40"/>
      <c r="AF49" s="41"/>
      <c r="AG49" s="17"/>
      <c r="AH49" s="17"/>
      <c r="AI49" s="17"/>
      <c r="AJ49" s="46" t="str">
        <f aca="true">IF(OR(E49="",B49=""),"",INT(TODAY()-B49))</f>
        <v/>
      </c>
      <c r="AK49" s="44" t="str">
        <f aca="true">IF(E49="","",IF(OR(COUNTIFS(Clients!$C$2:$C$501,E49,Clients!$S$2:$S$501,"Paid")&gt;0,AND(I49&lt;&gt;"",COUNTIFS(Clients!$E$2:$E$501,I49,Clients!$S$2:$S$501,"Paid")&gt;0)),"⚠ Refunded before – no free video",IF(OR(AA49="Contract signed + paid",AA49="Closed – No response",AA49="Lost"),"",IF(AA49="","Set a stage",IF(AND(AA49="Proposal sent",COUNTA(Q49:V49)&lt;6),"Score this lead – proposal sent unscored",IF(N(AC49)&gt;=Settings!$S$3,"Close – 4 follow-ups sent",IF(AD49="",IF(AB49="","Make first contact",""),IF(TODAY()&gt;AD49,"OVERDUE follow-up",IF(TODAY()=AD49,"Follow up today","")))))))))</f>
        <v/>
      </c>
    </row>
    <row r="50" customFormat="false" ht="15" hidden="false" customHeight="false" outlineLevel="0" collapsed="false">
      <c r="A50" s="17"/>
      <c r="B50" s="40"/>
      <c r="C50" s="41"/>
      <c r="D50" s="17"/>
      <c r="E50" s="17"/>
      <c r="F50" s="17"/>
      <c r="G50" s="17"/>
      <c r="H50" s="17"/>
      <c r="I50" s="42"/>
      <c r="J50" s="17"/>
      <c r="K50" s="17"/>
      <c r="L50" s="17"/>
      <c r="M50" s="17"/>
      <c r="N50" s="40"/>
      <c r="O50" s="41"/>
      <c r="P50" s="43" t="str">
        <f aca="false">IF(OR(B50="",N50=""),"",ROUND(((N50+N(O50))-(B50+N(C50)))*24,1))</f>
        <v/>
      </c>
      <c r="Q50" s="17"/>
      <c r="R50" s="17"/>
      <c r="S50" s="17"/>
      <c r="T50" s="17"/>
      <c r="U50" s="17"/>
      <c r="V50" s="17"/>
      <c r="W50" s="44" t="str">
        <f aca="false">IF(OR(E50="",COUNTA(Q50:V50)=0),"",SUMIFS(Settings!$AA$2:$AA$21,Settings!$Y$2:$Y$21,"Budget AED 5k+/mo?",Settings!$Z$2:$Z$21,Q50)+SUMIFS(Settings!$AA$2:$AA$21,Settings!$Y$2:$Y$21,"Decision-maker?",Settings!$Z$2:$Z$21,R50)+SUMIFS(Settings!$AA$2:$AA$21,Settings!$Y$2:$Y$21,"Someone on camera?",Settings!$Z$2:$Z$21,S50)+SUMIFS(Settings!$AA$2:$AA$21,Settings!$Y$2:$Y$21,"OK with 3-month term?",Settings!$Z$2:$Z$21,T50)+SUMIFS(Settings!$AA$2:$AA$21,Settings!$Y$2:$Y$21,"Start timeline",Settings!$Z$2:$Z$21,U50)+SUMIFS(Settings!$AA$2:$AA$21,Settings!$Y$2:$Y$21,"Social media gap",Settings!$Z$2:$Z$21,V50)+IF(F50="",0,IF(COUNTIF(Settings!$AC$2:$AC$6,F50)&gt;0,Settings!$AA$20,Settings!$AA$21)))</f>
        <v/>
      </c>
      <c r="X50" s="44" t="str">
        <f aca="false">IF(E50="","",IF(COUNTA(Q50:V50)=0,"Not scored",IF(COUNTA(Q50:V50)&lt;6,"Partly scored ("&amp;COUNTA(Q50:V50)&amp;"/6)",IF(W50&gt;=Settings!$S$8,"Hot",IF(W50&gt;=Settings!$S$9,"Warm","Cold")))))</f>
        <v/>
      </c>
      <c r="Y50" s="44" t="str">
        <f aca="false">IF(E50="","",IF(AND(Q50="No",S50="No"),"🚩 Budget  ·  🚩 No one on camera",IF(Q50="No","🚩 Budget under AED 5k",IF(S50="No","🚩 No one on camera",""))))</f>
        <v/>
      </c>
      <c r="Z50" s="17"/>
      <c r="AA50" s="17"/>
      <c r="AB50" s="40"/>
      <c r="AC50" s="17"/>
      <c r="AD50" s="45" t="str">
        <f aca="false">IF(OR(E50="",AB50="",OR(AA50="Contract signed + paid",AA50="Closed – No response",AA50="Lost"),N(AC50)&gt;=Settings!$S$3),"",AB50+Settings!$S$2)</f>
        <v/>
      </c>
      <c r="AE50" s="40"/>
      <c r="AF50" s="41"/>
      <c r="AG50" s="17"/>
      <c r="AH50" s="17"/>
      <c r="AI50" s="17"/>
      <c r="AJ50" s="46" t="str">
        <f aca="true">IF(OR(E50="",B50=""),"",INT(TODAY()-B50))</f>
        <v/>
      </c>
      <c r="AK50" s="44" t="str">
        <f aca="true">IF(E50="","",IF(OR(COUNTIFS(Clients!$C$2:$C$501,E50,Clients!$S$2:$S$501,"Paid")&gt;0,AND(I50&lt;&gt;"",COUNTIFS(Clients!$E$2:$E$501,I50,Clients!$S$2:$S$501,"Paid")&gt;0)),"⚠ Refunded before – no free video",IF(OR(AA50="Contract signed + paid",AA50="Closed – No response",AA50="Lost"),"",IF(AA50="","Set a stage",IF(AND(AA50="Proposal sent",COUNTA(Q50:V50)&lt;6),"Score this lead – proposal sent unscored",IF(N(AC50)&gt;=Settings!$S$3,"Close – 4 follow-ups sent",IF(AD50="",IF(AB50="","Make first contact",""),IF(TODAY()&gt;AD50,"OVERDUE follow-up",IF(TODAY()=AD50,"Follow up today","")))))))))</f>
        <v/>
      </c>
    </row>
    <row r="51" customFormat="false" ht="15" hidden="false" customHeight="false" outlineLevel="0" collapsed="false">
      <c r="A51" s="17"/>
      <c r="B51" s="40"/>
      <c r="C51" s="41"/>
      <c r="D51" s="17"/>
      <c r="E51" s="17"/>
      <c r="F51" s="17"/>
      <c r="G51" s="17"/>
      <c r="H51" s="17"/>
      <c r="I51" s="42"/>
      <c r="J51" s="17"/>
      <c r="K51" s="17"/>
      <c r="L51" s="17"/>
      <c r="M51" s="17"/>
      <c r="N51" s="40"/>
      <c r="O51" s="41"/>
      <c r="P51" s="43" t="str">
        <f aca="false">IF(OR(B51="",N51=""),"",ROUND(((N51+N(O51))-(B51+N(C51)))*24,1))</f>
        <v/>
      </c>
      <c r="Q51" s="17"/>
      <c r="R51" s="17"/>
      <c r="S51" s="17"/>
      <c r="T51" s="17"/>
      <c r="U51" s="17"/>
      <c r="V51" s="17"/>
      <c r="W51" s="44" t="str">
        <f aca="false">IF(OR(E51="",COUNTA(Q51:V51)=0),"",SUMIFS(Settings!$AA$2:$AA$21,Settings!$Y$2:$Y$21,"Budget AED 5k+/mo?",Settings!$Z$2:$Z$21,Q51)+SUMIFS(Settings!$AA$2:$AA$21,Settings!$Y$2:$Y$21,"Decision-maker?",Settings!$Z$2:$Z$21,R51)+SUMIFS(Settings!$AA$2:$AA$21,Settings!$Y$2:$Y$21,"Someone on camera?",Settings!$Z$2:$Z$21,S51)+SUMIFS(Settings!$AA$2:$AA$21,Settings!$Y$2:$Y$21,"OK with 3-month term?",Settings!$Z$2:$Z$21,T51)+SUMIFS(Settings!$AA$2:$AA$21,Settings!$Y$2:$Y$21,"Start timeline",Settings!$Z$2:$Z$21,U51)+SUMIFS(Settings!$AA$2:$AA$21,Settings!$Y$2:$Y$21,"Social media gap",Settings!$Z$2:$Z$21,V51)+IF(F51="",0,IF(COUNTIF(Settings!$AC$2:$AC$6,F51)&gt;0,Settings!$AA$20,Settings!$AA$21)))</f>
        <v/>
      </c>
      <c r="X51" s="44" t="str">
        <f aca="false">IF(E51="","",IF(COUNTA(Q51:V51)=0,"Not scored",IF(COUNTA(Q51:V51)&lt;6,"Partly scored ("&amp;COUNTA(Q51:V51)&amp;"/6)",IF(W51&gt;=Settings!$S$8,"Hot",IF(W51&gt;=Settings!$S$9,"Warm","Cold")))))</f>
        <v/>
      </c>
      <c r="Y51" s="44" t="str">
        <f aca="false">IF(E51="","",IF(AND(Q51="No",S51="No"),"🚩 Budget  ·  🚩 No one on camera",IF(Q51="No","🚩 Budget under AED 5k",IF(S51="No","🚩 No one on camera",""))))</f>
        <v/>
      </c>
      <c r="Z51" s="17"/>
      <c r="AA51" s="17"/>
      <c r="AB51" s="40"/>
      <c r="AC51" s="17"/>
      <c r="AD51" s="45" t="str">
        <f aca="false">IF(OR(E51="",AB51="",OR(AA51="Contract signed + paid",AA51="Closed – No response",AA51="Lost"),N(AC51)&gt;=Settings!$S$3),"",AB51+Settings!$S$2)</f>
        <v/>
      </c>
      <c r="AE51" s="40"/>
      <c r="AF51" s="41"/>
      <c r="AG51" s="17"/>
      <c r="AH51" s="17"/>
      <c r="AI51" s="17"/>
      <c r="AJ51" s="46" t="str">
        <f aca="true">IF(OR(E51="",B51=""),"",INT(TODAY()-B51))</f>
        <v/>
      </c>
      <c r="AK51" s="44" t="str">
        <f aca="true">IF(E51="","",IF(OR(COUNTIFS(Clients!$C$2:$C$501,E51,Clients!$S$2:$S$501,"Paid")&gt;0,AND(I51&lt;&gt;"",COUNTIFS(Clients!$E$2:$E$501,I51,Clients!$S$2:$S$501,"Paid")&gt;0)),"⚠ Refunded before – no free video",IF(OR(AA51="Contract signed + paid",AA51="Closed – No response",AA51="Lost"),"",IF(AA51="","Set a stage",IF(AND(AA51="Proposal sent",COUNTA(Q51:V51)&lt;6),"Score this lead – proposal sent unscored",IF(N(AC51)&gt;=Settings!$S$3,"Close – 4 follow-ups sent",IF(AD51="",IF(AB51="","Make first contact",""),IF(TODAY()&gt;AD51,"OVERDUE follow-up",IF(TODAY()=AD51,"Follow up today","")))))))))</f>
        <v/>
      </c>
    </row>
    <row r="52" customFormat="false" ht="15" hidden="false" customHeight="false" outlineLevel="0" collapsed="false">
      <c r="A52" s="17"/>
      <c r="B52" s="40"/>
      <c r="C52" s="41"/>
      <c r="D52" s="17"/>
      <c r="E52" s="17"/>
      <c r="F52" s="17"/>
      <c r="G52" s="17"/>
      <c r="H52" s="17"/>
      <c r="I52" s="42"/>
      <c r="J52" s="17"/>
      <c r="K52" s="17"/>
      <c r="L52" s="17"/>
      <c r="M52" s="17"/>
      <c r="N52" s="40"/>
      <c r="O52" s="41"/>
      <c r="P52" s="43" t="str">
        <f aca="false">IF(OR(B52="",N52=""),"",ROUND(((N52+N(O52))-(B52+N(C52)))*24,1))</f>
        <v/>
      </c>
      <c r="Q52" s="17"/>
      <c r="R52" s="17"/>
      <c r="S52" s="17"/>
      <c r="T52" s="17"/>
      <c r="U52" s="17"/>
      <c r="V52" s="17"/>
      <c r="W52" s="44" t="str">
        <f aca="false">IF(OR(E52="",COUNTA(Q52:V52)=0),"",SUMIFS(Settings!$AA$2:$AA$21,Settings!$Y$2:$Y$21,"Budget AED 5k+/mo?",Settings!$Z$2:$Z$21,Q52)+SUMIFS(Settings!$AA$2:$AA$21,Settings!$Y$2:$Y$21,"Decision-maker?",Settings!$Z$2:$Z$21,R52)+SUMIFS(Settings!$AA$2:$AA$21,Settings!$Y$2:$Y$21,"Someone on camera?",Settings!$Z$2:$Z$21,S52)+SUMIFS(Settings!$AA$2:$AA$21,Settings!$Y$2:$Y$21,"OK with 3-month term?",Settings!$Z$2:$Z$21,T52)+SUMIFS(Settings!$AA$2:$AA$21,Settings!$Y$2:$Y$21,"Start timeline",Settings!$Z$2:$Z$21,U52)+SUMIFS(Settings!$AA$2:$AA$21,Settings!$Y$2:$Y$21,"Social media gap",Settings!$Z$2:$Z$21,V52)+IF(F52="",0,IF(COUNTIF(Settings!$AC$2:$AC$6,F52)&gt;0,Settings!$AA$20,Settings!$AA$21)))</f>
        <v/>
      </c>
      <c r="X52" s="44" t="str">
        <f aca="false">IF(E52="","",IF(COUNTA(Q52:V52)=0,"Not scored",IF(COUNTA(Q52:V52)&lt;6,"Partly scored ("&amp;COUNTA(Q52:V52)&amp;"/6)",IF(W52&gt;=Settings!$S$8,"Hot",IF(W52&gt;=Settings!$S$9,"Warm","Cold")))))</f>
        <v/>
      </c>
      <c r="Y52" s="44" t="str">
        <f aca="false">IF(E52="","",IF(AND(Q52="No",S52="No"),"🚩 Budget  ·  🚩 No one on camera",IF(Q52="No","🚩 Budget under AED 5k",IF(S52="No","🚩 No one on camera",""))))</f>
        <v/>
      </c>
      <c r="Z52" s="17"/>
      <c r="AA52" s="17"/>
      <c r="AB52" s="40"/>
      <c r="AC52" s="17"/>
      <c r="AD52" s="45" t="str">
        <f aca="false">IF(OR(E52="",AB52="",OR(AA52="Contract signed + paid",AA52="Closed – No response",AA52="Lost"),N(AC52)&gt;=Settings!$S$3),"",AB52+Settings!$S$2)</f>
        <v/>
      </c>
      <c r="AE52" s="40"/>
      <c r="AF52" s="41"/>
      <c r="AG52" s="17"/>
      <c r="AH52" s="17"/>
      <c r="AI52" s="17"/>
      <c r="AJ52" s="46" t="str">
        <f aca="true">IF(OR(E52="",B52=""),"",INT(TODAY()-B52))</f>
        <v/>
      </c>
      <c r="AK52" s="44" t="str">
        <f aca="true">IF(E52="","",IF(OR(COUNTIFS(Clients!$C$2:$C$501,E52,Clients!$S$2:$S$501,"Paid")&gt;0,AND(I52&lt;&gt;"",COUNTIFS(Clients!$E$2:$E$501,I52,Clients!$S$2:$S$501,"Paid")&gt;0)),"⚠ Refunded before – no free video",IF(OR(AA52="Contract signed + paid",AA52="Closed – No response",AA52="Lost"),"",IF(AA52="","Set a stage",IF(AND(AA52="Proposal sent",COUNTA(Q52:V52)&lt;6),"Score this lead – proposal sent unscored",IF(N(AC52)&gt;=Settings!$S$3,"Close – 4 follow-ups sent",IF(AD52="",IF(AB52="","Make first contact",""),IF(TODAY()&gt;AD52,"OVERDUE follow-up",IF(TODAY()=AD52,"Follow up today","")))))))))</f>
        <v/>
      </c>
    </row>
    <row r="53" customFormat="false" ht="15" hidden="false" customHeight="false" outlineLevel="0" collapsed="false">
      <c r="A53" s="17"/>
      <c r="B53" s="40"/>
      <c r="C53" s="41"/>
      <c r="D53" s="17"/>
      <c r="E53" s="17"/>
      <c r="F53" s="17"/>
      <c r="G53" s="17"/>
      <c r="H53" s="17"/>
      <c r="I53" s="42"/>
      <c r="J53" s="17"/>
      <c r="K53" s="17"/>
      <c r="L53" s="17"/>
      <c r="M53" s="17"/>
      <c r="N53" s="40"/>
      <c r="O53" s="41"/>
      <c r="P53" s="43" t="str">
        <f aca="false">IF(OR(B53="",N53=""),"",ROUND(((N53+N(O53))-(B53+N(C53)))*24,1))</f>
        <v/>
      </c>
      <c r="Q53" s="17"/>
      <c r="R53" s="17"/>
      <c r="S53" s="17"/>
      <c r="T53" s="17"/>
      <c r="U53" s="17"/>
      <c r="V53" s="17"/>
      <c r="W53" s="44" t="str">
        <f aca="false">IF(OR(E53="",COUNTA(Q53:V53)=0),"",SUMIFS(Settings!$AA$2:$AA$21,Settings!$Y$2:$Y$21,"Budget AED 5k+/mo?",Settings!$Z$2:$Z$21,Q53)+SUMIFS(Settings!$AA$2:$AA$21,Settings!$Y$2:$Y$21,"Decision-maker?",Settings!$Z$2:$Z$21,R53)+SUMIFS(Settings!$AA$2:$AA$21,Settings!$Y$2:$Y$21,"Someone on camera?",Settings!$Z$2:$Z$21,S53)+SUMIFS(Settings!$AA$2:$AA$21,Settings!$Y$2:$Y$21,"OK with 3-month term?",Settings!$Z$2:$Z$21,T53)+SUMIFS(Settings!$AA$2:$AA$21,Settings!$Y$2:$Y$21,"Start timeline",Settings!$Z$2:$Z$21,U53)+SUMIFS(Settings!$AA$2:$AA$21,Settings!$Y$2:$Y$21,"Social media gap",Settings!$Z$2:$Z$21,V53)+IF(F53="",0,IF(COUNTIF(Settings!$AC$2:$AC$6,F53)&gt;0,Settings!$AA$20,Settings!$AA$21)))</f>
        <v/>
      </c>
      <c r="X53" s="44" t="str">
        <f aca="false">IF(E53="","",IF(COUNTA(Q53:V53)=0,"Not scored",IF(COUNTA(Q53:V53)&lt;6,"Partly scored ("&amp;COUNTA(Q53:V53)&amp;"/6)",IF(W53&gt;=Settings!$S$8,"Hot",IF(W53&gt;=Settings!$S$9,"Warm","Cold")))))</f>
        <v/>
      </c>
      <c r="Y53" s="44" t="str">
        <f aca="false">IF(E53="","",IF(AND(Q53="No",S53="No"),"🚩 Budget  ·  🚩 No one on camera",IF(Q53="No","🚩 Budget under AED 5k",IF(S53="No","🚩 No one on camera",""))))</f>
        <v/>
      </c>
      <c r="Z53" s="17"/>
      <c r="AA53" s="17"/>
      <c r="AB53" s="40"/>
      <c r="AC53" s="17"/>
      <c r="AD53" s="45" t="str">
        <f aca="false">IF(OR(E53="",AB53="",OR(AA53="Contract signed + paid",AA53="Closed – No response",AA53="Lost"),N(AC53)&gt;=Settings!$S$3),"",AB53+Settings!$S$2)</f>
        <v/>
      </c>
      <c r="AE53" s="40"/>
      <c r="AF53" s="41"/>
      <c r="AG53" s="17"/>
      <c r="AH53" s="17"/>
      <c r="AI53" s="17"/>
      <c r="AJ53" s="46" t="str">
        <f aca="true">IF(OR(E53="",B53=""),"",INT(TODAY()-B53))</f>
        <v/>
      </c>
      <c r="AK53" s="44" t="str">
        <f aca="true">IF(E53="","",IF(OR(COUNTIFS(Clients!$C$2:$C$501,E53,Clients!$S$2:$S$501,"Paid")&gt;0,AND(I53&lt;&gt;"",COUNTIFS(Clients!$E$2:$E$501,I53,Clients!$S$2:$S$501,"Paid")&gt;0)),"⚠ Refunded before – no free video",IF(OR(AA53="Contract signed + paid",AA53="Closed – No response",AA53="Lost"),"",IF(AA53="","Set a stage",IF(AND(AA53="Proposal sent",COUNTA(Q53:V53)&lt;6),"Score this lead – proposal sent unscored",IF(N(AC53)&gt;=Settings!$S$3,"Close – 4 follow-ups sent",IF(AD53="",IF(AB53="","Make first contact",""),IF(TODAY()&gt;AD53,"OVERDUE follow-up",IF(TODAY()=AD53,"Follow up today","")))))))))</f>
        <v/>
      </c>
    </row>
    <row r="54" customFormat="false" ht="15" hidden="false" customHeight="false" outlineLevel="0" collapsed="false">
      <c r="A54" s="17"/>
      <c r="B54" s="40"/>
      <c r="C54" s="41"/>
      <c r="D54" s="17"/>
      <c r="E54" s="17"/>
      <c r="F54" s="17"/>
      <c r="G54" s="17"/>
      <c r="H54" s="17"/>
      <c r="I54" s="42"/>
      <c r="J54" s="17"/>
      <c r="K54" s="17"/>
      <c r="L54" s="17"/>
      <c r="M54" s="17"/>
      <c r="N54" s="40"/>
      <c r="O54" s="41"/>
      <c r="P54" s="43" t="str">
        <f aca="false">IF(OR(B54="",N54=""),"",ROUND(((N54+N(O54))-(B54+N(C54)))*24,1))</f>
        <v/>
      </c>
      <c r="Q54" s="17"/>
      <c r="R54" s="17"/>
      <c r="S54" s="17"/>
      <c r="T54" s="17"/>
      <c r="U54" s="17"/>
      <c r="V54" s="17"/>
      <c r="W54" s="44" t="str">
        <f aca="false">IF(OR(E54="",COUNTA(Q54:V54)=0),"",SUMIFS(Settings!$AA$2:$AA$21,Settings!$Y$2:$Y$21,"Budget AED 5k+/mo?",Settings!$Z$2:$Z$21,Q54)+SUMIFS(Settings!$AA$2:$AA$21,Settings!$Y$2:$Y$21,"Decision-maker?",Settings!$Z$2:$Z$21,R54)+SUMIFS(Settings!$AA$2:$AA$21,Settings!$Y$2:$Y$21,"Someone on camera?",Settings!$Z$2:$Z$21,S54)+SUMIFS(Settings!$AA$2:$AA$21,Settings!$Y$2:$Y$21,"OK with 3-month term?",Settings!$Z$2:$Z$21,T54)+SUMIFS(Settings!$AA$2:$AA$21,Settings!$Y$2:$Y$21,"Start timeline",Settings!$Z$2:$Z$21,U54)+SUMIFS(Settings!$AA$2:$AA$21,Settings!$Y$2:$Y$21,"Social media gap",Settings!$Z$2:$Z$21,V54)+IF(F54="",0,IF(COUNTIF(Settings!$AC$2:$AC$6,F54)&gt;0,Settings!$AA$20,Settings!$AA$21)))</f>
        <v/>
      </c>
      <c r="X54" s="44" t="str">
        <f aca="false">IF(E54="","",IF(COUNTA(Q54:V54)=0,"Not scored",IF(COUNTA(Q54:V54)&lt;6,"Partly scored ("&amp;COUNTA(Q54:V54)&amp;"/6)",IF(W54&gt;=Settings!$S$8,"Hot",IF(W54&gt;=Settings!$S$9,"Warm","Cold")))))</f>
        <v/>
      </c>
      <c r="Y54" s="44" t="str">
        <f aca="false">IF(E54="","",IF(AND(Q54="No",S54="No"),"🚩 Budget  ·  🚩 No one on camera",IF(Q54="No","🚩 Budget under AED 5k",IF(S54="No","🚩 No one on camera",""))))</f>
        <v/>
      </c>
      <c r="Z54" s="17"/>
      <c r="AA54" s="17"/>
      <c r="AB54" s="40"/>
      <c r="AC54" s="17"/>
      <c r="AD54" s="45" t="str">
        <f aca="false">IF(OR(E54="",AB54="",OR(AA54="Contract signed + paid",AA54="Closed – No response",AA54="Lost"),N(AC54)&gt;=Settings!$S$3),"",AB54+Settings!$S$2)</f>
        <v/>
      </c>
      <c r="AE54" s="40"/>
      <c r="AF54" s="41"/>
      <c r="AG54" s="17"/>
      <c r="AH54" s="17"/>
      <c r="AI54" s="17"/>
      <c r="AJ54" s="46" t="str">
        <f aca="true">IF(OR(E54="",B54=""),"",INT(TODAY()-B54))</f>
        <v/>
      </c>
      <c r="AK54" s="44" t="str">
        <f aca="true">IF(E54="","",IF(OR(COUNTIFS(Clients!$C$2:$C$501,E54,Clients!$S$2:$S$501,"Paid")&gt;0,AND(I54&lt;&gt;"",COUNTIFS(Clients!$E$2:$E$501,I54,Clients!$S$2:$S$501,"Paid")&gt;0)),"⚠ Refunded before – no free video",IF(OR(AA54="Contract signed + paid",AA54="Closed – No response",AA54="Lost"),"",IF(AA54="","Set a stage",IF(AND(AA54="Proposal sent",COUNTA(Q54:V54)&lt;6),"Score this lead – proposal sent unscored",IF(N(AC54)&gt;=Settings!$S$3,"Close – 4 follow-ups sent",IF(AD54="",IF(AB54="","Make first contact",""),IF(TODAY()&gt;AD54,"OVERDUE follow-up",IF(TODAY()=AD54,"Follow up today","")))))))))</f>
        <v/>
      </c>
    </row>
    <row r="55" customFormat="false" ht="15" hidden="false" customHeight="false" outlineLevel="0" collapsed="false">
      <c r="A55" s="17"/>
      <c r="B55" s="40"/>
      <c r="C55" s="41"/>
      <c r="D55" s="17"/>
      <c r="E55" s="17"/>
      <c r="F55" s="17"/>
      <c r="G55" s="17"/>
      <c r="H55" s="17"/>
      <c r="I55" s="42"/>
      <c r="J55" s="17"/>
      <c r="K55" s="17"/>
      <c r="L55" s="17"/>
      <c r="M55" s="17"/>
      <c r="N55" s="40"/>
      <c r="O55" s="41"/>
      <c r="P55" s="43" t="str">
        <f aca="false">IF(OR(B55="",N55=""),"",ROUND(((N55+N(O55))-(B55+N(C55)))*24,1))</f>
        <v/>
      </c>
      <c r="Q55" s="17"/>
      <c r="R55" s="17"/>
      <c r="S55" s="17"/>
      <c r="T55" s="17"/>
      <c r="U55" s="17"/>
      <c r="V55" s="17"/>
      <c r="W55" s="44" t="str">
        <f aca="false">IF(OR(E55="",COUNTA(Q55:V55)=0),"",SUMIFS(Settings!$AA$2:$AA$21,Settings!$Y$2:$Y$21,"Budget AED 5k+/mo?",Settings!$Z$2:$Z$21,Q55)+SUMIFS(Settings!$AA$2:$AA$21,Settings!$Y$2:$Y$21,"Decision-maker?",Settings!$Z$2:$Z$21,R55)+SUMIFS(Settings!$AA$2:$AA$21,Settings!$Y$2:$Y$21,"Someone on camera?",Settings!$Z$2:$Z$21,S55)+SUMIFS(Settings!$AA$2:$AA$21,Settings!$Y$2:$Y$21,"OK with 3-month term?",Settings!$Z$2:$Z$21,T55)+SUMIFS(Settings!$AA$2:$AA$21,Settings!$Y$2:$Y$21,"Start timeline",Settings!$Z$2:$Z$21,U55)+SUMIFS(Settings!$AA$2:$AA$21,Settings!$Y$2:$Y$21,"Social media gap",Settings!$Z$2:$Z$21,V55)+IF(F55="",0,IF(COUNTIF(Settings!$AC$2:$AC$6,F55)&gt;0,Settings!$AA$20,Settings!$AA$21)))</f>
        <v/>
      </c>
      <c r="X55" s="44" t="str">
        <f aca="false">IF(E55="","",IF(COUNTA(Q55:V55)=0,"Not scored",IF(COUNTA(Q55:V55)&lt;6,"Partly scored ("&amp;COUNTA(Q55:V55)&amp;"/6)",IF(W55&gt;=Settings!$S$8,"Hot",IF(W55&gt;=Settings!$S$9,"Warm","Cold")))))</f>
        <v/>
      </c>
      <c r="Y55" s="44" t="str">
        <f aca="false">IF(E55="","",IF(AND(Q55="No",S55="No"),"🚩 Budget  ·  🚩 No one on camera",IF(Q55="No","🚩 Budget under AED 5k",IF(S55="No","🚩 No one on camera",""))))</f>
        <v/>
      </c>
      <c r="Z55" s="17"/>
      <c r="AA55" s="17"/>
      <c r="AB55" s="40"/>
      <c r="AC55" s="17"/>
      <c r="AD55" s="45" t="str">
        <f aca="false">IF(OR(E55="",AB55="",OR(AA55="Contract signed + paid",AA55="Closed – No response",AA55="Lost"),N(AC55)&gt;=Settings!$S$3),"",AB55+Settings!$S$2)</f>
        <v/>
      </c>
      <c r="AE55" s="40"/>
      <c r="AF55" s="41"/>
      <c r="AG55" s="17"/>
      <c r="AH55" s="17"/>
      <c r="AI55" s="17"/>
      <c r="AJ55" s="46" t="str">
        <f aca="true">IF(OR(E55="",B55=""),"",INT(TODAY()-B55))</f>
        <v/>
      </c>
      <c r="AK55" s="44" t="str">
        <f aca="true">IF(E55="","",IF(OR(COUNTIFS(Clients!$C$2:$C$501,E55,Clients!$S$2:$S$501,"Paid")&gt;0,AND(I55&lt;&gt;"",COUNTIFS(Clients!$E$2:$E$501,I55,Clients!$S$2:$S$501,"Paid")&gt;0)),"⚠ Refunded before – no free video",IF(OR(AA55="Contract signed + paid",AA55="Closed – No response",AA55="Lost"),"",IF(AA55="","Set a stage",IF(AND(AA55="Proposal sent",COUNTA(Q55:V55)&lt;6),"Score this lead – proposal sent unscored",IF(N(AC55)&gt;=Settings!$S$3,"Close – 4 follow-ups sent",IF(AD55="",IF(AB55="","Make first contact",""),IF(TODAY()&gt;AD55,"OVERDUE follow-up",IF(TODAY()=AD55,"Follow up today","")))))))))</f>
        <v/>
      </c>
    </row>
    <row r="56" customFormat="false" ht="15" hidden="false" customHeight="false" outlineLevel="0" collapsed="false">
      <c r="A56" s="17"/>
      <c r="B56" s="40"/>
      <c r="C56" s="41"/>
      <c r="D56" s="17"/>
      <c r="E56" s="17"/>
      <c r="F56" s="17"/>
      <c r="G56" s="17"/>
      <c r="H56" s="17"/>
      <c r="I56" s="42"/>
      <c r="J56" s="17"/>
      <c r="K56" s="17"/>
      <c r="L56" s="17"/>
      <c r="M56" s="17"/>
      <c r="N56" s="40"/>
      <c r="O56" s="41"/>
      <c r="P56" s="43" t="str">
        <f aca="false">IF(OR(B56="",N56=""),"",ROUND(((N56+N(O56))-(B56+N(C56)))*24,1))</f>
        <v/>
      </c>
      <c r="Q56" s="17"/>
      <c r="R56" s="17"/>
      <c r="S56" s="17"/>
      <c r="T56" s="17"/>
      <c r="U56" s="17"/>
      <c r="V56" s="17"/>
      <c r="W56" s="44" t="str">
        <f aca="false">IF(OR(E56="",COUNTA(Q56:V56)=0),"",SUMIFS(Settings!$AA$2:$AA$21,Settings!$Y$2:$Y$21,"Budget AED 5k+/mo?",Settings!$Z$2:$Z$21,Q56)+SUMIFS(Settings!$AA$2:$AA$21,Settings!$Y$2:$Y$21,"Decision-maker?",Settings!$Z$2:$Z$21,R56)+SUMIFS(Settings!$AA$2:$AA$21,Settings!$Y$2:$Y$21,"Someone on camera?",Settings!$Z$2:$Z$21,S56)+SUMIFS(Settings!$AA$2:$AA$21,Settings!$Y$2:$Y$21,"OK with 3-month term?",Settings!$Z$2:$Z$21,T56)+SUMIFS(Settings!$AA$2:$AA$21,Settings!$Y$2:$Y$21,"Start timeline",Settings!$Z$2:$Z$21,U56)+SUMIFS(Settings!$AA$2:$AA$21,Settings!$Y$2:$Y$21,"Social media gap",Settings!$Z$2:$Z$21,V56)+IF(F56="",0,IF(COUNTIF(Settings!$AC$2:$AC$6,F56)&gt;0,Settings!$AA$20,Settings!$AA$21)))</f>
        <v/>
      </c>
      <c r="X56" s="44" t="str">
        <f aca="false">IF(E56="","",IF(COUNTA(Q56:V56)=0,"Not scored",IF(COUNTA(Q56:V56)&lt;6,"Partly scored ("&amp;COUNTA(Q56:V56)&amp;"/6)",IF(W56&gt;=Settings!$S$8,"Hot",IF(W56&gt;=Settings!$S$9,"Warm","Cold")))))</f>
        <v/>
      </c>
      <c r="Y56" s="44" t="str">
        <f aca="false">IF(E56="","",IF(AND(Q56="No",S56="No"),"🚩 Budget  ·  🚩 No one on camera",IF(Q56="No","🚩 Budget under AED 5k",IF(S56="No","🚩 No one on camera",""))))</f>
        <v/>
      </c>
      <c r="Z56" s="17"/>
      <c r="AA56" s="17"/>
      <c r="AB56" s="40"/>
      <c r="AC56" s="17"/>
      <c r="AD56" s="45" t="str">
        <f aca="false">IF(OR(E56="",AB56="",OR(AA56="Contract signed + paid",AA56="Closed – No response",AA56="Lost"),N(AC56)&gt;=Settings!$S$3),"",AB56+Settings!$S$2)</f>
        <v/>
      </c>
      <c r="AE56" s="40"/>
      <c r="AF56" s="41"/>
      <c r="AG56" s="17"/>
      <c r="AH56" s="17"/>
      <c r="AI56" s="17"/>
      <c r="AJ56" s="46" t="str">
        <f aca="true">IF(OR(E56="",B56=""),"",INT(TODAY()-B56))</f>
        <v/>
      </c>
      <c r="AK56" s="44" t="str">
        <f aca="true">IF(E56="","",IF(OR(COUNTIFS(Clients!$C$2:$C$501,E56,Clients!$S$2:$S$501,"Paid")&gt;0,AND(I56&lt;&gt;"",COUNTIFS(Clients!$E$2:$E$501,I56,Clients!$S$2:$S$501,"Paid")&gt;0)),"⚠ Refunded before – no free video",IF(OR(AA56="Contract signed + paid",AA56="Closed – No response",AA56="Lost"),"",IF(AA56="","Set a stage",IF(AND(AA56="Proposal sent",COUNTA(Q56:V56)&lt;6),"Score this lead – proposal sent unscored",IF(N(AC56)&gt;=Settings!$S$3,"Close – 4 follow-ups sent",IF(AD56="",IF(AB56="","Make first contact",""),IF(TODAY()&gt;AD56,"OVERDUE follow-up",IF(TODAY()=AD56,"Follow up today","")))))))))</f>
        <v/>
      </c>
    </row>
    <row r="57" customFormat="false" ht="15" hidden="false" customHeight="false" outlineLevel="0" collapsed="false">
      <c r="A57" s="17"/>
      <c r="B57" s="40"/>
      <c r="C57" s="41"/>
      <c r="D57" s="17"/>
      <c r="E57" s="17"/>
      <c r="F57" s="17"/>
      <c r="G57" s="17"/>
      <c r="H57" s="17"/>
      <c r="I57" s="42"/>
      <c r="J57" s="17"/>
      <c r="K57" s="17"/>
      <c r="L57" s="17"/>
      <c r="M57" s="17"/>
      <c r="N57" s="40"/>
      <c r="O57" s="41"/>
      <c r="P57" s="43" t="str">
        <f aca="false">IF(OR(B57="",N57=""),"",ROUND(((N57+N(O57))-(B57+N(C57)))*24,1))</f>
        <v/>
      </c>
      <c r="Q57" s="17"/>
      <c r="R57" s="17"/>
      <c r="S57" s="17"/>
      <c r="T57" s="17"/>
      <c r="U57" s="17"/>
      <c r="V57" s="17"/>
      <c r="W57" s="44" t="str">
        <f aca="false">IF(OR(E57="",COUNTA(Q57:V57)=0),"",SUMIFS(Settings!$AA$2:$AA$21,Settings!$Y$2:$Y$21,"Budget AED 5k+/mo?",Settings!$Z$2:$Z$21,Q57)+SUMIFS(Settings!$AA$2:$AA$21,Settings!$Y$2:$Y$21,"Decision-maker?",Settings!$Z$2:$Z$21,R57)+SUMIFS(Settings!$AA$2:$AA$21,Settings!$Y$2:$Y$21,"Someone on camera?",Settings!$Z$2:$Z$21,S57)+SUMIFS(Settings!$AA$2:$AA$21,Settings!$Y$2:$Y$21,"OK with 3-month term?",Settings!$Z$2:$Z$21,T57)+SUMIFS(Settings!$AA$2:$AA$21,Settings!$Y$2:$Y$21,"Start timeline",Settings!$Z$2:$Z$21,U57)+SUMIFS(Settings!$AA$2:$AA$21,Settings!$Y$2:$Y$21,"Social media gap",Settings!$Z$2:$Z$21,V57)+IF(F57="",0,IF(COUNTIF(Settings!$AC$2:$AC$6,F57)&gt;0,Settings!$AA$20,Settings!$AA$21)))</f>
        <v/>
      </c>
      <c r="X57" s="44" t="str">
        <f aca="false">IF(E57="","",IF(COUNTA(Q57:V57)=0,"Not scored",IF(COUNTA(Q57:V57)&lt;6,"Partly scored ("&amp;COUNTA(Q57:V57)&amp;"/6)",IF(W57&gt;=Settings!$S$8,"Hot",IF(W57&gt;=Settings!$S$9,"Warm","Cold")))))</f>
        <v/>
      </c>
      <c r="Y57" s="44" t="str">
        <f aca="false">IF(E57="","",IF(AND(Q57="No",S57="No"),"🚩 Budget  ·  🚩 No one on camera",IF(Q57="No","🚩 Budget under AED 5k",IF(S57="No","🚩 No one on camera",""))))</f>
        <v/>
      </c>
      <c r="Z57" s="17"/>
      <c r="AA57" s="17"/>
      <c r="AB57" s="40"/>
      <c r="AC57" s="17"/>
      <c r="AD57" s="45" t="str">
        <f aca="false">IF(OR(E57="",AB57="",OR(AA57="Contract signed + paid",AA57="Closed – No response",AA57="Lost"),N(AC57)&gt;=Settings!$S$3),"",AB57+Settings!$S$2)</f>
        <v/>
      </c>
      <c r="AE57" s="40"/>
      <c r="AF57" s="41"/>
      <c r="AG57" s="17"/>
      <c r="AH57" s="17"/>
      <c r="AI57" s="17"/>
      <c r="AJ57" s="46" t="str">
        <f aca="true">IF(OR(E57="",B57=""),"",INT(TODAY()-B57))</f>
        <v/>
      </c>
      <c r="AK57" s="44" t="str">
        <f aca="true">IF(E57="","",IF(OR(COUNTIFS(Clients!$C$2:$C$501,E57,Clients!$S$2:$S$501,"Paid")&gt;0,AND(I57&lt;&gt;"",COUNTIFS(Clients!$E$2:$E$501,I57,Clients!$S$2:$S$501,"Paid")&gt;0)),"⚠ Refunded before – no free video",IF(OR(AA57="Contract signed + paid",AA57="Closed – No response",AA57="Lost"),"",IF(AA57="","Set a stage",IF(AND(AA57="Proposal sent",COUNTA(Q57:V57)&lt;6),"Score this lead – proposal sent unscored",IF(N(AC57)&gt;=Settings!$S$3,"Close – 4 follow-ups sent",IF(AD57="",IF(AB57="","Make first contact",""),IF(TODAY()&gt;AD57,"OVERDUE follow-up",IF(TODAY()=AD57,"Follow up today","")))))))))</f>
        <v/>
      </c>
    </row>
    <row r="58" customFormat="false" ht="15" hidden="false" customHeight="false" outlineLevel="0" collapsed="false">
      <c r="A58" s="17"/>
      <c r="B58" s="40"/>
      <c r="C58" s="41"/>
      <c r="D58" s="17"/>
      <c r="E58" s="17"/>
      <c r="F58" s="17"/>
      <c r="G58" s="17"/>
      <c r="H58" s="17"/>
      <c r="I58" s="42"/>
      <c r="J58" s="17"/>
      <c r="K58" s="17"/>
      <c r="L58" s="17"/>
      <c r="M58" s="17"/>
      <c r="N58" s="40"/>
      <c r="O58" s="41"/>
      <c r="P58" s="43" t="str">
        <f aca="false">IF(OR(B58="",N58=""),"",ROUND(((N58+N(O58))-(B58+N(C58)))*24,1))</f>
        <v/>
      </c>
      <c r="Q58" s="17"/>
      <c r="R58" s="17"/>
      <c r="S58" s="17"/>
      <c r="T58" s="17"/>
      <c r="U58" s="17"/>
      <c r="V58" s="17"/>
      <c r="W58" s="44" t="str">
        <f aca="false">IF(OR(E58="",COUNTA(Q58:V58)=0),"",SUMIFS(Settings!$AA$2:$AA$21,Settings!$Y$2:$Y$21,"Budget AED 5k+/mo?",Settings!$Z$2:$Z$21,Q58)+SUMIFS(Settings!$AA$2:$AA$21,Settings!$Y$2:$Y$21,"Decision-maker?",Settings!$Z$2:$Z$21,R58)+SUMIFS(Settings!$AA$2:$AA$21,Settings!$Y$2:$Y$21,"Someone on camera?",Settings!$Z$2:$Z$21,S58)+SUMIFS(Settings!$AA$2:$AA$21,Settings!$Y$2:$Y$21,"OK with 3-month term?",Settings!$Z$2:$Z$21,T58)+SUMIFS(Settings!$AA$2:$AA$21,Settings!$Y$2:$Y$21,"Start timeline",Settings!$Z$2:$Z$21,U58)+SUMIFS(Settings!$AA$2:$AA$21,Settings!$Y$2:$Y$21,"Social media gap",Settings!$Z$2:$Z$21,V58)+IF(F58="",0,IF(COUNTIF(Settings!$AC$2:$AC$6,F58)&gt;0,Settings!$AA$20,Settings!$AA$21)))</f>
        <v/>
      </c>
      <c r="X58" s="44" t="str">
        <f aca="false">IF(E58="","",IF(COUNTA(Q58:V58)=0,"Not scored",IF(COUNTA(Q58:V58)&lt;6,"Partly scored ("&amp;COUNTA(Q58:V58)&amp;"/6)",IF(W58&gt;=Settings!$S$8,"Hot",IF(W58&gt;=Settings!$S$9,"Warm","Cold")))))</f>
        <v/>
      </c>
      <c r="Y58" s="44" t="str">
        <f aca="false">IF(E58="","",IF(AND(Q58="No",S58="No"),"🚩 Budget  ·  🚩 No one on camera",IF(Q58="No","🚩 Budget under AED 5k",IF(S58="No","🚩 No one on camera",""))))</f>
        <v/>
      </c>
      <c r="Z58" s="17"/>
      <c r="AA58" s="17"/>
      <c r="AB58" s="40"/>
      <c r="AC58" s="17"/>
      <c r="AD58" s="45" t="str">
        <f aca="false">IF(OR(E58="",AB58="",OR(AA58="Contract signed + paid",AA58="Closed – No response",AA58="Lost"),N(AC58)&gt;=Settings!$S$3),"",AB58+Settings!$S$2)</f>
        <v/>
      </c>
      <c r="AE58" s="40"/>
      <c r="AF58" s="41"/>
      <c r="AG58" s="17"/>
      <c r="AH58" s="17"/>
      <c r="AI58" s="17"/>
      <c r="AJ58" s="46" t="str">
        <f aca="true">IF(OR(E58="",B58=""),"",INT(TODAY()-B58))</f>
        <v/>
      </c>
      <c r="AK58" s="44" t="str">
        <f aca="true">IF(E58="","",IF(OR(COUNTIFS(Clients!$C$2:$C$501,E58,Clients!$S$2:$S$501,"Paid")&gt;0,AND(I58&lt;&gt;"",COUNTIFS(Clients!$E$2:$E$501,I58,Clients!$S$2:$S$501,"Paid")&gt;0)),"⚠ Refunded before – no free video",IF(OR(AA58="Contract signed + paid",AA58="Closed – No response",AA58="Lost"),"",IF(AA58="","Set a stage",IF(AND(AA58="Proposal sent",COUNTA(Q58:V58)&lt;6),"Score this lead – proposal sent unscored",IF(N(AC58)&gt;=Settings!$S$3,"Close – 4 follow-ups sent",IF(AD58="",IF(AB58="","Make first contact",""),IF(TODAY()&gt;AD58,"OVERDUE follow-up",IF(TODAY()=AD58,"Follow up today","")))))))))</f>
        <v/>
      </c>
    </row>
    <row r="59" customFormat="false" ht="15" hidden="false" customHeight="false" outlineLevel="0" collapsed="false">
      <c r="A59" s="17"/>
      <c r="B59" s="40"/>
      <c r="C59" s="41"/>
      <c r="D59" s="17"/>
      <c r="E59" s="17"/>
      <c r="F59" s="17"/>
      <c r="G59" s="17"/>
      <c r="H59" s="17"/>
      <c r="I59" s="42"/>
      <c r="J59" s="17"/>
      <c r="K59" s="17"/>
      <c r="L59" s="17"/>
      <c r="M59" s="17"/>
      <c r="N59" s="40"/>
      <c r="O59" s="41"/>
      <c r="P59" s="43" t="str">
        <f aca="false">IF(OR(B59="",N59=""),"",ROUND(((N59+N(O59))-(B59+N(C59)))*24,1))</f>
        <v/>
      </c>
      <c r="Q59" s="17"/>
      <c r="R59" s="17"/>
      <c r="S59" s="17"/>
      <c r="T59" s="17"/>
      <c r="U59" s="17"/>
      <c r="V59" s="17"/>
      <c r="W59" s="44" t="str">
        <f aca="false">IF(OR(E59="",COUNTA(Q59:V59)=0),"",SUMIFS(Settings!$AA$2:$AA$21,Settings!$Y$2:$Y$21,"Budget AED 5k+/mo?",Settings!$Z$2:$Z$21,Q59)+SUMIFS(Settings!$AA$2:$AA$21,Settings!$Y$2:$Y$21,"Decision-maker?",Settings!$Z$2:$Z$21,R59)+SUMIFS(Settings!$AA$2:$AA$21,Settings!$Y$2:$Y$21,"Someone on camera?",Settings!$Z$2:$Z$21,S59)+SUMIFS(Settings!$AA$2:$AA$21,Settings!$Y$2:$Y$21,"OK with 3-month term?",Settings!$Z$2:$Z$21,T59)+SUMIFS(Settings!$AA$2:$AA$21,Settings!$Y$2:$Y$21,"Start timeline",Settings!$Z$2:$Z$21,U59)+SUMIFS(Settings!$AA$2:$AA$21,Settings!$Y$2:$Y$21,"Social media gap",Settings!$Z$2:$Z$21,V59)+IF(F59="",0,IF(COUNTIF(Settings!$AC$2:$AC$6,F59)&gt;0,Settings!$AA$20,Settings!$AA$21)))</f>
        <v/>
      </c>
      <c r="X59" s="44" t="str">
        <f aca="false">IF(E59="","",IF(COUNTA(Q59:V59)=0,"Not scored",IF(COUNTA(Q59:V59)&lt;6,"Partly scored ("&amp;COUNTA(Q59:V59)&amp;"/6)",IF(W59&gt;=Settings!$S$8,"Hot",IF(W59&gt;=Settings!$S$9,"Warm","Cold")))))</f>
        <v/>
      </c>
      <c r="Y59" s="44" t="str">
        <f aca="false">IF(E59="","",IF(AND(Q59="No",S59="No"),"🚩 Budget  ·  🚩 No one on camera",IF(Q59="No","🚩 Budget under AED 5k",IF(S59="No","🚩 No one on camera",""))))</f>
        <v/>
      </c>
      <c r="Z59" s="17"/>
      <c r="AA59" s="17"/>
      <c r="AB59" s="40"/>
      <c r="AC59" s="17"/>
      <c r="AD59" s="45" t="str">
        <f aca="false">IF(OR(E59="",AB59="",OR(AA59="Contract signed + paid",AA59="Closed – No response",AA59="Lost"),N(AC59)&gt;=Settings!$S$3),"",AB59+Settings!$S$2)</f>
        <v/>
      </c>
      <c r="AE59" s="40"/>
      <c r="AF59" s="41"/>
      <c r="AG59" s="17"/>
      <c r="AH59" s="17"/>
      <c r="AI59" s="17"/>
      <c r="AJ59" s="46" t="str">
        <f aca="true">IF(OR(E59="",B59=""),"",INT(TODAY()-B59))</f>
        <v/>
      </c>
      <c r="AK59" s="44" t="str">
        <f aca="true">IF(E59="","",IF(OR(COUNTIFS(Clients!$C$2:$C$501,E59,Clients!$S$2:$S$501,"Paid")&gt;0,AND(I59&lt;&gt;"",COUNTIFS(Clients!$E$2:$E$501,I59,Clients!$S$2:$S$501,"Paid")&gt;0)),"⚠ Refunded before – no free video",IF(OR(AA59="Contract signed + paid",AA59="Closed – No response",AA59="Lost"),"",IF(AA59="","Set a stage",IF(AND(AA59="Proposal sent",COUNTA(Q59:V59)&lt;6),"Score this lead – proposal sent unscored",IF(N(AC59)&gt;=Settings!$S$3,"Close – 4 follow-ups sent",IF(AD59="",IF(AB59="","Make first contact",""),IF(TODAY()&gt;AD59,"OVERDUE follow-up",IF(TODAY()=AD59,"Follow up today","")))))))))</f>
        <v/>
      </c>
    </row>
    <row r="60" customFormat="false" ht="15" hidden="false" customHeight="false" outlineLevel="0" collapsed="false">
      <c r="A60" s="17"/>
      <c r="B60" s="40"/>
      <c r="C60" s="41"/>
      <c r="D60" s="17"/>
      <c r="E60" s="17"/>
      <c r="F60" s="17"/>
      <c r="G60" s="17"/>
      <c r="H60" s="17"/>
      <c r="I60" s="42"/>
      <c r="J60" s="17"/>
      <c r="K60" s="17"/>
      <c r="L60" s="17"/>
      <c r="M60" s="17"/>
      <c r="N60" s="40"/>
      <c r="O60" s="41"/>
      <c r="P60" s="43" t="str">
        <f aca="false">IF(OR(B60="",N60=""),"",ROUND(((N60+N(O60))-(B60+N(C60)))*24,1))</f>
        <v/>
      </c>
      <c r="Q60" s="17"/>
      <c r="R60" s="17"/>
      <c r="S60" s="17"/>
      <c r="T60" s="17"/>
      <c r="U60" s="17"/>
      <c r="V60" s="17"/>
      <c r="W60" s="44" t="str">
        <f aca="false">IF(OR(E60="",COUNTA(Q60:V60)=0),"",SUMIFS(Settings!$AA$2:$AA$21,Settings!$Y$2:$Y$21,"Budget AED 5k+/mo?",Settings!$Z$2:$Z$21,Q60)+SUMIFS(Settings!$AA$2:$AA$21,Settings!$Y$2:$Y$21,"Decision-maker?",Settings!$Z$2:$Z$21,R60)+SUMIFS(Settings!$AA$2:$AA$21,Settings!$Y$2:$Y$21,"Someone on camera?",Settings!$Z$2:$Z$21,S60)+SUMIFS(Settings!$AA$2:$AA$21,Settings!$Y$2:$Y$21,"OK with 3-month term?",Settings!$Z$2:$Z$21,T60)+SUMIFS(Settings!$AA$2:$AA$21,Settings!$Y$2:$Y$21,"Start timeline",Settings!$Z$2:$Z$21,U60)+SUMIFS(Settings!$AA$2:$AA$21,Settings!$Y$2:$Y$21,"Social media gap",Settings!$Z$2:$Z$21,V60)+IF(F60="",0,IF(COUNTIF(Settings!$AC$2:$AC$6,F60)&gt;0,Settings!$AA$20,Settings!$AA$21)))</f>
        <v/>
      </c>
      <c r="X60" s="44" t="str">
        <f aca="false">IF(E60="","",IF(COUNTA(Q60:V60)=0,"Not scored",IF(COUNTA(Q60:V60)&lt;6,"Partly scored ("&amp;COUNTA(Q60:V60)&amp;"/6)",IF(W60&gt;=Settings!$S$8,"Hot",IF(W60&gt;=Settings!$S$9,"Warm","Cold")))))</f>
        <v/>
      </c>
      <c r="Y60" s="44" t="str">
        <f aca="false">IF(E60="","",IF(AND(Q60="No",S60="No"),"🚩 Budget  ·  🚩 No one on camera",IF(Q60="No","🚩 Budget under AED 5k",IF(S60="No","🚩 No one on camera",""))))</f>
        <v/>
      </c>
      <c r="Z60" s="17"/>
      <c r="AA60" s="17"/>
      <c r="AB60" s="40"/>
      <c r="AC60" s="17"/>
      <c r="AD60" s="45" t="str">
        <f aca="false">IF(OR(E60="",AB60="",OR(AA60="Contract signed + paid",AA60="Closed – No response",AA60="Lost"),N(AC60)&gt;=Settings!$S$3),"",AB60+Settings!$S$2)</f>
        <v/>
      </c>
      <c r="AE60" s="40"/>
      <c r="AF60" s="41"/>
      <c r="AG60" s="17"/>
      <c r="AH60" s="17"/>
      <c r="AI60" s="17"/>
      <c r="AJ60" s="46" t="str">
        <f aca="true">IF(OR(E60="",B60=""),"",INT(TODAY()-B60))</f>
        <v/>
      </c>
      <c r="AK60" s="44" t="str">
        <f aca="true">IF(E60="","",IF(OR(COUNTIFS(Clients!$C$2:$C$501,E60,Clients!$S$2:$S$501,"Paid")&gt;0,AND(I60&lt;&gt;"",COUNTIFS(Clients!$E$2:$E$501,I60,Clients!$S$2:$S$501,"Paid")&gt;0)),"⚠ Refunded before – no free video",IF(OR(AA60="Contract signed + paid",AA60="Closed – No response",AA60="Lost"),"",IF(AA60="","Set a stage",IF(AND(AA60="Proposal sent",COUNTA(Q60:V60)&lt;6),"Score this lead – proposal sent unscored",IF(N(AC60)&gt;=Settings!$S$3,"Close – 4 follow-ups sent",IF(AD60="",IF(AB60="","Make first contact",""),IF(TODAY()&gt;AD60,"OVERDUE follow-up",IF(TODAY()=AD60,"Follow up today","")))))))))</f>
        <v/>
      </c>
    </row>
    <row r="61" customFormat="false" ht="15" hidden="false" customHeight="false" outlineLevel="0" collapsed="false">
      <c r="A61" s="17"/>
      <c r="B61" s="40"/>
      <c r="C61" s="41"/>
      <c r="D61" s="17"/>
      <c r="E61" s="17"/>
      <c r="F61" s="17"/>
      <c r="G61" s="17"/>
      <c r="H61" s="17"/>
      <c r="I61" s="42"/>
      <c r="J61" s="17"/>
      <c r="K61" s="17"/>
      <c r="L61" s="17"/>
      <c r="M61" s="17"/>
      <c r="N61" s="40"/>
      <c r="O61" s="41"/>
      <c r="P61" s="43" t="str">
        <f aca="false">IF(OR(B61="",N61=""),"",ROUND(((N61+N(O61))-(B61+N(C61)))*24,1))</f>
        <v/>
      </c>
      <c r="Q61" s="17"/>
      <c r="R61" s="17"/>
      <c r="S61" s="17"/>
      <c r="T61" s="17"/>
      <c r="U61" s="17"/>
      <c r="V61" s="17"/>
      <c r="W61" s="44" t="str">
        <f aca="false">IF(OR(E61="",COUNTA(Q61:V61)=0),"",SUMIFS(Settings!$AA$2:$AA$21,Settings!$Y$2:$Y$21,"Budget AED 5k+/mo?",Settings!$Z$2:$Z$21,Q61)+SUMIFS(Settings!$AA$2:$AA$21,Settings!$Y$2:$Y$21,"Decision-maker?",Settings!$Z$2:$Z$21,R61)+SUMIFS(Settings!$AA$2:$AA$21,Settings!$Y$2:$Y$21,"Someone on camera?",Settings!$Z$2:$Z$21,S61)+SUMIFS(Settings!$AA$2:$AA$21,Settings!$Y$2:$Y$21,"OK with 3-month term?",Settings!$Z$2:$Z$21,T61)+SUMIFS(Settings!$AA$2:$AA$21,Settings!$Y$2:$Y$21,"Start timeline",Settings!$Z$2:$Z$21,U61)+SUMIFS(Settings!$AA$2:$AA$21,Settings!$Y$2:$Y$21,"Social media gap",Settings!$Z$2:$Z$21,V61)+IF(F61="",0,IF(COUNTIF(Settings!$AC$2:$AC$6,F61)&gt;0,Settings!$AA$20,Settings!$AA$21)))</f>
        <v/>
      </c>
      <c r="X61" s="44" t="str">
        <f aca="false">IF(E61="","",IF(COUNTA(Q61:V61)=0,"Not scored",IF(COUNTA(Q61:V61)&lt;6,"Partly scored ("&amp;COUNTA(Q61:V61)&amp;"/6)",IF(W61&gt;=Settings!$S$8,"Hot",IF(W61&gt;=Settings!$S$9,"Warm","Cold")))))</f>
        <v/>
      </c>
      <c r="Y61" s="44" t="str">
        <f aca="false">IF(E61="","",IF(AND(Q61="No",S61="No"),"🚩 Budget  ·  🚩 No one on camera",IF(Q61="No","🚩 Budget under AED 5k",IF(S61="No","🚩 No one on camera",""))))</f>
        <v/>
      </c>
      <c r="Z61" s="17"/>
      <c r="AA61" s="17"/>
      <c r="AB61" s="40"/>
      <c r="AC61" s="17"/>
      <c r="AD61" s="45" t="str">
        <f aca="false">IF(OR(E61="",AB61="",OR(AA61="Contract signed + paid",AA61="Closed – No response",AA61="Lost"),N(AC61)&gt;=Settings!$S$3),"",AB61+Settings!$S$2)</f>
        <v/>
      </c>
      <c r="AE61" s="40"/>
      <c r="AF61" s="41"/>
      <c r="AG61" s="17"/>
      <c r="AH61" s="17"/>
      <c r="AI61" s="17"/>
      <c r="AJ61" s="46" t="str">
        <f aca="true">IF(OR(E61="",B61=""),"",INT(TODAY()-B61))</f>
        <v/>
      </c>
      <c r="AK61" s="44" t="str">
        <f aca="true">IF(E61="","",IF(OR(COUNTIFS(Clients!$C$2:$C$501,E61,Clients!$S$2:$S$501,"Paid")&gt;0,AND(I61&lt;&gt;"",COUNTIFS(Clients!$E$2:$E$501,I61,Clients!$S$2:$S$501,"Paid")&gt;0)),"⚠ Refunded before – no free video",IF(OR(AA61="Contract signed + paid",AA61="Closed – No response",AA61="Lost"),"",IF(AA61="","Set a stage",IF(AND(AA61="Proposal sent",COUNTA(Q61:V61)&lt;6),"Score this lead – proposal sent unscored",IF(N(AC61)&gt;=Settings!$S$3,"Close – 4 follow-ups sent",IF(AD61="",IF(AB61="","Make first contact",""),IF(TODAY()&gt;AD61,"OVERDUE follow-up",IF(TODAY()=AD61,"Follow up today","")))))))))</f>
        <v/>
      </c>
    </row>
    <row r="62" customFormat="false" ht="15" hidden="false" customHeight="false" outlineLevel="0" collapsed="false">
      <c r="A62" s="17"/>
      <c r="B62" s="40"/>
      <c r="C62" s="41"/>
      <c r="D62" s="17"/>
      <c r="E62" s="17"/>
      <c r="F62" s="17"/>
      <c r="G62" s="17"/>
      <c r="H62" s="17"/>
      <c r="I62" s="42"/>
      <c r="J62" s="17"/>
      <c r="K62" s="17"/>
      <c r="L62" s="17"/>
      <c r="M62" s="17"/>
      <c r="N62" s="40"/>
      <c r="O62" s="41"/>
      <c r="P62" s="43" t="str">
        <f aca="false">IF(OR(B62="",N62=""),"",ROUND(((N62+N(O62))-(B62+N(C62)))*24,1))</f>
        <v/>
      </c>
      <c r="Q62" s="17"/>
      <c r="R62" s="17"/>
      <c r="S62" s="17"/>
      <c r="T62" s="17"/>
      <c r="U62" s="17"/>
      <c r="V62" s="17"/>
      <c r="W62" s="44" t="str">
        <f aca="false">IF(OR(E62="",COUNTA(Q62:V62)=0),"",SUMIFS(Settings!$AA$2:$AA$21,Settings!$Y$2:$Y$21,"Budget AED 5k+/mo?",Settings!$Z$2:$Z$21,Q62)+SUMIFS(Settings!$AA$2:$AA$21,Settings!$Y$2:$Y$21,"Decision-maker?",Settings!$Z$2:$Z$21,R62)+SUMIFS(Settings!$AA$2:$AA$21,Settings!$Y$2:$Y$21,"Someone on camera?",Settings!$Z$2:$Z$21,S62)+SUMIFS(Settings!$AA$2:$AA$21,Settings!$Y$2:$Y$21,"OK with 3-month term?",Settings!$Z$2:$Z$21,T62)+SUMIFS(Settings!$AA$2:$AA$21,Settings!$Y$2:$Y$21,"Start timeline",Settings!$Z$2:$Z$21,U62)+SUMIFS(Settings!$AA$2:$AA$21,Settings!$Y$2:$Y$21,"Social media gap",Settings!$Z$2:$Z$21,V62)+IF(F62="",0,IF(COUNTIF(Settings!$AC$2:$AC$6,F62)&gt;0,Settings!$AA$20,Settings!$AA$21)))</f>
        <v/>
      </c>
      <c r="X62" s="44" t="str">
        <f aca="false">IF(E62="","",IF(COUNTA(Q62:V62)=0,"Not scored",IF(COUNTA(Q62:V62)&lt;6,"Partly scored ("&amp;COUNTA(Q62:V62)&amp;"/6)",IF(W62&gt;=Settings!$S$8,"Hot",IF(W62&gt;=Settings!$S$9,"Warm","Cold")))))</f>
        <v/>
      </c>
      <c r="Y62" s="44" t="str">
        <f aca="false">IF(E62="","",IF(AND(Q62="No",S62="No"),"🚩 Budget  ·  🚩 No one on camera",IF(Q62="No","🚩 Budget under AED 5k",IF(S62="No","🚩 No one on camera",""))))</f>
        <v/>
      </c>
      <c r="Z62" s="17"/>
      <c r="AA62" s="17"/>
      <c r="AB62" s="40"/>
      <c r="AC62" s="17"/>
      <c r="AD62" s="45" t="str">
        <f aca="false">IF(OR(E62="",AB62="",OR(AA62="Contract signed + paid",AA62="Closed – No response",AA62="Lost"),N(AC62)&gt;=Settings!$S$3),"",AB62+Settings!$S$2)</f>
        <v/>
      </c>
      <c r="AE62" s="40"/>
      <c r="AF62" s="41"/>
      <c r="AG62" s="17"/>
      <c r="AH62" s="17"/>
      <c r="AI62" s="17"/>
      <c r="AJ62" s="46" t="str">
        <f aca="true">IF(OR(E62="",B62=""),"",INT(TODAY()-B62))</f>
        <v/>
      </c>
      <c r="AK62" s="44" t="str">
        <f aca="true">IF(E62="","",IF(OR(COUNTIFS(Clients!$C$2:$C$501,E62,Clients!$S$2:$S$501,"Paid")&gt;0,AND(I62&lt;&gt;"",COUNTIFS(Clients!$E$2:$E$501,I62,Clients!$S$2:$S$501,"Paid")&gt;0)),"⚠ Refunded before – no free video",IF(OR(AA62="Contract signed + paid",AA62="Closed – No response",AA62="Lost"),"",IF(AA62="","Set a stage",IF(AND(AA62="Proposal sent",COUNTA(Q62:V62)&lt;6),"Score this lead – proposal sent unscored",IF(N(AC62)&gt;=Settings!$S$3,"Close – 4 follow-ups sent",IF(AD62="",IF(AB62="","Make first contact",""),IF(TODAY()&gt;AD62,"OVERDUE follow-up",IF(TODAY()=AD62,"Follow up today","")))))))))</f>
        <v/>
      </c>
    </row>
    <row r="63" customFormat="false" ht="15" hidden="false" customHeight="false" outlineLevel="0" collapsed="false">
      <c r="A63" s="17"/>
      <c r="B63" s="40"/>
      <c r="C63" s="41"/>
      <c r="D63" s="17"/>
      <c r="E63" s="17"/>
      <c r="F63" s="17"/>
      <c r="G63" s="17"/>
      <c r="H63" s="17"/>
      <c r="I63" s="42"/>
      <c r="J63" s="17"/>
      <c r="K63" s="17"/>
      <c r="L63" s="17"/>
      <c r="M63" s="17"/>
      <c r="N63" s="40"/>
      <c r="O63" s="41"/>
      <c r="P63" s="43" t="str">
        <f aca="false">IF(OR(B63="",N63=""),"",ROUND(((N63+N(O63))-(B63+N(C63)))*24,1))</f>
        <v/>
      </c>
      <c r="Q63" s="17"/>
      <c r="R63" s="17"/>
      <c r="S63" s="17"/>
      <c r="T63" s="17"/>
      <c r="U63" s="17"/>
      <c r="V63" s="17"/>
      <c r="W63" s="44" t="str">
        <f aca="false">IF(OR(E63="",COUNTA(Q63:V63)=0),"",SUMIFS(Settings!$AA$2:$AA$21,Settings!$Y$2:$Y$21,"Budget AED 5k+/mo?",Settings!$Z$2:$Z$21,Q63)+SUMIFS(Settings!$AA$2:$AA$21,Settings!$Y$2:$Y$21,"Decision-maker?",Settings!$Z$2:$Z$21,R63)+SUMIFS(Settings!$AA$2:$AA$21,Settings!$Y$2:$Y$21,"Someone on camera?",Settings!$Z$2:$Z$21,S63)+SUMIFS(Settings!$AA$2:$AA$21,Settings!$Y$2:$Y$21,"OK with 3-month term?",Settings!$Z$2:$Z$21,T63)+SUMIFS(Settings!$AA$2:$AA$21,Settings!$Y$2:$Y$21,"Start timeline",Settings!$Z$2:$Z$21,U63)+SUMIFS(Settings!$AA$2:$AA$21,Settings!$Y$2:$Y$21,"Social media gap",Settings!$Z$2:$Z$21,V63)+IF(F63="",0,IF(COUNTIF(Settings!$AC$2:$AC$6,F63)&gt;0,Settings!$AA$20,Settings!$AA$21)))</f>
        <v/>
      </c>
      <c r="X63" s="44" t="str">
        <f aca="false">IF(E63="","",IF(COUNTA(Q63:V63)=0,"Not scored",IF(COUNTA(Q63:V63)&lt;6,"Partly scored ("&amp;COUNTA(Q63:V63)&amp;"/6)",IF(W63&gt;=Settings!$S$8,"Hot",IF(W63&gt;=Settings!$S$9,"Warm","Cold")))))</f>
        <v/>
      </c>
      <c r="Y63" s="44" t="str">
        <f aca="false">IF(E63="","",IF(AND(Q63="No",S63="No"),"🚩 Budget  ·  🚩 No one on camera",IF(Q63="No","🚩 Budget under AED 5k",IF(S63="No","🚩 No one on camera",""))))</f>
        <v/>
      </c>
      <c r="Z63" s="17"/>
      <c r="AA63" s="17"/>
      <c r="AB63" s="40"/>
      <c r="AC63" s="17"/>
      <c r="AD63" s="45" t="str">
        <f aca="false">IF(OR(E63="",AB63="",OR(AA63="Contract signed + paid",AA63="Closed – No response",AA63="Lost"),N(AC63)&gt;=Settings!$S$3),"",AB63+Settings!$S$2)</f>
        <v/>
      </c>
      <c r="AE63" s="40"/>
      <c r="AF63" s="41"/>
      <c r="AG63" s="17"/>
      <c r="AH63" s="17"/>
      <c r="AI63" s="17"/>
      <c r="AJ63" s="46" t="str">
        <f aca="true">IF(OR(E63="",B63=""),"",INT(TODAY()-B63))</f>
        <v/>
      </c>
      <c r="AK63" s="44" t="str">
        <f aca="true">IF(E63="","",IF(OR(COUNTIFS(Clients!$C$2:$C$501,E63,Clients!$S$2:$S$501,"Paid")&gt;0,AND(I63&lt;&gt;"",COUNTIFS(Clients!$E$2:$E$501,I63,Clients!$S$2:$S$501,"Paid")&gt;0)),"⚠ Refunded before – no free video",IF(OR(AA63="Contract signed + paid",AA63="Closed – No response",AA63="Lost"),"",IF(AA63="","Set a stage",IF(AND(AA63="Proposal sent",COUNTA(Q63:V63)&lt;6),"Score this lead – proposal sent unscored",IF(N(AC63)&gt;=Settings!$S$3,"Close – 4 follow-ups sent",IF(AD63="",IF(AB63="","Make first contact",""),IF(TODAY()&gt;AD63,"OVERDUE follow-up",IF(TODAY()=AD63,"Follow up today","")))))))))</f>
        <v/>
      </c>
    </row>
    <row r="64" customFormat="false" ht="15" hidden="false" customHeight="false" outlineLevel="0" collapsed="false">
      <c r="A64" s="17"/>
      <c r="B64" s="40"/>
      <c r="C64" s="41"/>
      <c r="D64" s="17"/>
      <c r="E64" s="17"/>
      <c r="F64" s="17"/>
      <c r="G64" s="17"/>
      <c r="H64" s="17"/>
      <c r="I64" s="42"/>
      <c r="J64" s="17"/>
      <c r="K64" s="17"/>
      <c r="L64" s="17"/>
      <c r="M64" s="17"/>
      <c r="N64" s="40"/>
      <c r="O64" s="41"/>
      <c r="P64" s="43" t="str">
        <f aca="false">IF(OR(B64="",N64=""),"",ROUND(((N64+N(O64))-(B64+N(C64)))*24,1))</f>
        <v/>
      </c>
      <c r="Q64" s="17"/>
      <c r="R64" s="17"/>
      <c r="S64" s="17"/>
      <c r="T64" s="17"/>
      <c r="U64" s="17"/>
      <c r="V64" s="17"/>
      <c r="W64" s="44" t="str">
        <f aca="false">IF(OR(E64="",COUNTA(Q64:V64)=0),"",SUMIFS(Settings!$AA$2:$AA$21,Settings!$Y$2:$Y$21,"Budget AED 5k+/mo?",Settings!$Z$2:$Z$21,Q64)+SUMIFS(Settings!$AA$2:$AA$21,Settings!$Y$2:$Y$21,"Decision-maker?",Settings!$Z$2:$Z$21,R64)+SUMIFS(Settings!$AA$2:$AA$21,Settings!$Y$2:$Y$21,"Someone on camera?",Settings!$Z$2:$Z$21,S64)+SUMIFS(Settings!$AA$2:$AA$21,Settings!$Y$2:$Y$21,"OK with 3-month term?",Settings!$Z$2:$Z$21,T64)+SUMIFS(Settings!$AA$2:$AA$21,Settings!$Y$2:$Y$21,"Start timeline",Settings!$Z$2:$Z$21,U64)+SUMIFS(Settings!$AA$2:$AA$21,Settings!$Y$2:$Y$21,"Social media gap",Settings!$Z$2:$Z$21,V64)+IF(F64="",0,IF(COUNTIF(Settings!$AC$2:$AC$6,F64)&gt;0,Settings!$AA$20,Settings!$AA$21)))</f>
        <v/>
      </c>
      <c r="X64" s="44" t="str">
        <f aca="false">IF(E64="","",IF(COUNTA(Q64:V64)=0,"Not scored",IF(COUNTA(Q64:V64)&lt;6,"Partly scored ("&amp;COUNTA(Q64:V64)&amp;"/6)",IF(W64&gt;=Settings!$S$8,"Hot",IF(W64&gt;=Settings!$S$9,"Warm","Cold")))))</f>
        <v/>
      </c>
      <c r="Y64" s="44" t="str">
        <f aca="false">IF(E64="","",IF(AND(Q64="No",S64="No"),"🚩 Budget  ·  🚩 No one on camera",IF(Q64="No","🚩 Budget under AED 5k",IF(S64="No","🚩 No one on camera",""))))</f>
        <v/>
      </c>
      <c r="Z64" s="17"/>
      <c r="AA64" s="17"/>
      <c r="AB64" s="40"/>
      <c r="AC64" s="17"/>
      <c r="AD64" s="45" t="str">
        <f aca="false">IF(OR(E64="",AB64="",OR(AA64="Contract signed + paid",AA64="Closed – No response",AA64="Lost"),N(AC64)&gt;=Settings!$S$3),"",AB64+Settings!$S$2)</f>
        <v/>
      </c>
      <c r="AE64" s="40"/>
      <c r="AF64" s="41"/>
      <c r="AG64" s="17"/>
      <c r="AH64" s="17"/>
      <c r="AI64" s="17"/>
      <c r="AJ64" s="46" t="str">
        <f aca="true">IF(OR(E64="",B64=""),"",INT(TODAY()-B64))</f>
        <v/>
      </c>
      <c r="AK64" s="44" t="str">
        <f aca="true">IF(E64="","",IF(OR(COUNTIFS(Clients!$C$2:$C$501,E64,Clients!$S$2:$S$501,"Paid")&gt;0,AND(I64&lt;&gt;"",COUNTIFS(Clients!$E$2:$E$501,I64,Clients!$S$2:$S$501,"Paid")&gt;0)),"⚠ Refunded before – no free video",IF(OR(AA64="Contract signed + paid",AA64="Closed – No response",AA64="Lost"),"",IF(AA64="","Set a stage",IF(AND(AA64="Proposal sent",COUNTA(Q64:V64)&lt;6),"Score this lead – proposal sent unscored",IF(N(AC64)&gt;=Settings!$S$3,"Close – 4 follow-ups sent",IF(AD64="",IF(AB64="","Make first contact",""),IF(TODAY()&gt;AD64,"OVERDUE follow-up",IF(TODAY()=AD64,"Follow up today","")))))))))</f>
        <v/>
      </c>
    </row>
    <row r="65" customFormat="false" ht="15" hidden="false" customHeight="false" outlineLevel="0" collapsed="false">
      <c r="A65" s="17"/>
      <c r="B65" s="40"/>
      <c r="C65" s="41"/>
      <c r="D65" s="17"/>
      <c r="E65" s="17"/>
      <c r="F65" s="17"/>
      <c r="G65" s="17"/>
      <c r="H65" s="17"/>
      <c r="I65" s="42"/>
      <c r="J65" s="17"/>
      <c r="K65" s="17"/>
      <c r="L65" s="17"/>
      <c r="M65" s="17"/>
      <c r="N65" s="40"/>
      <c r="O65" s="41"/>
      <c r="P65" s="43" t="str">
        <f aca="false">IF(OR(B65="",N65=""),"",ROUND(((N65+N(O65))-(B65+N(C65)))*24,1))</f>
        <v/>
      </c>
      <c r="Q65" s="17"/>
      <c r="R65" s="17"/>
      <c r="S65" s="17"/>
      <c r="T65" s="17"/>
      <c r="U65" s="17"/>
      <c r="V65" s="17"/>
      <c r="W65" s="44" t="str">
        <f aca="false">IF(OR(E65="",COUNTA(Q65:V65)=0),"",SUMIFS(Settings!$AA$2:$AA$21,Settings!$Y$2:$Y$21,"Budget AED 5k+/mo?",Settings!$Z$2:$Z$21,Q65)+SUMIFS(Settings!$AA$2:$AA$21,Settings!$Y$2:$Y$21,"Decision-maker?",Settings!$Z$2:$Z$21,R65)+SUMIFS(Settings!$AA$2:$AA$21,Settings!$Y$2:$Y$21,"Someone on camera?",Settings!$Z$2:$Z$21,S65)+SUMIFS(Settings!$AA$2:$AA$21,Settings!$Y$2:$Y$21,"OK with 3-month term?",Settings!$Z$2:$Z$21,T65)+SUMIFS(Settings!$AA$2:$AA$21,Settings!$Y$2:$Y$21,"Start timeline",Settings!$Z$2:$Z$21,U65)+SUMIFS(Settings!$AA$2:$AA$21,Settings!$Y$2:$Y$21,"Social media gap",Settings!$Z$2:$Z$21,V65)+IF(F65="",0,IF(COUNTIF(Settings!$AC$2:$AC$6,F65)&gt;0,Settings!$AA$20,Settings!$AA$21)))</f>
        <v/>
      </c>
      <c r="X65" s="44" t="str">
        <f aca="false">IF(E65="","",IF(COUNTA(Q65:V65)=0,"Not scored",IF(COUNTA(Q65:V65)&lt;6,"Partly scored ("&amp;COUNTA(Q65:V65)&amp;"/6)",IF(W65&gt;=Settings!$S$8,"Hot",IF(W65&gt;=Settings!$S$9,"Warm","Cold")))))</f>
        <v/>
      </c>
      <c r="Y65" s="44" t="str">
        <f aca="false">IF(E65="","",IF(AND(Q65="No",S65="No"),"🚩 Budget  ·  🚩 No one on camera",IF(Q65="No","🚩 Budget under AED 5k",IF(S65="No","🚩 No one on camera",""))))</f>
        <v/>
      </c>
      <c r="Z65" s="17"/>
      <c r="AA65" s="17"/>
      <c r="AB65" s="40"/>
      <c r="AC65" s="17"/>
      <c r="AD65" s="45" t="str">
        <f aca="false">IF(OR(E65="",AB65="",OR(AA65="Contract signed + paid",AA65="Closed – No response",AA65="Lost"),N(AC65)&gt;=Settings!$S$3),"",AB65+Settings!$S$2)</f>
        <v/>
      </c>
      <c r="AE65" s="40"/>
      <c r="AF65" s="41"/>
      <c r="AG65" s="17"/>
      <c r="AH65" s="17"/>
      <c r="AI65" s="17"/>
      <c r="AJ65" s="46" t="str">
        <f aca="true">IF(OR(E65="",B65=""),"",INT(TODAY()-B65))</f>
        <v/>
      </c>
      <c r="AK65" s="44" t="str">
        <f aca="true">IF(E65="","",IF(OR(COUNTIFS(Clients!$C$2:$C$501,E65,Clients!$S$2:$S$501,"Paid")&gt;0,AND(I65&lt;&gt;"",COUNTIFS(Clients!$E$2:$E$501,I65,Clients!$S$2:$S$501,"Paid")&gt;0)),"⚠ Refunded before – no free video",IF(OR(AA65="Contract signed + paid",AA65="Closed – No response",AA65="Lost"),"",IF(AA65="","Set a stage",IF(AND(AA65="Proposal sent",COUNTA(Q65:V65)&lt;6),"Score this lead – proposal sent unscored",IF(N(AC65)&gt;=Settings!$S$3,"Close – 4 follow-ups sent",IF(AD65="",IF(AB65="","Make first contact",""),IF(TODAY()&gt;AD65,"OVERDUE follow-up",IF(TODAY()=AD65,"Follow up today","")))))))))</f>
        <v/>
      </c>
    </row>
    <row r="66" customFormat="false" ht="15" hidden="false" customHeight="false" outlineLevel="0" collapsed="false">
      <c r="A66" s="17"/>
      <c r="B66" s="40"/>
      <c r="C66" s="41"/>
      <c r="D66" s="17"/>
      <c r="E66" s="17"/>
      <c r="F66" s="17"/>
      <c r="G66" s="17"/>
      <c r="H66" s="17"/>
      <c r="I66" s="42"/>
      <c r="J66" s="17"/>
      <c r="K66" s="17"/>
      <c r="L66" s="17"/>
      <c r="M66" s="17"/>
      <c r="N66" s="40"/>
      <c r="O66" s="41"/>
      <c r="P66" s="43" t="str">
        <f aca="false">IF(OR(B66="",N66=""),"",ROUND(((N66+N(O66))-(B66+N(C66)))*24,1))</f>
        <v/>
      </c>
      <c r="Q66" s="17"/>
      <c r="R66" s="17"/>
      <c r="S66" s="17"/>
      <c r="T66" s="17"/>
      <c r="U66" s="17"/>
      <c r="V66" s="17"/>
      <c r="W66" s="44" t="str">
        <f aca="false">IF(OR(E66="",COUNTA(Q66:V66)=0),"",SUMIFS(Settings!$AA$2:$AA$21,Settings!$Y$2:$Y$21,"Budget AED 5k+/mo?",Settings!$Z$2:$Z$21,Q66)+SUMIFS(Settings!$AA$2:$AA$21,Settings!$Y$2:$Y$21,"Decision-maker?",Settings!$Z$2:$Z$21,R66)+SUMIFS(Settings!$AA$2:$AA$21,Settings!$Y$2:$Y$21,"Someone on camera?",Settings!$Z$2:$Z$21,S66)+SUMIFS(Settings!$AA$2:$AA$21,Settings!$Y$2:$Y$21,"OK with 3-month term?",Settings!$Z$2:$Z$21,T66)+SUMIFS(Settings!$AA$2:$AA$21,Settings!$Y$2:$Y$21,"Start timeline",Settings!$Z$2:$Z$21,U66)+SUMIFS(Settings!$AA$2:$AA$21,Settings!$Y$2:$Y$21,"Social media gap",Settings!$Z$2:$Z$21,V66)+IF(F66="",0,IF(COUNTIF(Settings!$AC$2:$AC$6,F66)&gt;0,Settings!$AA$20,Settings!$AA$21)))</f>
        <v/>
      </c>
      <c r="X66" s="44" t="str">
        <f aca="false">IF(E66="","",IF(COUNTA(Q66:V66)=0,"Not scored",IF(COUNTA(Q66:V66)&lt;6,"Partly scored ("&amp;COUNTA(Q66:V66)&amp;"/6)",IF(W66&gt;=Settings!$S$8,"Hot",IF(W66&gt;=Settings!$S$9,"Warm","Cold")))))</f>
        <v/>
      </c>
      <c r="Y66" s="44" t="str">
        <f aca="false">IF(E66="","",IF(AND(Q66="No",S66="No"),"🚩 Budget  ·  🚩 No one on camera",IF(Q66="No","🚩 Budget under AED 5k",IF(S66="No","🚩 No one on camera",""))))</f>
        <v/>
      </c>
      <c r="Z66" s="17"/>
      <c r="AA66" s="17"/>
      <c r="AB66" s="40"/>
      <c r="AC66" s="17"/>
      <c r="AD66" s="45" t="str">
        <f aca="false">IF(OR(E66="",AB66="",OR(AA66="Contract signed + paid",AA66="Closed – No response",AA66="Lost"),N(AC66)&gt;=Settings!$S$3),"",AB66+Settings!$S$2)</f>
        <v/>
      </c>
      <c r="AE66" s="40"/>
      <c r="AF66" s="41"/>
      <c r="AG66" s="17"/>
      <c r="AH66" s="17"/>
      <c r="AI66" s="17"/>
      <c r="AJ66" s="46" t="str">
        <f aca="true">IF(OR(E66="",B66=""),"",INT(TODAY()-B66))</f>
        <v/>
      </c>
      <c r="AK66" s="44" t="str">
        <f aca="true">IF(E66="","",IF(OR(COUNTIFS(Clients!$C$2:$C$501,E66,Clients!$S$2:$S$501,"Paid")&gt;0,AND(I66&lt;&gt;"",COUNTIFS(Clients!$E$2:$E$501,I66,Clients!$S$2:$S$501,"Paid")&gt;0)),"⚠ Refunded before – no free video",IF(OR(AA66="Contract signed + paid",AA66="Closed – No response",AA66="Lost"),"",IF(AA66="","Set a stage",IF(AND(AA66="Proposal sent",COUNTA(Q66:V66)&lt;6),"Score this lead – proposal sent unscored",IF(N(AC66)&gt;=Settings!$S$3,"Close – 4 follow-ups sent",IF(AD66="",IF(AB66="","Make first contact",""),IF(TODAY()&gt;AD66,"OVERDUE follow-up",IF(TODAY()=AD66,"Follow up today","")))))))))</f>
        <v/>
      </c>
    </row>
    <row r="67" customFormat="false" ht="15" hidden="false" customHeight="false" outlineLevel="0" collapsed="false">
      <c r="A67" s="17"/>
      <c r="B67" s="40"/>
      <c r="C67" s="41"/>
      <c r="D67" s="17"/>
      <c r="E67" s="17"/>
      <c r="F67" s="17"/>
      <c r="G67" s="17"/>
      <c r="H67" s="17"/>
      <c r="I67" s="42"/>
      <c r="J67" s="17"/>
      <c r="K67" s="17"/>
      <c r="L67" s="17"/>
      <c r="M67" s="17"/>
      <c r="N67" s="40"/>
      <c r="O67" s="41"/>
      <c r="P67" s="43" t="str">
        <f aca="false">IF(OR(B67="",N67=""),"",ROUND(((N67+N(O67))-(B67+N(C67)))*24,1))</f>
        <v/>
      </c>
      <c r="Q67" s="17"/>
      <c r="R67" s="17"/>
      <c r="S67" s="17"/>
      <c r="T67" s="17"/>
      <c r="U67" s="17"/>
      <c r="V67" s="17"/>
      <c r="W67" s="44" t="str">
        <f aca="false">IF(OR(E67="",COUNTA(Q67:V67)=0),"",SUMIFS(Settings!$AA$2:$AA$21,Settings!$Y$2:$Y$21,"Budget AED 5k+/mo?",Settings!$Z$2:$Z$21,Q67)+SUMIFS(Settings!$AA$2:$AA$21,Settings!$Y$2:$Y$21,"Decision-maker?",Settings!$Z$2:$Z$21,R67)+SUMIFS(Settings!$AA$2:$AA$21,Settings!$Y$2:$Y$21,"Someone on camera?",Settings!$Z$2:$Z$21,S67)+SUMIFS(Settings!$AA$2:$AA$21,Settings!$Y$2:$Y$21,"OK with 3-month term?",Settings!$Z$2:$Z$21,T67)+SUMIFS(Settings!$AA$2:$AA$21,Settings!$Y$2:$Y$21,"Start timeline",Settings!$Z$2:$Z$21,U67)+SUMIFS(Settings!$AA$2:$AA$21,Settings!$Y$2:$Y$21,"Social media gap",Settings!$Z$2:$Z$21,V67)+IF(F67="",0,IF(COUNTIF(Settings!$AC$2:$AC$6,F67)&gt;0,Settings!$AA$20,Settings!$AA$21)))</f>
        <v/>
      </c>
      <c r="X67" s="44" t="str">
        <f aca="false">IF(E67="","",IF(COUNTA(Q67:V67)=0,"Not scored",IF(COUNTA(Q67:V67)&lt;6,"Partly scored ("&amp;COUNTA(Q67:V67)&amp;"/6)",IF(W67&gt;=Settings!$S$8,"Hot",IF(W67&gt;=Settings!$S$9,"Warm","Cold")))))</f>
        <v/>
      </c>
      <c r="Y67" s="44" t="str">
        <f aca="false">IF(E67="","",IF(AND(Q67="No",S67="No"),"🚩 Budget  ·  🚩 No one on camera",IF(Q67="No","🚩 Budget under AED 5k",IF(S67="No","🚩 No one on camera",""))))</f>
        <v/>
      </c>
      <c r="Z67" s="17"/>
      <c r="AA67" s="17"/>
      <c r="AB67" s="40"/>
      <c r="AC67" s="17"/>
      <c r="AD67" s="45" t="str">
        <f aca="false">IF(OR(E67="",AB67="",OR(AA67="Contract signed + paid",AA67="Closed – No response",AA67="Lost"),N(AC67)&gt;=Settings!$S$3),"",AB67+Settings!$S$2)</f>
        <v/>
      </c>
      <c r="AE67" s="40"/>
      <c r="AF67" s="41"/>
      <c r="AG67" s="17"/>
      <c r="AH67" s="17"/>
      <c r="AI67" s="17"/>
      <c r="AJ67" s="46" t="str">
        <f aca="true">IF(OR(E67="",B67=""),"",INT(TODAY()-B67))</f>
        <v/>
      </c>
      <c r="AK67" s="44" t="str">
        <f aca="true">IF(E67="","",IF(OR(COUNTIFS(Clients!$C$2:$C$501,E67,Clients!$S$2:$S$501,"Paid")&gt;0,AND(I67&lt;&gt;"",COUNTIFS(Clients!$E$2:$E$501,I67,Clients!$S$2:$S$501,"Paid")&gt;0)),"⚠ Refunded before – no free video",IF(OR(AA67="Contract signed + paid",AA67="Closed – No response",AA67="Lost"),"",IF(AA67="","Set a stage",IF(AND(AA67="Proposal sent",COUNTA(Q67:V67)&lt;6),"Score this lead – proposal sent unscored",IF(N(AC67)&gt;=Settings!$S$3,"Close – 4 follow-ups sent",IF(AD67="",IF(AB67="","Make first contact",""),IF(TODAY()&gt;AD67,"OVERDUE follow-up",IF(TODAY()=AD67,"Follow up today","")))))))))</f>
        <v/>
      </c>
    </row>
    <row r="68" customFormat="false" ht="15" hidden="false" customHeight="false" outlineLevel="0" collapsed="false">
      <c r="A68" s="17"/>
      <c r="B68" s="40"/>
      <c r="C68" s="41"/>
      <c r="D68" s="17"/>
      <c r="E68" s="17"/>
      <c r="F68" s="17"/>
      <c r="G68" s="17"/>
      <c r="H68" s="17"/>
      <c r="I68" s="42"/>
      <c r="J68" s="17"/>
      <c r="K68" s="17"/>
      <c r="L68" s="17"/>
      <c r="M68" s="17"/>
      <c r="N68" s="40"/>
      <c r="O68" s="41"/>
      <c r="P68" s="43" t="str">
        <f aca="false">IF(OR(B68="",N68=""),"",ROUND(((N68+N(O68))-(B68+N(C68)))*24,1))</f>
        <v/>
      </c>
      <c r="Q68" s="17"/>
      <c r="R68" s="17"/>
      <c r="S68" s="17"/>
      <c r="T68" s="17"/>
      <c r="U68" s="17"/>
      <c r="V68" s="17"/>
      <c r="W68" s="44" t="str">
        <f aca="false">IF(OR(E68="",COUNTA(Q68:V68)=0),"",SUMIFS(Settings!$AA$2:$AA$21,Settings!$Y$2:$Y$21,"Budget AED 5k+/mo?",Settings!$Z$2:$Z$21,Q68)+SUMIFS(Settings!$AA$2:$AA$21,Settings!$Y$2:$Y$21,"Decision-maker?",Settings!$Z$2:$Z$21,R68)+SUMIFS(Settings!$AA$2:$AA$21,Settings!$Y$2:$Y$21,"Someone on camera?",Settings!$Z$2:$Z$21,S68)+SUMIFS(Settings!$AA$2:$AA$21,Settings!$Y$2:$Y$21,"OK with 3-month term?",Settings!$Z$2:$Z$21,T68)+SUMIFS(Settings!$AA$2:$AA$21,Settings!$Y$2:$Y$21,"Start timeline",Settings!$Z$2:$Z$21,U68)+SUMIFS(Settings!$AA$2:$AA$21,Settings!$Y$2:$Y$21,"Social media gap",Settings!$Z$2:$Z$21,V68)+IF(F68="",0,IF(COUNTIF(Settings!$AC$2:$AC$6,F68)&gt;0,Settings!$AA$20,Settings!$AA$21)))</f>
        <v/>
      </c>
      <c r="X68" s="44" t="str">
        <f aca="false">IF(E68="","",IF(COUNTA(Q68:V68)=0,"Not scored",IF(COUNTA(Q68:V68)&lt;6,"Partly scored ("&amp;COUNTA(Q68:V68)&amp;"/6)",IF(W68&gt;=Settings!$S$8,"Hot",IF(W68&gt;=Settings!$S$9,"Warm","Cold")))))</f>
        <v/>
      </c>
      <c r="Y68" s="44" t="str">
        <f aca="false">IF(E68="","",IF(AND(Q68="No",S68="No"),"🚩 Budget  ·  🚩 No one on camera",IF(Q68="No","🚩 Budget under AED 5k",IF(S68="No","🚩 No one on camera",""))))</f>
        <v/>
      </c>
      <c r="Z68" s="17"/>
      <c r="AA68" s="17"/>
      <c r="AB68" s="40"/>
      <c r="AC68" s="17"/>
      <c r="AD68" s="45" t="str">
        <f aca="false">IF(OR(E68="",AB68="",OR(AA68="Contract signed + paid",AA68="Closed – No response",AA68="Lost"),N(AC68)&gt;=Settings!$S$3),"",AB68+Settings!$S$2)</f>
        <v/>
      </c>
      <c r="AE68" s="40"/>
      <c r="AF68" s="41"/>
      <c r="AG68" s="17"/>
      <c r="AH68" s="17"/>
      <c r="AI68" s="17"/>
      <c r="AJ68" s="46" t="str">
        <f aca="true">IF(OR(E68="",B68=""),"",INT(TODAY()-B68))</f>
        <v/>
      </c>
      <c r="AK68" s="44" t="str">
        <f aca="true">IF(E68="","",IF(OR(COUNTIFS(Clients!$C$2:$C$501,E68,Clients!$S$2:$S$501,"Paid")&gt;0,AND(I68&lt;&gt;"",COUNTIFS(Clients!$E$2:$E$501,I68,Clients!$S$2:$S$501,"Paid")&gt;0)),"⚠ Refunded before – no free video",IF(OR(AA68="Contract signed + paid",AA68="Closed – No response",AA68="Lost"),"",IF(AA68="","Set a stage",IF(AND(AA68="Proposal sent",COUNTA(Q68:V68)&lt;6),"Score this lead – proposal sent unscored",IF(N(AC68)&gt;=Settings!$S$3,"Close – 4 follow-ups sent",IF(AD68="",IF(AB68="","Make first contact",""),IF(TODAY()&gt;AD68,"OVERDUE follow-up",IF(TODAY()=AD68,"Follow up today","")))))))))</f>
        <v/>
      </c>
    </row>
    <row r="69" customFormat="false" ht="15" hidden="false" customHeight="false" outlineLevel="0" collapsed="false">
      <c r="A69" s="17"/>
      <c r="B69" s="40"/>
      <c r="C69" s="41"/>
      <c r="D69" s="17"/>
      <c r="E69" s="17"/>
      <c r="F69" s="17"/>
      <c r="G69" s="17"/>
      <c r="H69" s="17"/>
      <c r="I69" s="42"/>
      <c r="J69" s="17"/>
      <c r="K69" s="17"/>
      <c r="L69" s="17"/>
      <c r="M69" s="17"/>
      <c r="N69" s="40"/>
      <c r="O69" s="41"/>
      <c r="P69" s="43" t="str">
        <f aca="false">IF(OR(B69="",N69=""),"",ROUND(((N69+N(O69))-(B69+N(C69)))*24,1))</f>
        <v/>
      </c>
      <c r="Q69" s="17"/>
      <c r="R69" s="17"/>
      <c r="S69" s="17"/>
      <c r="T69" s="17"/>
      <c r="U69" s="17"/>
      <c r="V69" s="17"/>
      <c r="W69" s="44" t="str">
        <f aca="false">IF(OR(E69="",COUNTA(Q69:V69)=0),"",SUMIFS(Settings!$AA$2:$AA$21,Settings!$Y$2:$Y$21,"Budget AED 5k+/mo?",Settings!$Z$2:$Z$21,Q69)+SUMIFS(Settings!$AA$2:$AA$21,Settings!$Y$2:$Y$21,"Decision-maker?",Settings!$Z$2:$Z$21,R69)+SUMIFS(Settings!$AA$2:$AA$21,Settings!$Y$2:$Y$21,"Someone on camera?",Settings!$Z$2:$Z$21,S69)+SUMIFS(Settings!$AA$2:$AA$21,Settings!$Y$2:$Y$21,"OK with 3-month term?",Settings!$Z$2:$Z$21,T69)+SUMIFS(Settings!$AA$2:$AA$21,Settings!$Y$2:$Y$21,"Start timeline",Settings!$Z$2:$Z$21,U69)+SUMIFS(Settings!$AA$2:$AA$21,Settings!$Y$2:$Y$21,"Social media gap",Settings!$Z$2:$Z$21,V69)+IF(F69="",0,IF(COUNTIF(Settings!$AC$2:$AC$6,F69)&gt;0,Settings!$AA$20,Settings!$AA$21)))</f>
        <v/>
      </c>
      <c r="X69" s="44" t="str">
        <f aca="false">IF(E69="","",IF(COUNTA(Q69:V69)=0,"Not scored",IF(COUNTA(Q69:V69)&lt;6,"Partly scored ("&amp;COUNTA(Q69:V69)&amp;"/6)",IF(W69&gt;=Settings!$S$8,"Hot",IF(W69&gt;=Settings!$S$9,"Warm","Cold")))))</f>
        <v/>
      </c>
      <c r="Y69" s="44" t="str">
        <f aca="false">IF(E69="","",IF(AND(Q69="No",S69="No"),"🚩 Budget  ·  🚩 No one on camera",IF(Q69="No","🚩 Budget under AED 5k",IF(S69="No","🚩 No one on camera",""))))</f>
        <v/>
      </c>
      <c r="Z69" s="17"/>
      <c r="AA69" s="17"/>
      <c r="AB69" s="40"/>
      <c r="AC69" s="17"/>
      <c r="AD69" s="45" t="str">
        <f aca="false">IF(OR(E69="",AB69="",OR(AA69="Contract signed + paid",AA69="Closed – No response",AA69="Lost"),N(AC69)&gt;=Settings!$S$3),"",AB69+Settings!$S$2)</f>
        <v/>
      </c>
      <c r="AE69" s="40"/>
      <c r="AF69" s="41"/>
      <c r="AG69" s="17"/>
      <c r="AH69" s="17"/>
      <c r="AI69" s="17"/>
      <c r="AJ69" s="46" t="str">
        <f aca="true">IF(OR(E69="",B69=""),"",INT(TODAY()-B69))</f>
        <v/>
      </c>
      <c r="AK69" s="44" t="str">
        <f aca="true">IF(E69="","",IF(OR(COUNTIFS(Clients!$C$2:$C$501,E69,Clients!$S$2:$S$501,"Paid")&gt;0,AND(I69&lt;&gt;"",COUNTIFS(Clients!$E$2:$E$501,I69,Clients!$S$2:$S$501,"Paid")&gt;0)),"⚠ Refunded before – no free video",IF(OR(AA69="Contract signed + paid",AA69="Closed – No response",AA69="Lost"),"",IF(AA69="","Set a stage",IF(AND(AA69="Proposal sent",COUNTA(Q69:V69)&lt;6),"Score this lead – proposal sent unscored",IF(N(AC69)&gt;=Settings!$S$3,"Close – 4 follow-ups sent",IF(AD69="",IF(AB69="","Make first contact",""),IF(TODAY()&gt;AD69,"OVERDUE follow-up",IF(TODAY()=AD69,"Follow up today","")))))))))</f>
        <v/>
      </c>
    </row>
    <row r="70" customFormat="false" ht="15" hidden="false" customHeight="false" outlineLevel="0" collapsed="false">
      <c r="A70" s="17"/>
      <c r="B70" s="40"/>
      <c r="C70" s="41"/>
      <c r="D70" s="17"/>
      <c r="E70" s="17"/>
      <c r="F70" s="17"/>
      <c r="G70" s="17"/>
      <c r="H70" s="17"/>
      <c r="I70" s="42"/>
      <c r="J70" s="17"/>
      <c r="K70" s="17"/>
      <c r="L70" s="17"/>
      <c r="M70" s="17"/>
      <c r="N70" s="40"/>
      <c r="O70" s="41"/>
      <c r="P70" s="43" t="str">
        <f aca="false">IF(OR(B70="",N70=""),"",ROUND(((N70+N(O70))-(B70+N(C70)))*24,1))</f>
        <v/>
      </c>
      <c r="Q70" s="17"/>
      <c r="R70" s="17"/>
      <c r="S70" s="17"/>
      <c r="T70" s="17"/>
      <c r="U70" s="17"/>
      <c r="V70" s="17"/>
      <c r="W70" s="44" t="str">
        <f aca="false">IF(OR(E70="",COUNTA(Q70:V70)=0),"",SUMIFS(Settings!$AA$2:$AA$21,Settings!$Y$2:$Y$21,"Budget AED 5k+/mo?",Settings!$Z$2:$Z$21,Q70)+SUMIFS(Settings!$AA$2:$AA$21,Settings!$Y$2:$Y$21,"Decision-maker?",Settings!$Z$2:$Z$21,R70)+SUMIFS(Settings!$AA$2:$AA$21,Settings!$Y$2:$Y$21,"Someone on camera?",Settings!$Z$2:$Z$21,S70)+SUMIFS(Settings!$AA$2:$AA$21,Settings!$Y$2:$Y$21,"OK with 3-month term?",Settings!$Z$2:$Z$21,T70)+SUMIFS(Settings!$AA$2:$AA$21,Settings!$Y$2:$Y$21,"Start timeline",Settings!$Z$2:$Z$21,U70)+SUMIFS(Settings!$AA$2:$AA$21,Settings!$Y$2:$Y$21,"Social media gap",Settings!$Z$2:$Z$21,V70)+IF(F70="",0,IF(COUNTIF(Settings!$AC$2:$AC$6,F70)&gt;0,Settings!$AA$20,Settings!$AA$21)))</f>
        <v/>
      </c>
      <c r="X70" s="44" t="str">
        <f aca="false">IF(E70="","",IF(COUNTA(Q70:V70)=0,"Not scored",IF(COUNTA(Q70:V70)&lt;6,"Partly scored ("&amp;COUNTA(Q70:V70)&amp;"/6)",IF(W70&gt;=Settings!$S$8,"Hot",IF(W70&gt;=Settings!$S$9,"Warm","Cold")))))</f>
        <v/>
      </c>
      <c r="Y70" s="44" t="str">
        <f aca="false">IF(E70="","",IF(AND(Q70="No",S70="No"),"🚩 Budget  ·  🚩 No one on camera",IF(Q70="No","🚩 Budget under AED 5k",IF(S70="No","🚩 No one on camera",""))))</f>
        <v/>
      </c>
      <c r="Z70" s="17"/>
      <c r="AA70" s="17"/>
      <c r="AB70" s="40"/>
      <c r="AC70" s="17"/>
      <c r="AD70" s="45" t="str">
        <f aca="false">IF(OR(E70="",AB70="",OR(AA70="Contract signed + paid",AA70="Closed – No response",AA70="Lost"),N(AC70)&gt;=Settings!$S$3),"",AB70+Settings!$S$2)</f>
        <v/>
      </c>
      <c r="AE70" s="40"/>
      <c r="AF70" s="41"/>
      <c r="AG70" s="17"/>
      <c r="AH70" s="17"/>
      <c r="AI70" s="17"/>
      <c r="AJ70" s="46" t="str">
        <f aca="true">IF(OR(E70="",B70=""),"",INT(TODAY()-B70))</f>
        <v/>
      </c>
      <c r="AK70" s="44" t="str">
        <f aca="true">IF(E70="","",IF(OR(COUNTIFS(Clients!$C$2:$C$501,E70,Clients!$S$2:$S$501,"Paid")&gt;0,AND(I70&lt;&gt;"",COUNTIFS(Clients!$E$2:$E$501,I70,Clients!$S$2:$S$501,"Paid")&gt;0)),"⚠ Refunded before – no free video",IF(OR(AA70="Contract signed + paid",AA70="Closed – No response",AA70="Lost"),"",IF(AA70="","Set a stage",IF(AND(AA70="Proposal sent",COUNTA(Q70:V70)&lt;6),"Score this lead – proposal sent unscored",IF(N(AC70)&gt;=Settings!$S$3,"Close – 4 follow-ups sent",IF(AD70="",IF(AB70="","Make first contact",""),IF(TODAY()&gt;AD70,"OVERDUE follow-up",IF(TODAY()=AD70,"Follow up today","")))))))))</f>
        <v/>
      </c>
    </row>
    <row r="71" customFormat="false" ht="15" hidden="false" customHeight="false" outlineLevel="0" collapsed="false">
      <c r="A71" s="17"/>
      <c r="B71" s="40"/>
      <c r="C71" s="41"/>
      <c r="D71" s="17"/>
      <c r="E71" s="17"/>
      <c r="F71" s="17"/>
      <c r="G71" s="17"/>
      <c r="H71" s="17"/>
      <c r="I71" s="42"/>
      <c r="J71" s="17"/>
      <c r="K71" s="17"/>
      <c r="L71" s="17"/>
      <c r="M71" s="17"/>
      <c r="N71" s="40"/>
      <c r="O71" s="41"/>
      <c r="P71" s="43" t="str">
        <f aca="false">IF(OR(B71="",N71=""),"",ROUND(((N71+N(O71))-(B71+N(C71)))*24,1))</f>
        <v/>
      </c>
      <c r="Q71" s="17"/>
      <c r="R71" s="17"/>
      <c r="S71" s="17"/>
      <c r="T71" s="17"/>
      <c r="U71" s="17"/>
      <c r="V71" s="17"/>
      <c r="W71" s="44" t="str">
        <f aca="false">IF(OR(E71="",COUNTA(Q71:V71)=0),"",SUMIFS(Settings!$AA$2:$AA$21,Settings!$Y$2:$Y$21,"Budget AED 5k+/mo?",Settings!$Z$2:$Z$21,Q71)+SUMIFS(Settings!$AA$2:$AA$21,Settings!$Y$2:$Y$21,"Decision-maker?",Settings!$Z$2:$Z$21,R71)+SUMIFS(Settings!$AA$2:$AA$21,Settings!$Y$2:$Y$21,"Someone on camera?",Settings!$Z$2:$Z$21,S71)+SUMIFS(Settings!$AA$2:$AA$21,Settings!$Y$2:$Y$21,"OK with 3-month term?",Settings!$Z$2:$Z$21,T71)+SUMIFS(Settings!$AA$2:$AA$21,Settings!$Y$2:$Y$21,"Start timeline",Settings!$Z$2:$Z$21,U71)+SUMIFS(Settings!$AA$2:$AA$21,Settings!$Y$2:$Y$21,"Social media gap",Settings!$Z$2:$Z$21,V71)+IF(F71="",0,IF(COUNTIF(Settings!$AC$2:$AC$6,F71)&gt;0,Settings!$AA$20,Settings!$AA$21)))</f>
        <v/>
      </c>
      <c r="X71" s="44" t="str">
        <f aca="false">IF(E71="","",IF(COUNTA(Q71:V71)=0,"Not scored",IF(COUNTA(Q71:V71)&lt;6,"Partly scored ("&amp;COUNTA(Q71:V71)&amp;"/6)",IF(W71&gt;=Settings!$S$8,"Hot",IF(W71&gt;=Settings!$S$9,"Warm","Cold")))))</f>
        <v/>
      </c>
      <c r="Y71" s="44" t="str">
        <f aca="false">IF(E71="","",IF(AND(Q71="No",S71="No"),"🚩 Budget  ·  🚩 No one on camera",IF(Q71="No","🚩 Budget under AED 5k",IF(S71="No","🚩 No one on camera",""))))</f>
        <v/>
      </c>
      <c r="Z71" s="17"/>
      <c r="AA71" s="17"/>
      <c r="AB71" s="40"/>
      <c r="AC71" s="17"/>
      <c r="AD71" s="45" t="str">
        <f aca="false">IF(OR(E71="",AB71="",OR(AA71="Contract signed + paid",AA71="Closed – No response",AA71="Lost"),N(AC71)&gt;=Settings!$S$3),"",AB71+Settings!$S$2)</f>
        <v/>
      </c>
      <c r="AE71" s="40"/>
      <c r="AF71" s="41"/>
      <c r="AG71" s="17"/>
      <c r="AH71" s="17"/>
      <c r="AI71" s="17"/>
      <c r="AJ71" s="46" t="str">
        <f aca="true">IF(OR(E71="",B71=""),"",INT(TODAY()-B71))</f>
        <v/>
      </c>
      <c r="AK71" s="44" t="str">
        <f aca="true">IF(E71="","",IF(OR(COUNTIFS(Clients!$C$2:$C$501,E71,Clients!$S$2:$S$501,"Paid")&gt;0,AND(I71&lt;&gt;"",COUNTIFS(Clients!$E$2:$E$501,I71,Clients!$S$2:$S$501,"Paid")&gt;0)),"⚠ Refunded before – no free video",IF(OR(AA71="Contract signed + paid",AA71="Closed – No response",AA71="Lost"),"",IF(AA71="","Set a stage",IF(AND(AA71="Proposal sent",COUNTA(Q71:V71)&lt;6),"Score this lead – proposal sent unscored",IF(N(AC71)&gt;=Settings!$S$3,"Close – 4 follow-ups sent",IF(AD71="",IF(AB71="","Make first contact",""),IF(TODAY()&gt;AD71,"OVERDUE follow-up",IF(TODAY()=AD71,"Follow up today","")))))))))</f>
        <v/>
      </c>
    </row>
    <row r="72" customFormat="false" ht="15" hidden="false" customHeight="false" outlineLevel="0" collapsed="false">
      <c r="A72" s="17"/>
      <c r="B72" s="40"/>
      <c r="C72" s="41"/>
      <c r="D72" s="17"/>
      <c r="E72" s="17"/>
      <c r="F72" s="17"/>
      <c r="G72" s="17"/>
      <c r="H72" s="17"/>
      <c r="I72" s="42"/>
      <c r="J72" s="17"/>
      <c r="K72" s="17"/>
      <c r="L72" s="17"/>
      <c r="M72" s="17"/>
      <c r="N72" s="40"/>
      <c r="O72" s="41"/>
      <c r="P72" s="43" t="str">
        <f aca="false">IF(OR(B72="",N72=""),"",ROUND(((N72+N(O72))-(B72+N(C72)))*24,1))</f>
        <v/>
      </c>
      <c r="Q72" s="17"/>
      <c r="R72" s="17"/>
      <c r="S72" s="17"/>
      <c r="T72" s="17"/>
      <c r="U72" s="17"/>
      <c r="V72" s="17"/>
      <c r="W72" s="44" t="str">
        <f aca="false">IF(OR(E72="",COUNTA(Q72:V72)=0),"",SUMIFS(Settings!$AA$2:$AA$21,Settings!$Y$2:$Y$21,"Budget AED 5k+/mo?",Settings!$Z$2:$Z$21,Q72)+SUMIFS(Settings!$AA$2:$AA$21,Settings!$Y$2:$Y$21,"Decision-maker?",Settings!$Z$2:$Z$21,R72)+SUMIFS(Settings!$AA$2:$AA$21,Settings!$Y$2:$Y$21,"Someone on camera?",Settings!$Z$2:$Z$21,S72)+SUMIFS(Settings!$AA$2:$AA$21,Settings!$Y$2:$Y$21,"OK with 3-month term?",Settings!$Z$2:$Z$21,T72)+SUMIFS(Settings!$AA$2:$AA$21,Settings!$Y$2:$Y$21,"Start timeline",Settings!$Z$2:$Z$21,U72)+SUMIFS(Settings!$AA$2:$AA$21,Settings!$Y$2:$Y$21,"Social media gap",Settings!$Z$2:$Z$21,V72)+IF(F72="",0,IF(COUNTIF(Settings!$AC$2:$AC$6,F72)&gt;0,Settings!$AA$20,Settings!$AA$21)))</f>
        <v/>
      </c>
      <c r="X72" s="44" t="str">
        <f aca="false">IF(E72="","",IF(COUNTA(Q72:V72)=0,"Not scored",IF(COUNTA(Q72:V72)&lt;6,"Partly scored ("&amp;COUNTA(Q72:V72)&amp;"/6)",IF(W72&gt;=Settings!$S$8,"Hot",IF(W72&gt;=Settings!$S$9,"Warm","Cold")))))</f>
        <v/>
      </c>
      <c r="Y72" s="44" t="str">
        <f aca="false">IF(E72="","",IF(AND(Q72="No",S72="No"),"🚩 Budget  ·  🚩 No one on camera",IF(Q72="No","🚩 Budget under AED 5k",IF(S72="No","🚩 No one on camera",""))))</f>
        <v/>
      </c>
      <c r="Z72" s="17"/>
      <c r="AA72" s="17"/>
      <c r="AB72" s="40"/>
      <c r="AC72" s="17"/>
      <c r="AD72" s="45" t="str">
        <f aca="false">IF(OR(E72="",AB72="",OR(AA72="Contract signed + paid",AA72="Closed – No response",AA72="Lost"),N(AC72)&gt;=Settings!$S$3),"",AB72+Settings!$S$2)</f>
        <v/>
      </c>
      <c r="AE72" s="40"/>
      <c r="AF72" s="41"/>
      <c r="AG72" s="17"/>
      <c r="AH72" s="17"/>
      <c r="AI72" s="17"/>
      <c r="AJ72" s="46" t="str">
        <f aca="true">IF(OR(E72="",B72=""),"",INT(TODAY()-B72))</f>
        <v/>
      </c>
      <c r="AK72" s="44" t="str">
        <f aca="true">IF(E72="","",IF(OR(COUNTIFS(Clients!$C$2:$C$501,E72,Clients!$S$2:$S$501,"Paid")&gt;0,AND(I72&lt;&gt;"",COUNTIFS(Clients!$E$2:$E$501,I72,Clients!$S$2:$S$501,"Paid")&gt;0)),"⚠ Refunded before – no free video",IF(OR(AA72="Contract signed + paid",AA72="Closed – No response",AA72="Lost"),"",IF(AA72="","Set a stage",IF(AND(AA72="Proposal sent",COUNTA(Q72:V72)&lt;6),"Score this lead – proposal sent unscored",IF(N(AC72)&gt;=Settings!$S$3,"Close – 4 follow-ups sent",IF(AD72="",IF(AB72="","Make first contact",""),IF(TODAY()&gt;AD72,"OVERDUE follow-up",IF(TODAY()=AD72,"Follow up today","")))))))))</f>
        <v/>
      </c>
    </row>
    <row r="73" customFormat="false" ht="15" hidden="false" customHeight="false" outlineLevel="0" collapsed="false">
      <c r="A73" s="17"/>
      <c r="B73" s="40"/>
      <c r="C73" s="41"/>
      <c r="D73" s="17"/>
      <c r="E73" s="17"/>
      <c r="F73" s="17"/>
      <c r="G73" s="17"/>
      <c r="H73" s="17"/>
      <c r="I73" s="42"/>
      <c r="J73" s="17"/>
      <c r="K73" s="17"/>
      <c r="L73" s="17"/>
      <c r="M73" s="17"/>
      <c r="N73" s="40"/>
      <c r="O73" s="41"/>
      <c r="P73" s="43" t="str">
        <f aca="false">IF(OR(B73="",N73=""),"",ROUND(((N73+N(O73))-(B73+N(C73)))*24,1))</f>
        <v/>
      </c>
      <c r="Q73" s="17"/>
      <c r="R73" s="17"/>
      <c r="S73" s="17"/>
      <c r="T73" s="17"/>
      <c r="U73" s="17"/>
      <c r="V73" s="17"/>
      <c r="W73" s="44" t="str">
        <f aca="false">IF(OR(E73="",COUNTA(Q73:V73)=0),"",SUMIFS(Settings!$AA$2:$AA$21,Settings!$Y$2:$Y$21,"Budget AED 5k+/mo?",Settings!$Z$2:$Z$21,Q73)+SUMIFS(Settings!$AA$2:$AA$21,Settings!$Y$2:$Y$21,"Decision-maker?",Settings!$Z$2:$Z$21,R73)+SUMIFS(Settings!$AA$2:$AA$21,Settings!$Y$2:$Y$21,"Someone on camera?",Settings!$Z$2:$Z$21,S73)+SUMIFS(Settings!$AA$2:$AA$21,Settings!$Y$2:$Y$21,"OK with 3-month term?",Settings!$Z$2:$Z$21,T73)+SUMIFS(Settings!$AA$2:$AA$21,Settings!$Y$2:$Y$21,"Start timeline",Settings!$Z$2:$Z$21,U73)+SUMIFS(Settings!$AA$2:$AA$21,Settings!$Y$2:$Y$21,"Social media gap",Settings!$Z$2:$Z$21,V73)+IF(F73="",0,IF(COUNTIF(Settings!$AC$2:$AC$6,F73)&gt;0,Settings!$AA$20,Settings!$AA$21)))</f>
        <v/>
      </c>
      <c r="X73" s="44" t="str">
        <f aca="false">IF(E73="","",IF(COUNTA(Q73:V73)=0,"Not scored",IF(COUNTA(Q73:V73)&lt;6,"Partly scored ("&amp;COUNTA(Q73:V73)&amp;"/6)",IF(W73&gt;=Settings!$S$8,"Hot",IF(W73&gt;=Settings!$S$9,"Warm","Cold")))))</f>
        <v/>
      </c>
      <c r="Y73" s="44" t="str">
        <f aca="false">IF(E73="","",IF(AND(Q73="No",S73="No"),"🚩 Budget  ·  🚩 No one on camera",IF(Q73="No","🚩 Budget under AED 5k",IF(S73="No","🚩 No one on camera",""))))</f>
        <v/>
      </c>
      <c r="Z73" s="17"/>
      <c r="AA73" s="17"/>
      <c r="AB73" s="40"/>
      <c r="AC73" s="17"/>
      <c r="AD73" s="45" t="str">
        <f aca="false">IF(OR(E73="",AB73="",OR(AA73="Contract signed + paid",AA73="Closed – No response",AA73="Lost"),N(AC73)&gt;=Settings!$S$3),"",AB73+Settings!$S$2)</f>
        <v/>
      </c>
      <c r="AE73" s="40"/>
      <c r="AF73" s="41"/>
      <c r="AG73" s="17"/>
      <c r="AH73" s="17"/>
      <c r="AI73" s="17"/>
      <c r="AJ73" s="46" t="str">
        <f aca="true">IF(OR(E73="",B73=""),"",INT(TODAY()-B73))</f>
        <v/>
      </c>
      <c r="AK73" s="44" t="str">
        <f aca="true">IF(E73="","",IF(OR(COUNTIFS(Clients!$C$2:$C$501,E73,Clients!$S$2:$S$501,"Paid")&gt;0,AND(I73&lt;&gt;"",COUNTIFS(Clients!$E$2:$E$501,I73,Clients!$S$2:$S$501,"Paid")&gt;0)),"⚠ Refunded before – no free video",IF(OR(AA73="Contract signed + paid",AA73="Closed – No response",AA73="Lost"),"",IF(AA73="","Set a stage",IF(AND(AA73="Proposal sent",COUNTA(Q73:V73)&lt;6),"Score this lead – proposal sent unscored",IF(N(AC73)&gt;=Settings!$S$3,"Close – 4 follow-ups sent",IF(AD73="",IF(AB73="","Make first contact",""),IF(TODAY()&gt;AD73,"OVERDUE follow-up",IF(TODAY()=AD73,"Follow up today","")))))))))</f>
        <v/>
      </c>
    </row>
    <row r="74" customFormat="false" ht="15" hidden="false" customHeight="false" outlineLevel="0" collapsed="false">
      <c r="A74" s="17"/>
      <c r="B74" s="40"/>
      <c r="C74" s="41"/>
      <c r="D74" s="17"/>
      <c r="E74" s="17"/>
      <c r="F74" s="17"/>
      <c r="G74" s="17"/>
      <c r="H74" s="17"/>
      <c r="I74" s="42"/>
      <c r="J74" s="17"/>
      <c r="K74" s="17"/>
      <c r="L74" s="17"/>
      <c r="M74" s="17"/>
      <c r="N74" s="40"/>
      <c r="O74" s="41"/>
      <c r="P74" s="43" t="str">
        <f aca="false">IF(OR(B74="",N74=""),"",ROUND(((N74+N(O74))-(B74+N(C74)))*24,1))</f>
        <v/>
      </c>
      <c r="Q74" s="17"/>
      <c r="R74" s="17"/>
      <c r="S74" s="17"/>
      <c r="T74" s="17"/>
      <c r="U74" s="17"/>
      <c r="V74" s="17"/>
      <c r="W74" s="44" t="str">
        <f aca="false">IF(OR(E74="",COUNTA(Q74:V74)=0),"",SUMIFS(Settings!$AA$2:$AA$21,Settings!$Y$2:$Y$21,"Budget AED 5k+/mo?",Settings!$Z$2:$Z$21,Q74)+SUMIFS(Settings!$AA$2:$AA$21,Settings!$Y$2:$Y$21,"Decision-maker?",Settings!$Z$2:$Z$21,R74)+SUMIFS(Settings!$AA$2:$AA$21,Settings!$Y$2:$Y$21,"Someone on camera?",Settings!$Z$2:$Z$21,S74)+SUMIFS(Settings!$AA$2:$AA$21,Settings!$Y$2:$Y$21,"OK with 3-month term?",Settings!$Z$2:$Z$21,T74)+SUMIFS(Settings!$AA$2:$AA$21,Settings!$Y$2:$Y$21,"Start timeline",Settings!$Z$2:$Z$21,U74)+SUMIFS(Settings!$AA$2:$AA$21,Settings!$Y$2:$Y$21,"Social media gap",Settings!$Z$2:$Z$21,V74)+IF(F74="",0,IF(COUNTIF(Settings!$AC$2:$AC$6,F74)&gt;0,Settings!$AA$20,Settings!$AA$21)))</f>
        <v/>
      </c>
      <c r="X74" s="44" t="str">
        <f aca="false">IF(E74="","",IF(COUNTA(Q74:V74)=0,"Not scored",IF(COUNTA(Q74:V74)&lt;6,"Partly scored ("&amp;COUNTA(Q74:V74)&amp;"/6)",IF(W74&gt;=Settings!$S$8,"Hot",IF(W74&gt;=Settings!$S$9,"Warm","Cold")))))</f>
        <v/>
      </c>
      <c r="Y74" s="44" t="str">
        <f aca="false">IF(E74="","",IF(AND(Q74="No",S74="No"),"🚩 Budget  ·  🚩 No one on camera",IF(Q74="No","🚩 Budget under AED 5k",IF(S74="No","🚩 No one on camera",""))))</f>
        <v/>
      </c>
      <c r="Z74" s="17"/>
      <c r="AA74" s="17"/>
      <c r="AB74" s="40"/>
      <c r="AC74" s="17"/>
      <c r="AD74" s="45" t="str">
        <f aca="false">IF(OR(E74="",AB74="",OR(AA74="Contract signed + paid",AA74="Closed – No response",AA74="Lost"),N(AC74)&gt;=Settings!$S$3),"",AB74+Settings!$S$2)</f>
        <v/>
      </c>
      <c r="AE74" s="40"/>
      <c r="AF74" s="41"/>
      <c r="AG74" s="17"/>
      <c r="AH74" s="17"/>
      <c r="AI74" s="17"/>
      <c r="AJ74" s="46" t="str">
        <f aca="true">IF(OR(E74="",B74=""),"",INT(TODAY()-B74))</f>
        <v/>
      </c>
      <c r="AK74" s="44" t="str">
        <f aca="true">IF(E74="","",IF(OR(COUNTIFS(Clients!$C$2:$C$501,E74,Clients!$S$2:$S$501,"Paid")&gt;0,AND(I74&lt;&gt;"",COUNTIFS(Clients!$E$2:$E$501,I74,Clients!$S$2:$S$501,"Paid")&gt;0)),"⚠ Refunded before – no free video",IF(OR(AA74="Contract signed + paid",AA74="Closed – No response",AA74="Lost"),"",IF(AA74="","Set a stage",IF(AND(AA74="Proposal sent",COUNTA(Q74:V74)&lt;6),"Score this lead – proposal sent unscored",IF(N(AC74)&gt;=Settings!$S$3,"Close – 4 follow-ups sent",IF(AD74="",IF(AB74="","Make first contact",""),IF(TODAY()&gt;AD74,"OVERDUE follow-up",IF(TODAY()=AD74,"Follow up today","")))))))))</f>
        <v/>
      </c>
    </row>
    <row r="75" customFormat="false" ht="15" hidden="false" customHeight="false" outlineLevel="0" collapsed="false">
      <c r="A75" s="17"/>
      <c r="B75" s="40"/>
      <c r="C75" s="41"/>
      <c r="D75" s="17"/>
      <c r="E75" s="17"/>
      <c r="F75" s="17"/>
      <c r="G75" s="17"/>
      <c r="H75" s="17"/>
      <c r="I75" s="42"/>
      <c r="J75" s="17"/>
      <c r="K75" s="17"/>
      <c r="L75" s="17"/>
      <c r="M75" s="17"/>
      <c r="N75" s="40"/>
      <c r="O75" s="41"/>
      <c r="P75" s="43" t="str">
        <f aca="false">IF(OR(B75="",N75=""),"",ROUND(((N75+N(O75))-(B75+N(C75)))*24,1))</f>
        <v/>
      </c>
      <c r="Q75" s="17"/>
      <c r="R75" s="17"/>
      <c r="S75" s="17"/>
      <c r="T75" s="17"/>
      <c r="U75" s="17"/>
      <c r="V75" s="17"/>
      <c r="W75" s="44" t="str">
        <f aca="false">IF(OR(E75="",COUNTA(Q75:V75)=0),"",SUMIFS(Settings!$AA$2:$AA$21,Settings!$Y$2:$Y$21,"Budget AED 5k+/mo?",Settings!$Z$2:$Z$21,Q75)+SUMIFS(Settings!$AA$2:$AA$21,Settings!$Y$2:$Y$21,"Decision-maker?",Settings!$Z$2:$Z$21,R75)+SUMIFS(Settings!$AA$2:$AA$21,Settings!$Y$2:$Y$21,"Someone on camera?",Settings!$Z$2:$Z$21,S75)+SUMIFS(Settings!$AA$2:$AA$21,Settings!$Y$2:$Y$21,"OK with 3-month term?",Settings!$Z$2:$Z$21,T75)+SUMIFS(Settings!$AA$2:$AA$21,Settings!$Y$2:$Y$21,"Start timeline",Settings!$Z$2:$Z$21,U75)+SUMIFS(Settings!$AA$2:$AA$21,Settings!$Y$2:$Y$21,"Social media gap",Settings!$Z$2:$Z$21,V75)+IF(F75="",0,IF(COUNTIF(Settings!$AC$2:$AC$6,F75)&gt;0,Settings!$AA$20,Settings!$AA$21)))</f>
        <v/>
      </c>
      <c r="X75" s="44" t="str">
        <f aca="false">IF(E75="","",IF(COUNTA(Q75:V75)=0,"Not scored",IF(COUNTA(Q75:V75)&lt;6,"Partly scored ("&amp;COUNTA(Q75:V75)&amp;"/6)",IF(W75&gt;=Settings!$S$8,"Hot",IF(W75&gt;=Settings!$S$9,"Warm","Cold")))))</f>
        <v/>
      </c>
      <c r="Y75" s="44" t="str">
        <f aca="false">IF(E75="","",IF(AND(Q75="No",S75="No"),"🚩 Budget  ·  🚩 No one on camera",IF(Q75="No","🚩 Budget under AED 5k",IF(S75="No","🚩 No one on camera",""))))</f>
        <v/>
      </c>
      <c r="Z75" s="17"/>
      <c r="AA75" s="17"/>
      <c r="AB75" s="40"/>
      <c r="AC75" s="17"/>
      <c r="AD75" s="45" t="str">
        <f aca="false">IF(OR(E75="",AB75="",OR(AA75="Contract signed + paid",AA75="Closed – No response",AA75="Lost"),N(AC75)&gt;=Settings!$S$3),"",AB75+Settings!$S$2)</f>
        <v/>
      </c>
      <c r="AE75" s="40"/>
      <c r="AF75" s="41"/>
      <c r="AG75" s="17"/>
      <c r="AH75" s="17"/>
      <c r="AI75" s="17"/>
      <c r="AJ75" s="46" t="str">
        <f aca="true">IF(OR(E75="",B75=""),"",INT(TODAY()-B75))</f>
        <v/>
      </c>
      <c r="AK75" s="44" t="str">
        <f aca="true">IF(E75="","",IF(OR(COUNTIFS(Clients!$C$2:$C$501,E75,Clients!$S$2:$S$501,"Paid")&gt;0,AND(I75&lt;&gt;"",COUNTIFS(Clients!$E$2:$E$501,I75,Clients!$S$2:$S$501,"Paid")&gt;0)),"⚠ Refunded before – no free video",IF(OR(AA75="Contract signed + paid",AA75="Closed – No response",AA75="Lost"),"",IF(AA75="","Set a stage",IF(AND(AA75="Proposal sent",COUNTA(Q75:V75)&lt;6),"Score this lead – proposal sent unscored",IF(N(AC75)&gt;=Settings!$S$3,"Close – 4 follow-ups sent",IF(AD75="",IF(AB75="","Make first contact",""),IF(TODAY()&gt;AD75,"OVERDUE follow-up",IF(TODAY()=AD75,"Follow up today","")))))))))</f>
        <v/>
      </c>
    </row>
    <row r="76" customFormat="false" ht="15" hidden="false" customHeight="false" outlineLevel="0" collapsed="false">
      <c r="A76" s="17"/>
      <c r="B76" s="40"/>
      <c r="C76" s="41"/>
      <c r="D76" s="17"/>
      <c r="E76" s="17"/>
      <c r="F76" s="17"/>
      <c r="G76" s="17"/>
      <c r="H76" s="17"/>
      <c r="I76" s="42"/>
      <c r="J76" s="17"/>
      <c r="K76" s="17"/>
      <c r="L76" s="17"/>
      <c r="M76" s="17"/>
      <c r="N76" s="40"/>
      <c r="O76" s="41"/>
      <c r="P76" s="43" t="str">
        <f aca="false">IF(OR(B76="",N76=""),"",ROUND(((N76+N(O76))-(B76+N(C76)))*24,1))</f>
        <v/>
      </c>
      <c r="Q76" s="17"/>
      <c r="R76" s="17"/>
      <c r="S76" s="17"/>
      <c r="T76" s="17"/>
      <c r="U76" s="17"/>
      <c r="V76" s="17"/>
      <c r="W76" s="44" t="str">
        <f aca="false">IF(OR(E76="",COUNTA(Q76:V76)=0),"",SUMIFS(Settings!$AA$2:$AA$21,Settings!$Y$2:$Y$21,"Budget AED 5k+/mo?",Settings!$Z$2:$Z$21,Q76)+SUMIFS(Settings!$AA$2:$AA$21,Settings!$Y$2:$Y$21,"Decision-maker?",Settings!$Z$2:$Z$21,R76)+SUMIFS(Settings!$AA$2:$AA$21,Settings!$Y$2:$Y$21,"Someone on camera?",Settings!$Z$2:$Z$21,S76)+SUMIFS(Settings!$AA$2:$AA$21,Settings!$Y$2:$Y$21,"OK with 3-month term?",Settings!$Z$2:$Z$21,T76)+SUMIFS(Settings!$AA$2:$AA$21,Settings!$Y$2:$Y$21,"Start timeline",Settings!$Z$2:$Z$21,U76)+SUMIFS(Settings!$AA$2:$AA$21,Settings!$Y$2:$Y$21,"Social media gap",Settings!$Z$2:$Z$21,V76)+IF(F76="",0,IF(COUNTIF(Settings!$AC$2:$AC$6,F76)&gt;0,Settings!$AA$20,Settings!$AA$21)))</f>
        <v/>
      </c>
      <c r="X76" s="44" t="str">
        <f aca="false">IF(E76="","",IF(COUNTA(Q76:V76)=0,"Not scored",IF(COUNTA(Q76:V76)&lt;6,"Partly scored ("&amp;COUNTA(Q76:V76)&amp;"/6)",IF(W76&gt;=Settings!$S$8,"Hot",IF(W76&gt;=Settings!$S$9,"Warm","Cold")))))</f>
        <v/>
      </c>
      <c r="Y76" s="44" t="str">
        <f aca="false">IF(E76="","",IF(AND(Q76="No",S76="No"),"🚩 Budget  ·  🚩 No one on camera",IF(Q76="No","🚩 Budget under AED 5k",IF(S76="No","🚩 No one on camera",""))))</f>
        <v/>
      </c>
      <c r="Z76" s="17"/>
      <c r="AA76" s="17"/>
      <c r="AB76" s="40"/>
      <c r="AC76" s="17"/>
      <c r="AD76" s="45" t="str">
        <f aca="false">IF(OR(E76="",AB76="",OR(AA76="Contract signed + paid",AA76="Closed – No response",AA76="Lost"),N(AC76)&gt;=Settings!$S$3),"",AB76+Settings!$S$2)</f>
        <v/>
      </c>
      <c r="AE76" s="40"/>
      <c r="AF76" s="41"/>
      <c r="AG76" s="17"/>
      <c r="AH76" s="17"/>
      <c r="AI76" s="17"/>
      <c r="AJ76" s="46" t="str">
        <f aca="true">IF(OR(E76="",B76=""),"",INT(TODAY()-B76))</f>
        <v/>
      </c>
      <c r="AK76" s="44" t="str">
        <f aca="true">IF(E76="","",IF(OR(COUNTIFS(Clients!$C$2:$C$501,E76,Clients!$S$2:$S$501,"Paid")&gt;0,AND(I76&lt;&gt;"",COUNTIFS(Clients!$E$2:$E$501,I76,Clients!$S$2:$S$501,"Paid")&gt;0)),"⚠ Refunded before – no free video",IF(OR(AA76="Contract signed + paid",AA76="Closed – No response",AA76="Lost"),"",IF(AA76="","Set a stage",IF(AND(AA76="Proposal sent",COUNTA(Q76:V76)&lt;6),"Score this lead – proposal sent unscored",IF(N(AC76)&gt;=Settings!$S$3,"Close – 4 follow-ups sent",IF(AD76="",IF(AB76="","Make first contact",""),IF(TODAY()&gt;AD76,"OVERDUE follow-up",IF(TODAY()=AD76,"Follow up today","")))))))))</f>
        <v/>
      </c>
    </row>
    <row r="77" customFormat="false" ht="15" hidden="false" customHeight="false" outlineLevel="0" collapsed="false">
      <c r="A77" s="17"/>
      <c r="B77" s="40"/>
      <c r="C77" s="41"/>
      <c r="D77" s="17"/>
      <c r="E77" s="17"/>
      <c r="F77" s="17"/>
      <c r="G77" s="17"/>
      <c r="H77" s="17"/>
      <c r="I77" s="42"/>
      <c r="J77" s="17"/>
      <c r="K77" s="17"/>
      <c r="L77" s="17"/>
      <c r="M77" s="17"/>
      <c r="N77" s="40"/>
      <c r="O77" s="41"/>
      <c r="P77" s="43" t="str">
        <f aca="false">IF(OR(B77="",N77=""),"",ROUND(((N77+N(O77))-(B77+N(C77)))*24,1))</f>
        <v/>
      </c>
      <c r="Q77" s="17"/>
      <c r="R77" s="17"/>
      <c r="S77" s="17"/>
      <c r="T77" s="17"/>
      <c r="U77" s="17"/>
      <c r="V77" s="17"/>
      <c r="W77" s="44" t="str">
        <f aca="false">IF(OR(E77="",COUNTA(Q77:V77)=0),"",SUMIFS(Settings!$AA$2:$AA$21,Settings!$Y$2:$Y$21,"Budget AED 5k+/mo?",Settings!$Z$2:$Z$21,Q77)+SUMIFS(Settings!$AA$2:$AA$21,Settings!$Y$2:$Y$21,"Decision-maker?",Settings!$Z$2:$Z$21,R77)+SUMIFS(Settings!$AA$2:$AA$21,Settings!$Y$2:$Y$21,"Someone on camera?",Settings!$Z$2:$Z$21,S77)+SUMIFS(Settings!$AA$2:$AA$21,Settings!$Y$2:$Y$21,"OK with 3-month term?",Settings!$Z$2:$Z$21,T77)+SUMIFS(Settings!$AA$2:$AA$21,Settings!$Y$2:$Y$21,"Start timeline",Settings!$Z$2:$Z$21,U77)+SUMIFS(Settings!$AA$2:$AA$21,Settings!$Y$2:$Y$21,"Social media gap",Settings!$Z$2:$Z$21,V77)+IF(F77="",0,IF(COUNTIF(Settings!$AC$2:$AC$6,F77)&gt;0,Settings!$AA$20,Settings!$AA$21)))</f>
        <v/>
      </c>
      <c r="X77" s="44" t="str">
        <f aca="false">IF(E77="","",IF(COUNTA(Q77:V77)=0,"Not scored",IF(COUNTA(Q77:V77)&lt;6,"Partly scored ("&amp;COUNTA(Q77:V77)&amp;"/6)",IF(W77&gt;=Settings!$S$8,"Hot",IF(W77&gt;=Settings!$S$9,"Warm","Cold")))))</f>
        <v/>
      </c>
      <c r="Y77" s="44" t="str">
        <f aca="false">IF(E77="","",IF(AND(Q77="No",S77="No"),"🚩 Budget  ·  🚩 No one on camera",IF(Q77="No","🚩 Budget under AED 5k",IF(S77="No","🚩 No one on camera",""))))</f>
        <v/>
      </c>
      <c r="Z77" s="17"/>
      <c r="AA77" s="17"/>
      <c r="AB77" s="40"/>
      <c r="AC77" s="17"/>
      <c r="AD77" s="45" t="str">
        <f aca="false">IF(OR(E77="",AB77="",OR(AA77="Contract signed + paid",AA77="Closed – No response",AA77="Lost"),N(AC77)&gt;=Settings!$S$3),"",AB77+Settings!$S$2)</f>
        <v/>
      </c>
      <c r="AE77" s="40"/>
      <c r="AF77" s="41"/>
      <c r="AG77" s="17"/>
      <c r="AH77" s="17"/>
      <c r="AI77" s="17"/>
      <c r="AJ77" s="46" t="str">
        <f aca="true">IF(OR(E77="",B77=""),"",INT(TODAY()-B77))</f>
        <v/>
      </c>
      <c r="AK77" s="44" t="str">
        <f aca="true">IF(E77="","",IF(OR(COUNTIFS(Clients!$C$2:$C$501,E77,Clients!$S$2:$S$501,"Paid")&gt;0,AND(I77&lt;&gt;"",COUNTIFS(Clients!$E$2:$E$501,I77,Clients!$S$2:$S$501,"Paid")&gt;0)),"⚠ Refunded before – no free video",IF(OR(AA77="Contract signed + paid",AA77="Closed – No response",AA77="Lost"),"",IF(AA77="","Set a stage",IF(AND(AA77="Proposal sent",COUNTA(Q77:V77)&lt;6),"Score this lead – proposal sent unscored",IF(N(AC77)&gt;=Settings!$S$3,"Close – 4 follow-ups sent",IF(AD77="",IF(AB77="","Make first contact",""),IF(TODAY()&gt;AD77,"OVERDUE follow-up",IF(TODAY()=AD77,"Follow up today","")))))))))</f>
        <v/>
      </c>
    </row>
    <row r="78" customFormat="false" ht="15" hidden="false" customHeight="false" outlineLevel="0" collapsed="false">
      <c r="A78" s="17"/>
      <c r="B78" s="40"/>
      <c r="C78" s="41"/>
      <c r="D78" s="17"/>
      <c r="E78" s="17"/>
      <c r="F78" s="17"/>
      <c r="G78" s="17"/>
      <c r="H78" s="17"/>
      <c r="I78" s="42"/>
      <c r="J78" s="17"/>
      <c r="K78" s="17"/>
      <c r="L78" s="17"/>
      <c r="M78" s="17"/>
      <c r="N78" s="40"/>
      <c r="O78" s="41"/>
      <c r="P78" s="43" t="str">
        <f aca="false">IF(OR(B78="",N78=""),"",ROUND(((N78+N(O78))-(B78+N(C78)))*24,1))</f>
        <v/>
      </c>
      <c r="Q78" s="17"/>
      <c r="R78" s="17"/>
      <c r="S78" s="17"/>
      <c r="T78" s="17"/>
      <c r="U78" s="17"/>
      <c r="V78" s="17"/>
      <c r="W78" s="44" t="str">
        <f aca="false">IF(OR(E78="",COUNTA(Q78:V78)=0),"",SUMIFS(Settings!$AA$2:$AA$21,Settings!$Y$2:$Y$21,"Budget AED 5k+/mo?",Settings!$Z$2:$Z$21,Q78)+SUMIFS(Settings!$AA$2:$AA$21,Settings!$Y$2:$Y$21,"Decision-maker?",Settings!$Z$2:$Z$21,R78)+SUMIFS(Settings!$AA$2:$AA$21,Settings!$Y$2:$Y$21,"Someone on camera?",Settings!$Z$2:$Z$21,S78)+SUMIFS(Settings!$AA$2:$AA$21,Settings!$Y$2:$Y$21,"OK with 3-month term?",Settings!$Z$2:$Z$21,T78)+SUMIFS(Settings!$AA$2:$AA$21,Settings!$Y$2:$Y$21,"Start timeline",Settings!$Z$2:$Z$21,U78)+SUMIFS(Settings!$AA$2:$AA$21,Settings!$Y$2:$Y$21,"Social media gap",Settings!$Z$2:$Z$21,V78)+IF(F78="",0,IF(COUNTIF(Settings!$AC$2:$AC$6,F78)&gt;0,Settings!$AA$20,Settings!$AA$21)))</f>
        <v/>
      </c>
      <c r="X78" s="44" t="str">
        <f aca="false">IF(E78="","",IF(COUNTA(Q78:V78)=0,"Not scored",IF(COUNTA(Q78:V78)&lt;6,"Partly scored ("&amp;COUNTA(Q78:V78)&amp;"/6)",IF(W78&gt;=Settings!$S$8,"Hot",IF(W78&gt;=Settings!$S$9,"Warm","Cold")))))</f>
        <v/>
      </c>
      <c r="Y78" s="44" t="str">
        <f aca="false">IF(E78="","",IF(AND(Q78="No",S78="No"),"🚩 Budget  ·  🚩 No one on camera",IF(Q78="No","🚩 Budget under AED 5k",IF(S78="No","🚩 No one on camera",""))))</f>
        <v/>
      </c>
      <c r="Z78" s="17"/>
      <c r="AA78" s="17"/>
      <c r="AB78" s="40"/>
      <c r="AC78" s="17"/>
      <c r="AD78" s="45" t="str">
        <f aca="false">IF(OR(E78="",AB78="",OR(AA78="Contract signed + paid",AA78="Closed – No response",AA78="Lost"),N(AC78)&gt;=Settings!$S$3),"",AB78+Settings!$S$2)</f>
        <v/>
      </c>
      <c r="AE78" s="40"/>
      <c r="AF78" s="41"/>
      <c r="AG78" s="17"/>
      <c r="AH78" s="17"/>
      <c r="AI78" s="17"/>
      <c r="AJ78" s="46" t="str">
        <f aca="true">IF(OR(E78="",B78=""),"",INT(TODAY()-B78))</f>
        <v/>
      </c>
      <c r="AK78" s="44" t="str">
        <f aca="true">IF(E78="","",IF(OR(COUNTIFS(Clients!$C$2:$C$501,E78,Clients!$S$2:$S$501,"Paid")&gt;0,AND(I78&lt;&gt;"",COUNTIFS(Clients!$E$2:$E$501,I78,Clients!$S$2:$S$501,"Paid")&gt;0)),"⚠ Refunded before – no free video",IF(OR(AA78="Contract signed + paid",AA78="Closed – No response",AA78="Lost"),"",IF(AA78="","Set a stage",IF(AND(AA78="Proposal sent",COUNTA(Q78:V78)&lt;6),"Score this lead – proposal sent unscored",IF(N(AC78)&gt;=Settings!$S$3,"Close – 4 follow-ups sent",IF(AD78="",IF(AB78="","Make first contact",""),IF(TODAY()&gt;AD78,"OVERDUE follow-up",IF(TODAY()=AD78,"Follow up today","")))))))))</f>
        <v/>
      </c>
    </row>
    <row r="79" customFormat="false" ht="15" hidden="false" customHeight="false" outlineLevel="0" collapsed="false">
      <c r="A79" s="17"/>
      <c r="B79" s="40"/>
      <c r="C79" s="41"/>
      <c r="D79" s="17"/>
      <c r="E79" s="17"/>
      <c r="F79" s="17"/>
      <c r="G79" s="17"/>
      <c r="H79" s="17"/>
      <c r="I79" s="42"/>
      <c r="J79" s="17"/>
      <c r="K79" s="17"/>
      <c r="L79" s="17"/>
      <c r="M79" s="17"/>
      <c r="N79" s="40"/>
      <c r="O79" s="41"/>
      <c r="P79" s="43" t="str">
        <f aca="false">IF(OR(B79="",N79=""),"",ROUND(((N79+N(O79))-(B79+N(C79)))*24,1))</f>
        <v/>
      </c>
      <c r="Q79" s="17"/>
      <c r="R79" s="17"/>
      <c r="S79" s="17"/>
      <c r="T79" s="17"/>
      <c r="U79" s="17"/>
      <c r="V79" s="17"/>
      <c r="W79" s="44" t="str">
        <f aca="false">IF(OR(E79="",COUNTA(Q79:V79)=0),"",SUMIFS(Settings!$AA$2:$AA$21,Settings!$Y$2:$Y$21,"Budget AED 5k+/mo?",Settings!$Z$2:$Z$21,Q79)+SUMIFS(Settings!$AA$2:$AA$21,Settings!$Y$2:$Y$21,"Decision-maker?",Settings!$Z$2:$Z$21,R79)+SUMIFS(Settings!$AA$2:$AA$21,Settings!$Y$2:$Y$21,"Someone on camera?",Settings!$Z$2:$Z$21,S79)+SUMIFS(Settings!$AA$2:$AA$21,Settings!$Y$2:$Y$21,"OK with 3-month term?",Settings!$Z$2:$Z$21,T79)+SUMIFS(Settings!$AA$2:$AA$21,Settings!$Y$2:$Y$21,"Start timeline",Settings!$Z$2:$Z$21,U79)+SUMIFS(Settings!$AA$2:$AA$21,Settings!$Y$2:$Y$21,"Social media gap",Settings!$Z$2:$Z$21,V79)+IF(F79="",0,IF(COUNTIF(Settings!$AC$2:$AC$6,F79)&gt;0,Settings!$AA$20,Settings!$AA$21)))</f>
        <v/>
      </c>
      <c r="X79" s="44" t="str">
        <f aca="false">IF(E79="","",IF(COUNTA(Q79:V79)=0,"Not scored",IF(COUNTA(Q79:V79)&lt;6,"Partly scored ("&amp;COUNTA(Q79:V79)&amp;"/6)",IF(W79&gt;=Settings!$S$8,"Hot",IF(W79&gt;=Settings!$S$9,"Warm","Cold")))))</f>
        <v/>
      </c>
      <c r="Y79" s="44" t="str">
        <f aca="false">IF(E79="","",IF(AND(Q79="No",S79="No"),"🚩 Budget  ·  🚩 No one on camera",IF(Q79="No","🚩 Budget under AED 5k",IF(S79="No","🚩 No one on camera",""))))</f>
        <v/>
      </c>
      <c r="Z79" s="17"/>
      <c r="AA79" s="17"/>
      <c r="AB79" s="40"/>
      <c r="AC79" s="17"/>
      <c r="AD79" s="45" t="str">
        <f aca="false">IF(OR(E79="",AB79="",OR(AA79="Contract signed + paid",AA79="Closed – No response",AA79="Lost"),N(AC79)&gt;=Settings!$S$3),"",AB79+Settings!$S$2)</f>
        <v/>
      </c>
      <c r="AE79" s="40"/>
      <c r="AF79" s="41"/>
      <c r="AG79" s="17"/>
      <c r="AH79" s="17"/>
      <c r="AI79" s="17"/>
      <c r="AJ79" s="46" t="str">
        <f aca="true">IF(OR(E79="",B79=""),"",INT(TODAY()-B79))</f>
        <v/>
      </c>
      <c r="AK79" s="44" t="str">
        <f aca="true">IF(E79="","",IF(OR(COUNTIFS(Clients!$C$2:$C$501,E79,Clients!$S$2:$S$501,"Paid")&gt;0,AND(I79&lt;&gt;"",COUNTIFS(Clients!$E$2:$E$501,I79,Clients!$S$2:$S$501,"Paid")&gt;0)),"⚠ Refunded before – no free video",IF(OR(AA79="Contract signed + paid",AA79="Closed – No response",AA79="Lost"),"",IF(AA79="","Set a stage",IF(AND(AA79="Proposal sent",COUNTA(Q79:V79)&lt;6),"Score this lead – proposal sent unscored",IF(N(AC79)&gt;=Settings!$S$3,"Close – 4 follow-ups sent",IF(AD79="",IF(AB79="","Make first contact",""),IF(TODAY()&gt;AD79,"OVERDUE follow-up",IF(TODAY()=AD79,"Follow up today","")))))))))</f>
        <v/>
      </c>
    </row>
    <row r="80" customFormat="false" ht="15" hidden="false" customHeight="false" outlineLevel="0" collapsed="false">
      <c r="A80" s="17"/>
      <c r="B80" s="40"/>
      <c r="C80" s="41"/>
      <c r="D80" s="17"/>
      <c r="E80" s="17"/>
      <c r="F80" s="17"/>
      <c r="G80" s="17"/>
      <c r="H80" s="17"/>
      <c r="I80" s="42"/>
      <c r="J80" s="17"/>
      <c r="K80" s="17"/>
      <c r="L80" s="17"/>
      <c r="M80" s="17"/>
      <c r="N80" s="40"/>
      <c r="O80" s="41"/>
      <c r="P80" s="43" t="str">
        <f aca="false">IF(OR(B80="",N80=""),"",ROUND(((N80+N(O80))-(B80+N(C80)))*24,1))</f>
        <v/>
      </c>
      <c r="Q80" s="17"/>
      <c r="R80" s="17"/>
      <c r="S80" s="17"/>
      <c r="T80" s="17"/>
      <c r="U80" s="17"/>
      <c r="V80" s="17"/>
      <c r="W80" s="44" t="str">
        <f aca="false">IF(OR(E80="",COUNTA(Q80:V80)=0),"",SUMIFS(Settings!$AA$2:$AA$21,Settings!$Y$2:$Y$21,"Budget AED 5k+/mo?",Settings!$Z$2:$Z$21,Q80)+SUMIFS(Settings!$AA$2:$AA$21,Settings!$Y$2:$Y$21,"Decision-maker?",Settings!$Z$2:$Z$21,R80)+SUMIFS(Settings!$AA$2:$AA$21,Settings!$Y$2:$Y$21,"Someone on camera?",Settings!$Z$2:$Z$21,S80)+SUMIFS(Settings!$AA$2:$AA$21,Settings!$Y$2:$Y$21,"OK with 3-month term?",Settings!$Z$2:$Z$21,T80)+SUMIFS(Settings!$AA$2:$AA$21,Settings!$Y$2:$Y$21,"Start timeline",Settings!$Z$2:$Z$21,U80)+SUMIFS(Settings!$AA$2:$AA$21,Settings!$Y$2:$Y$21,"Social media gap",Settings!$Z$2:$Z$21,V80)+IF(F80="",0,IF(COUNTIF(Settings!$AC$2:$AC$6,F80)&gt;0,Settings!$AA$20,Settings!$AA$21)))</f>
        <v/>
      </c>
      <c r="X80" s="44" t="str">
        <f aca="false">IF(E80="","",IF(COUNTA(Q80:V80)=0,"Not scored",IF(COUNTA(Q80:V80)&lt;6,"Partly scored ("&amp;COUNTA(Q80:V80)&amp;"/6)",IF(W80&gt;=Settings!$S$8,"Hot",IF(W80&gt;=Settings!$S$9,"Warm","Cold")))))</f>
        <v/>
      </c>
      <c r="Y80" s="44" t="str">
        <f aca="false">IF(E80="","",IF(AND(Q80="No",S80="No"),"🚩 Budget  ·  🚩 No one on camera",IF(Q80="No","🚩 Budget under AED 5k",IF(S80="No","🚩 No one on camera",""))))</f>
        <v/>
      </c>
      <c r="Z80" s="17"/>
      <c r="AA80" s="17"/>
      <c r="AB80" s="40"/>
      <c r="AC80" s="17"/>
      <c r="AD80" s="45" t="str">
        <f aca="false">IF(OR(E80="",AB80="",OR(AA80="Contract signed + paid",AA80="Closed – No response",AA80="Lost"),N(AC80)&gt;=Settings!$S$3),"",AB80+Settings!$S$2)</f>
        <v/>
      </c>
      <c r="AE80" s="40"/>
      <c r="AF80" s="41"/>
      <c r="AG80" s="17"/>
      <c r="AH80" s="17"/>
      <c r="AI80" s="17"/>
      <c r="AJ80" s="46" t="str">
        <f aca="true">IF(OR(E80="",B80=""),"",INT(TODAY()-B80))</f>
        <v/>
      </c>
      <c r="AK80" s="44" t="str">
        <f aca="true">IF(E80="","",IF(OR(COUNTIFS(Clients!$C$2:$C$501,E80,Clients!$S$2:$S$501,"Paid")&gt;0,AND(I80&lt;&gt;"",COUNTIFS(Clients!$E$2:$E$501,I80,Clients!$S$2:$S$501,"Paid")&gt;0)),"⚠ Refunded before – no free video",IF(OR(AA80="Contract signed + paid",AA80="Closed – No response",AA80="Lost"),"",IF(AA80="","Set a stage",IF(AND(AA80="Proposal sent",COUNTA(Q80:V80)&lt;6),"Score this lead – proposal sent unscored",IF(N(AC80)&gt;=Settings!$S$3,"Close – 4 follow-ups sent",IF(AD80="",IF(AB80="","Make first contact",""),IF(TODAY()&gt;AD80,"OVERDUE follow-up",IF(TODAY()=AD80,"Follow up today","")))))))))</f>
        <v/>
      </c>
    </row>
    <row r="81" customFormat="false" ht="15" hidden="false" customHeight="false" outlineLevel="0" collapsed="false">
      <c r="A81" s="17"/>
      <c r="B81" s="40"/>
      <c r="C81" s="41"/>
      <c r="D81" s="17"/>
      <c r="E81" s="17"/>
      <c r="F81" s="17"/>
      <c r="G81" s="17"/>
      <c r="H81" s="17"/>
      <c r="I81" s="42"/>
      <c r="J81" s="17"/>
      <c r="K81" s="17"/>
      <c r="L81" s="17"/>
      <c r="M81" s="17"/>
      <c r="N81" s="40"/>
      <c r="O81" s="41"/>
      <c r="P81" s="43" t="str">
        <f aca="false">IF(OR(B81="",N81=""),"",ROUND(((N81+N(O81))-(B81+N(C81)))*24,1))</f>
        <v/>
      </c>
      <c r="Q81" s="17"/>
      <c r="R81" s="17"/>
      <c r="S81" s="17"/>
      <c r="T81" s="17"/>
      <c r="U81" s="17"/>
      <c r="V81" s="17"/>
      <c r="W81" s="44" t="str">
        <f aca="false">IF(OR(E81="",COUNTA(Q81:V81)=0),"",SUMIFS(Settings!$AA$2:$AA$21,Settings!$Y$2:$Y$21,"Budget AED 5k+/mo?",Settings!$Z$2:$Z$21,Q81)+SUMIFS(Settings!$AA$2:$AA$21,Settings!$Y$2:$Y$21,"Decision-maker?",Settings!$Z$2:$Z$21,R81)+SUMIFS(Settings!$AA$2:$AA$21,Settings!$Y$2:$Y$21,"Someone on camera?",Settings!$Z$2:$Z$21,S81)+SUMIFS(Settings!$AA$2:$AA$21,Settings!$Y$2:$Y$21,"OK with 3-month term?",Settings!$Z$2:$Z$21,T81)+SUMIFS(Settings!$AA$2:$AA$21,Settings!$Y$2:$Y$21,"Start timeline",Settings!$Z$2:$Z$21,U81)+SUMIFS(Settings!$AA$2:$AA$21,Settings!$Y$2:$Y$21,"Social media gap",Settings!$Z$2:$Z$21,V81)+IF(F81="",0,IF(COUNTIF(Settings!$AC$2:$AC$6,F81)&gt;0,Settings!$AA$20,Settings!$AA$21)))</f>
        <v/>
      </c>
      <c r="X81" s="44" t="str">
        <f aca="false">IF(E81="","",IF(COUNTA(Q81:V81)=0,"Not scored",IF(COUNTA(Q81:V81)&lt;6,"Partly scored ("&amp;COUNTA(Q81:V81)&amp;"/6)",IF(W81&gt;=Settings!$S$8,"Hot",IF(W81&gt;=Settings!$S$9,"Warm","Cold")))))</f>
        <v/>
      </c>
      <c r="Y81" s="44" t="str">
        <f aca="false">IF(E81="","",IF(AND(Q81="No",S81="No"),"🚩 Budget  ·  🚩 No one on camera",IF(Q81="No","🚩 Budget under AED 5k",IF(S81="No","🚩 No one on camera",""))))</f>
        <v/>
      </c>
      <c r="Z81" s="17"/>
      <c r="AA81" s="17"/>
      <c r="AB81" s="40"/>
      <c r="AC81" s="17"/>
      <c r="AD81" s="45" t="str">
        <f aca="false">IF(OR(E81="",AB81="",OR(AA81="Contract signed + paid",AA81="Closed – No response",AA81="Lost"),N(AC81)&gt;=Settings!$S$3),"",AB81+Settings!$S$2)</f>
        <v/>
      </c>
      <c r="AE81" s="40"/>
      <c r="AF81" s="41"/>
      <c r="AG81" s="17"/>
      <c r="AH81" s="17"/>
      <c r="AI81" s="17"/>
      <c r="AJ81" s="46" t="str">
        <f aca="true">IF(OR(E81="",B81=""),"",INT(TODAY()-B81))</f>
        <v/>
      </c>
      <c r="AK81" s="44" t="str">
        <f aca="true">IF(E81="","",IF(OR(COUNTIFS(Clients!$C$2:$C$501,E81,Clients!$S$2:$S$501,"Paid")&gt;0,AND(I81&lt;&gt;"",COUNTIFS(Clients!$E$2:$E$501,I81,Clients!$S$2:$S$501,"Paid")&gt;0)),"⚠ Refunded before – no free video",IF(OR(AA81="Contract signed + paid",AA81="Closed – No response",AA81="Lost"),"",IF(AA81="","Set a stage",IF(AND(AA81="Proposal sent",COUNTA(Q81:V81)&lt;6),"Score this lead – proposal sent unscored",IF(N(AC81)&gt;=Settings!$S$3,"Close – 4 follow-ups sent",IF(AD81="",IF(AB81="","Make first contact",""),IF(TODAY()&gt;AD81,"OVERDUE follow-up",IF(TODAY()=AD81,"Follow up today","")))))))))</f>
        <v/>
      </c>
    </row>
    <row r="82" customFormat="false" ht="15" hidden="false" customHeight="false" outlineLevel="0" collapsed="false">
      <c r="A82" s="17"/>
      <c r="B82" s="40"/>
      <c r="C82" s="41"/>
      <c r="D82" s="17"/>
      <c r="E82" s="17"/>
      <c r="F82" s="17"/>
      <c r="G82" s="17"/>
      <c r="H82" s="17"/>
      <c r="I82" s="42"/>
      <c r="J82" s="17"/>
      <c r="K82" s="17"/>
      <c r="L82" s="17"/>
      <c r="M82" s="17"/>
      <c r="N82" s="40"/>
      <c r="O82" s="41"/>
      <c r="P82" s="43" t="str">
        <f aca="false">IF(OR(B82="",N82=""),"",ROUND(((N82+N(O82))-(B82+N(C82)))*24,1))</f>
        <v/>
      </c>
      <c r="Q82" s="17"/>
      <c r="R82" s="17"/>
      <c r="S82" s="17"/>
      <c r="T82" s="17"/>
      <c r="U82" s="17"/>
      <c r="V82" s="17"/>
      <c r="W82" s="44" t="str">
        <f aca="false">IF(OR(E82="",COUNTA(Q82:V82)=0),"",SUMIFS(Settings!$AA$2:$AA$21,Settings!$Y$2:$Y$21,"Budget AED 5k+/mo?",Settings!$Z$2:$Z$21,Q82)+SUMIFS(Settings!$AA$2:$AA$21,Settings!$Y$2:$Y$21,"Decision-maker?",Settings!$Z$2:$Z$21,R82)+SUMIFS(Settings!$AA$2:$AA$21,Settings!$Y$2:$Y$21,"Someone on camera?",Settings!$Z$2:$Z$21,S82)+SUMIFS(Settings!$AA$2:$AA$21,Settings!$Y$2:$Y$21,"OK with 3-month term?",Settings!$Z$2:$Z$21,T82)+SUMIFS(Settings!$AA$2:$AA$21,Settings!$Y$2:$Y$21,"Start timeline",Settings!$Z$2:$Z$21,U82)+SUMIFS(Settings!$AA$2:$AA$21,Settings!$Y$2:$Y$21,"Social media gap",Settings!$Z$2:$Z$21,V82)+IF(F82="",0,IF(COUNTIF(Settings!$AC$2:$AC$6,F82)&gt;0,Settings!$AA$20,Settings!$AA$21)))</f>
        <v/>
      </c>
      <c r="X82" s="44" t="str">
        <f aca="false">IF(E82="","",IF(COUNTA(Q82:V82)=0,"Not scored",IF(COUNTA(Q82:V82)&lt;6,"Partly scored ("&amp;COUNTA(Q82:V82)&amp;"/6)",IF(W82&gt;=Settings!$S$8,"Hot",IF(W82&gt;=Settings!$S$9,"Warm","Cold")))))</f>
        <v/>
      </c>
      <c r="Y82" s="44" t="str">
        <f aca="false">IF(E82="","",IF(AND(Q82="No",S82="No"),"🚩 Budget  ·  🚩 No one on camera",IF(Q82="No","🚩 Budget under AED 5k",IF(S82="No","🚩 No one on camera",""))))</f>
        <v/>
      </c>
      <c r="Z82" s="17"/>
      <c r="AA82" s="17"/>
      <c r="AB82" s="40"/>
      <c r="AC82" s="17"/>
      <c r="AD82" s="45" t="str">
        <f aca="false">IF(OR(E82="",AB82="",OR(AA82="Contract signed + paid",AA82="Closed – No response",AA82="Lost"),N(AC82)&gt;=Settings!$S$3),"",AB82+Settings!$S$2)</f>
        <v/>
      </c>
      <c r="AE82" s="40"/>
      <c r="AF82" s="41"/>
      <c r="AG82" s="17"/>
      <c r="AH82" s="17"/>
      <c r="AI82" s="17"/>
      <c r="AJ82" s="46" t="str">
        <f aca="true">IF(OR(E82="",B82=""),"",INT(TODAY()-B82))</f>
        <v/>
      </c>
      <c r="AK82" s="44" t="str">
        <f aca="true">IF(E82="","",IF(OR(COUNTIFS(Clients!$C$2:$C$501,E82,Clients!$S$2:$S$501,"Paid")&gt;0,AND(I82&lt;&gt;"",COUNTIFS(Clients!$E$2:$E$501,I82,Clients!$S$2:$S$501,"Paid")&gt;0)),"⚠ Refunded before – no free video",IF(OR(AA82="Contract signed + paid",AA82="Closed – No response",AA82="Lost"),"",IF(AA82="","Set a stage",IF(AND(AA82="Proposal sent",COUNTA(Q82:V82)&lt;6),"Score this lead – proposal sent unscored",IF(N(AC82)&gt;=Settings!$S$3,"Close – 4 follow-ups sent",IF(AD82="",IF(AB82="","Make first contact",""),IF(TODAY()&gt;AD82,"OVERDUE follow-up",IF(TODAY()=AD82,"Follow up today","")))))))))</f>
        <v/>
      </c>
    </row>
    <row r="83" customFormat="false" ht="15" hidden="false" customHeight="false" outlineLevel="0" collapsed="false">
      <c r="A83" s="17"/>
      <c r="B83" s="40"/>
      <c r="C83" s="41"/>
      <c r="D83" s="17"/>
      <c r="E83" s="17"/>
      <c r="F83" s="17"/>
      <c r="G83" s="17"/>
      <c r="H83" s="17"/>
      <c r="I83" s="42"/>
      <c r="J83" s="17"/>
      <c r="K83" s="17"/>
      <c r="L83" s="17"/>
      <c r="M83" s="17"/>
      <c r="N83" s="40"/>
      <c r="O83" s="41"/>
      <c r="P83" s="43" t="str">
        <f aca="false">IF(OR(B83="",N83=""),"",ROUND(((N83+N(O83))-(B83+N(C83)))*24,1))</f>
        <v/>
      </c>
      <c r="Q83" s="17"/>
      <c r="R83" s="17"/>
      <c r="S83" s="17"/>
      <c r="T83" s="17"/>
      <c r="U83" s="17"/>
      <c r="V83" s="17"/>
      <c r="W83" s="44" t="str">
        <f aca="false">IF(OR(E83="",COUNTA(Q83:V83)=0),"",SUMIFS(Settings!$AA$2:$AA$21,Settings!$Y$2:$Y$21,"Budget AED 5k+/mo?",Settings!$Z$2:$Z$21,Q83)+SUMIFS(Settings!$AA$2:$AA$21,Settings!$Y$2:$Y$21,"Decision-maker?",Settings!$Z$2:$Z$21,R83)+SUMIFS(Settings!$AA$2:$AA$21,Settings!$Y$2:$Y$21,"Someone on camera?",Settings!$Z$2:$Z$21,S83)+SUMIFS(Settings!$AA$2:$AA$21,Settings!$Y$2:$Y$21,"OK with 3-month term?",Settings!$Z$2:$Z$21,T83)+SUMIFS(Settings!$AA$2:$AA$21,Settings!$Y$2:$Y$21,"Start timeline",Settings!$Z$2:$Z$21,U83)+SUMIFS(Settings!$AA$2:$AA$21,Settings!$Y$2:$Y$21,"Social media gap",Settings!$Z$2:$Z$21,V83)+IF(F83="",0,IF(COUNTIF(Settings!$AC$2:$AC$6,F83)&gt;0,Settings!$AA$20,Settings!$AA$21)))</f>
        <v/>
      </c>
      <c r="X83" s="44" t="str">
        <f aca="false">IF(E83="","",IF(COUNTA(Q83:V83)=0,"Not scored",IF(COUNTA(Q83:V83)&lt;6,"Partly scored ("&amp;COUNTA(Q83:V83)&amp;"/6)",IF(W83&gt;=Settings!$S$8,"Hot",IF(W83&gt;=Settings!$S$9,"Warm","Cold")))))</f>
        <v/>
      </c>
      <c r="Y83" s="44" t="str">
        <f aca="false">IF(E83="","",IF(AND(Q83="No",S83="No"),"🚩 Budget  ·  🚩 No one on camera",IF(Q83="No","🚩 Budget under AED 5k",IF(S83="No","🚩 No one on camera",""))))</f>
        <v/>
      </c>
      <c r="Z83" s="17"/>
      <c r="AA83" s="17"/>
      <c r="AB83" s="40"/>
      <c r="AC83" s="17"/>
      <c r="AD83" s="45" t="str">
        <f aca="false">IF(OR(E83="",AB83="",OR(AA83="Contract signed + paid",AA83="Closed – No response",AA83="Lost"),N(AC83)&gt;=Settings!$S$3),"",AB83+Settings!$S$2)</f>
        <v/>
      </c>
      <c r="AE83" s="40"/>
      <c r="AF83" s="41"/>
      <c r="AG83" s="17"/>
      <c r="AH83" s="17"/>
      <c r="AI83" s="17"/>
      <c r="AJ83" s="46" t="str">
        <f aca="true">IF(OR(E83="",B83=""),"",INT(TODAY()-B83))</f>
        <v/>
      </c>
      <c r="AK83" s="44" t="str">
        <f aca="true">IF(E83="","",IF(OR(COUNTIFS(Clients!$C$2:$C$501,E83,Clients!$S$2:$S$501,"Paid")&gt;0,AND(I83&lt;&gt;"",COUNTIFS(Clients!$E$2:$E$501,I83,Clients!$S$2:$S$501,"Paid")&gt;0)),"⚠ Refunded before – no free video",IF(OR(AA83="Contract signed + paid",AA83="Closed – No response",AA83="Lost"),"",IF(AA83="","Set a stage",IF(AND(AA83="Proposal sent",COUNTA(Q83:V83)&lt;6),"Score this lead – proposal sent unscored",IF(N(AC83)&gt;=Settings!$S$3,"Close – 4 follow-ups sent",IF(AD83="",IF(AB83="","Make first contact",""),IF(TODAY()&gt;AD83,"OVERDUE follow-up",IF(TODAY()=AD83,"Follow up today","")))))))))</f>
        <v/>
      </c>
    </row>
    <row r="84" customFormat="false" ht="15" hidden="false" customHeight="false" outlineLevel="0" collapsed="false">
      <c r="A84" s="17"/>
      <c r="B84" s="40"/>
      <c r="C84" s="41"/>
      <c r="D84" s="17"/>
      <c r="E84" s="17"/>
      <c r="F84" s="17"/>
      <c r="G84" s="17"/>
      <c r="H84" s="17"/>
      <c r="I84" s="42"/>
      <c r="J84" s="17"/>
      <c r="K84" s="17"/>
      <c r="L84" s="17"/>
      <c r="M84" s="17"/>
      <c r="N84" s="40"/>
      <c r="O84" s="41"/>
      <c r="P84" s="43" t="str">
        <f aca="false">IF(OR(B84="",N84=""),"",ROUND(((N84+N(O84))-(B84+N(C84)))*24,1))</f>
        <v/>
      </c>
      <c r="Q84" s="17"/>
      <c r="R84" s="17"/>
      <c r="S84" s="17"/>
      <c r="T84" s="17"/>
      <c r="U84" s="17"/>
      <c r="V84" s="17"/>
      <c r="W84" s="44" t="str">
        <f aca="false">IF(OR(E84="",COUNTA(Q84:V84)=0),"",SUMIFS(Settings!$AA$2:$AA$21,Settings!$Y$2:$Y$21,"Budget AED 5k+/mo?",Settings!$Z$2:$Z$21,Q84)+SUMIFS(Settings!$AA$2:$AA$21,Settings!$Y$2:$Y$21,"Decision-maker?",Settings!$Z$2:$Z$21,R84)+SUMIFS(Settings!$AA$2:$AA$21,Settings!$Y$2:$Y$21,"Someone on camera?",Settings!$Z$2:$Z$21,S84)+SUMIFS(Settings!$AA$2:$AA$21,Settings!$Y$2:$Y$21,"OK with 3-month term?",Settings!$Z$2:$Z$21,T84)+SUMIFS(Settings!$AA$2:$AA$21,Settings!$Y$2:$Y$21,"Start timeline",Settings!$Z$2:$Z$21,U84)+SUMIFS(Settings!$AA$2:$AA$21,Settings!$Y$2:$Y$21,"Social media gap",Settings!$Z$2:$Z$21,V84)+IF(F84="",0,IF(COUNTIF(Settings!$AC$2:$AC$6,F84)&gt;0,Settings!$AA$20,Settings!$AA$21)))</f>
        <v/>
      </c>
      <c r="X84" s="44" t="str">
        <f aca="false">IF(E84="","",IF(COUNTA(Q84:V84)=0,"Not scored",IF(COUNTA(Q84:V84)&lt;6,"Partly scored ("&amp;COUNTA(Q84:V84)&amp;"/6)",IF(W84&gt;=Settings!$S$8,"Hot",IF(W84&gt;=Settings!$S$9,"Warm","Cold")))))</f>
        <v/>
      </c>
      <c r="Y84" s="44" t="str">
        <f aca="false">IF(E84="","",IF(AND(Q84="No",S84="No"),"🚩 Budget  ·  🚩 No one on camera",IF(Q84="No","🚩 Budget under AED 5k",IF(S84="No","🚩 No one on camera",""))))</f>
        <v/>
      </c>
      <c r="Z84" s="17"/>
      <c r="AA84" s="17"/>
      <c r="AB84" s="40"/>
      <c r="AC84" s="17"/>
      <c r="AD84" s="45" t="str">
        <f aca="false">IF(OR(E84="",AB84="",OR(AA84="Contract signed + paid",AA84="Closed – No response",AA84="Lost"),N(AC84)&gt;=Settings!$S$3),"",AB84+Settings!$S$2)</f>
        <v/>
      </c>
      <c r="AE84" s="40"/>
      <c r="AF84" s="41"/>
      <c r="AG84" s="17"/>
      <c r="AH84" s="17"/>
      <c r="AI84" s="17"/>
      <c r="AJ84" s="46" t="str">
        <f aca="true">IF(OR(E84="",B84=""),"",INT(TODAY()-B84))</f>
        <v/>
      </c>
      <c r="AK84" s="44" t="str">
        <f aca="true">IF(E84="","",IF(OR(COUNTIFS(Clients!$C$2:$C$501,E84,Clients!$S$2:$S$501,"Paid")&gt;0,AND(I84&lt;&gt;"",COUNTIFS(Clients!$E$2:$E$501,I84,Clients!$S$2:$S$501,"Paid")&gt;0)),"⚠ Refunded before – no free video",IF(OR(AA84="Contract signed + paid",AA84="Closed – No response",AA84="Lost"),"",IF(AA84="","Set a stage",IF(AND(AA84="Proposal sent",COUNTA(Q84:V84)&lt;6),"Score this lead – proposal sent unscored",IF(N(AC84)&gt;=Settings!$S$3,"Close – 4 follow-ups sent",IF(AD84="",IF(AB84="","Make first contact",""),IF(TODAY()&gt;AD84,"OVERDUE follow-up",IF(TODAY()=AD84,"Follow up today","")))))))))</f>
        <v/>
      </c>
    </row>
    <row r="85" customFormat="false" ht="15" hidden="false" customHeight="false" outlineLevel="0" collapsed="false">
      <c r="A85" s="17"/>
      <c r="B85" s="40"/>
      <c r="C85" s="41"/>
      <c r="D85" s="17"/>
      <c r="E85" s="17"/>
      <c r="F85" s="17"/>
      <c r="G85" s="17"/>
      <c r="H85" s="17"/>
      <c r="I85" s="42"/>
      <c r="J85" s="17"/>
      <c r="K85" s="17"/>
      <c r="L85" s="17"/>
      <c r="M85" s="17"/>
      <c r="N85" s="40"/>
      <c r="O85" s="41"/>
      <c r="P85" s="43" t="str">
        <f aca="false">IF(OR(B85="",N85=""),"",ROUND(((N85+N(O85))-(B85+N(C85)))*24,1))</f>
        <v/>
      </c>
      <c r="Q85" s="17"/>
      <c r="R85" s="17"/>
      <c r="S85" s="17"/>
      <c r="T85" s="17"/>
      <c r="U85" s="17"/>
      <c r="V85" s="17"/>
      <c r="W85" s="44" t="str">
        <f aca="false">IF(OR(E85="",COUNTA(Q85:V85)=0),"",SUMIFS(Settings!$AA$2:$AA$21,Settings!$Y$2:$Y$21,"Budget AED 5k+/mo?",Settings!$Z$2:$Z$21,Q85)+SUMIFS(Settings!$AA$2:$AA$21,Settings!$Y$2:$Y$21,"Decision-maker?",Settings!$Z$2:$Z$21,R85)+SUMIFS(Settings!$AA$2:$AA$21,Settings!$Y$2:$Y$21,"Someone on camera?",Settings!$Z$2:$Z$21,S85)+SUMIFS(Settings!$AA$2:$AA$21,Settings!$Y$2:$Y$21,"OK with 3-month term?",Settings!$Z$2:$Z$21,T85)+SUMIFS(Settings!$AA$2:$AA$21,Settings!$Y$2:$Y$21,"Start timeline",Settings!$Z$2:$Z$21,U85)+SUMIFS(Settings!$AA$2:$AA$21,Settings!$Y$2:$Y$21,"Social media gap",Settings!$Z$2:$Z$21,V85)+IF(F85="",0,IF(COUNTIF(Settings!$AC$2:$AC$6,F85)&gt;0,Settings!$AA$20,Settings!$AA$21)))</f>
        <v/>
      </c>
      <c r="X85" s="44" t="str">
        <f aca="false">IF(E85="","",IF(COUNTA(Q85:V85)=0,"Not scored",IF(COUNTA(Q85:V85)&lt;6,"Partly scored ("&amp;COUNTA(Q85:V85)&amp;"/6)",IF(W85&gt;=Settings!$S$8,"Hot",IF(W85&gt;=Settings!$S$9,"Warm","Cold")))))</f>
        <v/>
      </c>
      <c r="Y85" s="44" t="str">
        <f aca="false">IF(E85="","",IF(AND(Q85="No",S85="No"),"🚩 Budget  ·  🚩 No one on camera",IF(Q85="No","🚩 Budget under AED 5k",IF(S85="No","🚩 No one on camera",""))))</f>
        <v/>
      </c>
      <c r="Z85" s="17"/>
      <c r="AA85" s="17"/>
      <c r="AB85" s="40"/>
      <c r="AC85" s="17"/>
      <c r="AD85" s="45" t="str">
        <f aca="false">IF(OR(E85="",AB85="",OR(AA85="Contract signed + paid",AA85="Closed – No response",AA85="Lost"),N(AC85)&gt;=Settings!$S$3),"",AB85+Settings!$S$2)</f>
        <v/>
      </c>
      <c r="AE85" s="40"/>
      <c r="AF85" s="41"/>
      <c r="AG85" s="17"/>
      <c r="AH85" s="17"/>
      <c r="AI85" s="17"/>
      <c r="AJ85" s="46" t="str">
        <f aca="true">IF(OR(E85="",B85=""),"",INT(TODAY()-B85))</f>
        <v/>
      </c>
      <c r="AK85" s="44" t="str">
        <f aca="true">IF(E85="","",IF(OR(COUNTIFS(Clients!$C$2:$C$501,E85,Clients!$S$2:$S$501,"Paid")&gt;0,AND(I85&lt;&gt;"",COUNTIFS(Clients!$E$2:$E$501,I85,Clients!$S$2:$S$501,"Paid")&gt;0)),"⚠ Refunded before – no free video",IF(OR(AA85="Contract signed + paid",AA85="Closed – No response",AA85="Lost"),"",IF(AA85="","Set a stage",IF(AND(AA85="Proposal sent",COUNTA(Q85:V85)&lt;6),"Score this lead – proposal sent unscored",IF(N(AC85)&gt;=Settings!$S$3,"Close – 4 follow-ups sent",IF(AD85="",IF(AB85="","Make first contact",""),IF(TODAY()&gt;AD85,"OVERDUE follow-up",IF(TODAY()=AD85,"Follow up today","")))))))))</f>
        <v/>
      </c>
    </row>
    <row r="86" customFormat="false" ht="15" hidden="false" customHeight="false" outlineLevel="0" collapsed="false">
      <c r="A86" s="17"/>
      <c r="B86" s="40"/>
      <c r="C86" s="41"/>
      <c r="D86" s="17"/>
      <c r="E86" s="17"/>
      <c r="F86" s="17"/>
      <c r="G86" s="17"/>
      <c r="H86" s="17"/>
      <c r="I86" s="42"/>
      <c r="J86" s="17"/>
      <c r="K86" s="17"/>
      <c r="L86" s="17"/>
      <c r="M86" s="17"/>
      <c r="N86" s="40"/>
      <c r="O86" s="41"/>
      <c r="P86" s="43" t="str">
        <f aca="false">IF(OR(B86="",N86=""),"",ROUND(((N86+N(O86))-(B86+N(C86)))*24,1))</f>
        <v/>
      </c>
      <c r="Q86" s="17"/>
      <c r="R86" s="17"/>
      <c r="S86" s="17"/>
      <c r="T86" s="17"/>
      <c r="U86" s="17"/>
      <c r="V86" s="17"/>
      <c r="W86" s="44" t="str">
        <f aca="false">IF(OR(E86="",COUNTA(Q86:V86)=0),"",SUMIFS(Settings!$AA$2:$AA$21,Settings!$Y$2:$Y$21,"Budget AED 5k+/mo?",Settings!$Z$2:$Z$21,Q86)+SUMIFS(Settings!$AA$2:$AA$21,Settings!$Y$2:$Y$21,"Decision-maker?",Settings!$Z$2:$Z$21,R86)+SUMIFS(Settings!$AA$2:$AA$21,Settings!$Y$2:$Y$21,"Someone on camera?",Settings!$Z$2:$Z$21,S86)+SUMIFS(Settings!$AA$2:$AA$21,Settings!$Y$2:$Y$21,"OK with 3-month term?",Settings!$Z$2:$Z$21,T86)+SUMIFS(Settings!$AA$2:$AA$21,Settings!$Y$2:$Y$21,"Start timeline",Settings!$Z$2:$Z$21,U86)+SUMIFS(Settings!$AA$2:$AA$21,Settings!$Y$2:$Y$21,"Social media gap",Settings!$Z$2:$Z$21,V86)+IF(F86="",0,IF(COUNTIF(Settings!$AC$2:$AC$6,F86)&gt;0,Settings!$AA$20,Settings!$AA$21)))</f>
        <v/>
      </c>
      <c r="X86" s="44" t="str">
        <f aca="false">IF(E86="","",IF(COUNTA(Q86:V86)=0,"Not scored",IF(COUNTA(Q86:V86)&lt;6,"Partly scored ("&amp;COUNTA(Q86:V86)&amp;"/6)",IF(W86&gt;=Settings!$S$8,"Hot",IF(W86&gt;=Settings!$S$9,"Warm","Cold")))))</f>
        <v/>
      </c>
      <c r="Y86" s="44" t="str">
        <f aca="false">IF(E86="","",IF(AND(Q86="No",S86="No"),"🚩 Budget  ·  🚩 No one on camera",IF(Q86="No","🚩 Budget under AED 5k",IF(S86="No","🚩 No one on camera",""))))</f>
        <v/>
      </c>
      <c r="Z86" s="17"/>
      <c r="AA86" s="17"/>
      <c r="AB86" s="40"/>
      <c r="AC86" s="17"/>
      <c r="AD86" s="45" t="str">
        <f aca="false">IF(OR(E86="",AB86="",OR(AA86="Contract signed + paid",AA86="Closed – No response",AA86="Lost"),N(AC86)&gt;=Settings!$S$3),"",AB86+Settings!$S$2)</f>
        <v/>
      </c>
      <c r="AE86" s="40"/>
      <c r="AF86" s="41"/>
      <c r="AG86" s="17"/>
      <c r="AH86" s="17"/>
      <c r="AI86" s="17"/>
      <c r="AJ86" s="46" t="str">
        <f aca="true">IF(OR(E86="",B86=""),"",INT(TODAY()-B86))</f>
        <v/>
      </c>
      <c r="AK86" s="44" t="str">
        <f aca="true">IF(E86="","",IF(OR(COUNTIFS(Clients!$C$2:$C$501,E86,Clients!$S$2:$S$501,"Paid")&gt;0,AND(I86&lt;&gt;"",COUNTIFS(Clients!$E$2:$E$501,I86,Clients!$S$2:$S$501,"Paid")&gt;0)),"⚠ Refunded before – no free video",IF(OR(AA86="Contract signed + paid",AA86="Closed – No response",AA86="Lost"),"",IF(AA86="","Set a stage",IF(AND(AA86="Proposal sent",COUNTA(Q86:V86)&lt;6),"Score this lead – proposal sent unscored",IF(N(AC86)&gt;=Settings!$S$3,"Close – 4 follow-ups sent",IF(AD86="",IF(AB86="","Make first contact",""),IF(TODAY()&gt;AD86,"OVERDUE follow-up",IF(TODAY()=AD86,"Follow up today","")))))))))</f>
        <v/>
      </c>
    </row>
    <row r="87" customFormat="false" ht="15" hidden="false" customHeight="false" outlineLevel="0" collapsed="false">
      <c r="A87" s="17"/>
      <c r="B87" s="40"/>
      <c r="C87" s="41"/>
      <c r="D87" s="17"/>
      <c r="E87" s="17"/>
      <c r="F87" s="17"/>
      <c r="G87" s="17"/>
      <c r="H87" s="17"/>
      <c r="I87" s="42"/>
      <c r="J87" s="17"/>
      <c r="K87" s="17"/>
      <c r="L87" s="17"/>
      <c r="M87" s="17"/>
      <c r="N87" s="40"/>
      <c r="O87" s="41"/>
      <c r="P87" s="43" t="str">
        <f aca="false">IF(OR(B87="",N87=""),"",ROUND(((N87+N(O87))-(B87+N(C87)))*24,1))</f>
        <v/>
      </c>
      <c r="Q87" s="17"/>
      <c r="R87" s="17"/>
      <c r="S87" s="17"/>
      <c r="T87" s="17"/>
      <c r="U87" s="17"/>
      <c r="V87" s="17"/>
      <c r="W87" s="44" t="str">
        <f aca="false">IF(OR(E87="",COUNTA(Q87:V87)=0),"",SUMIFS(Settings!$AA$2:$AA$21,Settings!$Y$2:$Y$21,"Budget AED 5k+/mo?",Settings!$Z$2:$Z$21,Q87)+SUMIFS(Settings!$AA$2:$AA$21,Settings!$Y$2:$Y$21,"Decision-maker?",Settings!$Z$2:$Z$21,R87)+SUMIFS(Settings!$AA$2:$AA$21,Settings!$Y$2:$Y$21,"Someone on camera?",Settings!$Z$2:$Z$21,S87)+SUMIFS(Settings!$AA$2:$AA$21,Settings!$Y$2:$Y$21,"OK with 3-month term?",Settings!$Z$2:$Z$21,T87)+SUMIFS(Settings!$AA$2:$AA$21,Settings!$Y$2:$Y$21,"Start timeline",Settings!$Z$2:$Z$21,U87)+SUMIFS(Settings!$AA$2:$AA$21,Settings!$Y$2:$Y$21,"Social media gap",Settings!$Z$2:$Z$21,V87)+IF(F87="",0,IF(COUNTIF(Settings!$AC$2:$AC$6,F87)&gt;0,Settings!$AA$20,Settings!$AA$21)))</f>
        <v/>
      </c>
      <c r="X87" s="44" t="str">
        <f aca="false">IF(E87="","",IF(COUNTA(Q87:V87)=0,"Not scored",IF(COUNTA(Q87:V87)&lt;6,"Partly scored ("&amp;COUNTA(Q87:V87)&amp;"/6)",IF(W87&gt;=Settings!$S$8,"Hot",IF(W87&gt;=Settings!$S$9,"Warm","Cold")))))</f>
        <v/>
      </c>
      <c r="Y87" s="44" t="str">
        <f aca="false">IF(E87="","",IF(AND(Q87="No",S87="No"),"🚩 Budget  ·  🚩 No one on camera",IF(Q87="No","🚩 Budget under AED 5k",IF(S87="No","🚩 No one on camera",""))))</f>
        <v/>
      </c>
      <c r="Z87" s="17"/>
      <c r="AA87" s="17"/>
      <c r="AB87" s="40"/>
      <c r="AC87" s="17"/>
      <c r="AD87" s="45" t="str">
        <f aca="false">IF(OR(E87="",AB87="",OR(AA87="Contract signed + paid",AA87="Closed – No response",AA87="Lost"),N(AC87)&gt;=Settings!$S$3),"",AB87+Settings!$S$2)</f>
        <v/>
      </c>
      <c r="AE87" s="40"/>
      <c r="AF87" s="41"/>
      <c r="AG87" s="17"/>
      <c r="AH87" s="17"/>
      <c r="AI87" s="17"/>
      <c r="AJ87" s="46" t="str">
        <f aca="true">IF(OR(E87="",B87=""),"",INT(TODAY()-B87))</f>
        <v/>
      </c>
      <c r="AK87" s="44" t="str">
        <f aca="true">IF(E87="","",IF(OR(COUNTIFS(Clients!$C$2:$C$501,E87,Clients!$S$2:$S$501,"Paid")&gt;0,AND(I87&lt;&gt;"",COUNTIFS(Clients!$E$2:$E$501,I87,Clients!$S$2:$S$501,"Paid")&gt;0)),"⚠ Refunded before – no free video",IF(OR(AA87="Contract signed + paid",AA87="Closed – No response",AA87="Lost"),"",IF(AA87="","Set a stage",IF(AND(AA87="Proposal sent",COUNTA(Q87:V87)&lt;6),"Score this lead – proposal sent unscored",IF(N(AC87)&gt;=Settings!$S$3,"Close – 4 follow-ups sent",IF(AD87="",IF(AB87="","Make first contact",""),IF(TODAY()&gt;AD87,"OVERDUE follow-up",IF(TODAY()=AD87,"Follow up today","")))))))))</f>
        <v/>
      </c>
    </row>
    <row r="88" customFormat="false" ht="15" hidden="false" customHeight="false" outlineLevel="0" collapsed="false">
      <c r="A88" s="17"/>
      <c r="B88" s="40"/>
      <c r="C88" s="41"/>
      <c r="D88" s="17"/>
      <c r="E88" s="17"/>
      <c r="F88" s="17"/>
      <c r="G88" s="17"/>
      <c r="H88" s="17"/>
      <c r="I88" s="42"/>
      <c r="J88" s="17"/>
      <c r="K88" s="17"/>
      <c r="L88" s="17"/>
      <c r="M88" s="17"/>
      <c r="N88" s="40"/>
      <c r="O88" s="41"/>
      <c r="P88" s="43" t="str">
        <f aca="false">IF(OR(B88="",N88=""),"",ROUND(((N88+N(O88))-(B88+N(C88)))*24,1))</f>
        <v/>
      </c>
      <c r="Q88" s="17"/>
      <c r="R88" s="17"/>
      <c r="S88" s="17"/>
      <c r="T88" s="17"/>
      <c r="U88" s="17"/>
      <c r="V88" s="17"/>
      <c r="W88" s="44" t="str">
        <f aca="false">IF(OR(E88="",COUNTA(Q88:V88)=0),"",SUMIFS(Settings!$AA$2:$AA$21,Settings!$Y$2:$Y$21,"Budget AED 5k+/mo?",Settings!$Z$2:$Z$21,Q88)+SUMIFS(Settings!$AA$2:$AA$21,Settings!$Y$2:$Y$21,"Decision-maker?",Settings!$Z$2:$Z$21,R88)+SUMIFS(Settings!$AA$2:$AA$21,Settings!$Y$2:$Y$21,"Someone on camera?",Settings!$Z$2:$Z$21,S88)+SUMIFS(Settings!$AA$2:$AA$21,Settings!$Y$2:$Y$21,"OK with 3-month term?",Settings!$Z$2:$Z$21,T88)+SUMIFS(Settings!$AA$2:$AA$21,Settings!$Y$2:$Y$21,"Start timeline",Settings!$Z$2:$Z$21,U88)+SUMIFS(Settings!$AA$2:$AA$21,Settings!$Y$2:$Y$21,"Social media gap",Settings!$Z$2:$Z$21,V88)+IF(F88="",0,IF(COUNTIF(Settings!$AC$2:$AC$6,F88)&gt;0,Settings!$AA$20,Settings!$AA$21)))</f>
        <v/>
      </c>
      <c r="X88" s="44" t="str">
        <f aca="false">IF(E88="","",IF(COUNTA(Q88:V88)=0,"Not scored",IF(COUNTA(Q88:V88)&lt;6,"Partly scored ("&amp;COUNTA(Q88:V88)&amp;"/6)",IF(W88&gt;=Settings!$S$8,"Hot",IF(W88&gt;=Settings!$S$9,"Warm","Cold")))))</f>
        <v/>
      </c>
      <c r="Y88" s="44" t="str">
        <f aca="false">IF(E88="","",IF(AND(Q88="No",S88="No"),"🚩 Budget  ·  🚩 No one on camera",IF(Q88="No","🚩 Budget under AED 5k",IF(S88="No","🚩 No one on camera",""))))</f>
        <v/>
      </c>
      <c r="Z88" s="17"/>
      <c r="AA88" s="17"/>
      <c r="AB88" s="40"/>
      <c r="AC88" s="17"/>
      <c r="AD88" s="45" t="str">
        <f aca="false">IF(OR(E88="",AB88="",OR(AA88="Contract signed + paid",AA88="Closed – No response",AA88="Lost"),N(AC88)&gt;=Settings!$S$3),"",AB88+Settings!$S$2)</f>
        <v/>
      </c>
      <c r="AE88" s="40"/>
      <c r="AF88" s="41"/>
      <c r="AG88" s="17"/>
      <c r="AH88" s="17"/>
      <c r="AI88" s="17"/>
      <c r="AJ88" s="46" t="str">
        <f aca="true">IF(OR(E88="",B88=""),"",INT(TODAY()-B88))</f>
        <v/>
      </c>
      <c r="AK88" s="44" t="str">
        <f aca="true">IF(E88="","",IF(OR(COUNTIFS(Clients!$C$2:$C$501,E88,Clients!$S$2:$S$501,"Paid")&gt;0,AND(I88&lt;&gt;"",COUNTIFS(Clients!$E$2:$E$501,I88,Clients!$S$2:$S$501,"Paid")&gt;0)),"⚠ Refunded before – no free video",IF(OR(AA88="Contract signed + paid",AA88="Closed – No response",AA88="Lost"),"",IF(AA88="","Set a stage",IF(AND(AA88="Proposal sent",COUNTA(Q88:V88)&lt;6),"Score this lead – proposal sent unscored",IF(N(AC88)&gt;=Settings!$S$3,"Close – 4 follow-ups sent",IF(AD88="",IF(AB88="","Make first contact",""),IF(TODAY()&gt;AD88,"OVERDUE follow-up",IF(TODAY()=AD88,"Follow up today","")))))))))</f>
        <v/>
      </c>
    </row>
    <row r="89" customFormat="false" ht="15" hidden="false" customHeight="false" outlineLevel="0" collapsed="false">
      <c r="A89" s="17"/>
      <c r="B89" s="40"/>
      <c r="C89" s="41"/>
      <c r="D89" s="17"/>
      <c r="E89" s="17"/>
      <c r="F89" s="17"/>
      <c r="G89" s="17"/>
      <c r="H89" s="17"/>
      <c r="I89" s="42"/>
      <c r="J89" s="17"/>
      <c r="K89" s="17"/>
      <c r="L89" s="17"/>
      <c r="M89" s="17"/>
      <c r="N89" s="40"/>
      <c r="O89" s="41"/>
      <c r="P89" s="43" t="str">
        <f aca="false">IF(OR(B89="",N89=""),"",ROUND(((N89+N(O89))-(B89+N(C89)))*24,1))</f>
        <v/>
      </c>
      <c r="Q89" s="17"/>
      <c r="R89" s="17"/>
      <c r="S89" s="17"/>
      <c r="T89" s="17"/>
      <c r="U89" s="17"/>
      <c r="V89" s="17"/>
      <c r="W89" s="44" t="str">
        <f aca="false">IF(OR(E89="",COUNTA(Q89:V89)=0),"",SUMIFS(Settings!$AA$2:$AA$21,Settings!$Y$2:$Y$21,"Budget AED 5k+/mo?",Settings!$Z$2:$Z$21,Q89)+SUMIFS(Settings!$AA$2:$AA$21,Settings!$Y$2:$Y$21,"Decision-maker?",Settings!$Z$2:$Z$21,R89)+SUMIFS(Settings!$AA$2:$AA$21,Settings!$Y$2:$Y$21,"Someone on camera?",Settings!$Z$2:$Z$21,S89)+SUMIFS(Settings!$AA$2:$AA$21,Settings!$Y$2:$Y$21,"OK with 3-month term?",Settings!$Z$2:$Z$21,T89)+SUMIFS(Settings!$AA$2:$AA$21,Settings!$Y$2:$Y$21,"Start timeline",Settings!$Z$2:$Z$21,U89)+SUMIFS(Settings!$AA$2:$AA$21,Settings!$Y$2:$Y$21,"Social media gap",Settings!$Z$2:$Z$21,V89)+IF(F89="",0,IF(COUNTIF(Settings!$AC$2:$AC$6,F89)&gt;0,Settings!$AA$20,Settings!$AA$21)))</f>
        <v/>
      </c>
      <c r="X89" s="44" t="str">
        <f aca="false">IF(E89="","",IF(COUNTA(Q89:V89)=0,"Not scored",IF(COUNTA(Q89:V89)&lt;6,"Partly scored ("&amp;COUNTA(Q89:V89)&amp;"/6)",IF(W89&gt;=Settings!$S$8,"Hot",IF(W89&gt;=Settings!$S$9,"Warm","Cold")))))</f>
        <v/>
      </c>
      <c r="Y89" s="44" t="str">
        <f aca="false">IF(E89="","",IF(AND(Q89="No",S89="No"),"🚩 Budget  ·  🚩 No one on camera",IF(Q89="No","🚩 Budget under AED 5k",IF(S89="No","🚩 No one on camera",""))))</f>
        <v/>
      </c>
      <c r="Z89" s="17"/>
      <c r="AA89" s="17"/>
      <c r="AB89" s="40"/>
      <c r="AC89" s="17"/>
      <c r="AD89" s="45" t="str">
        <f aca="false">IF(OR(E89="",AB89="",OR(AA89="Contract signed + paid",AA89="Closed – No response",AA89="Lost"),N(AC89)&gt;=Settings!$S$3),"",AB89+Settings!$S$2)</f>
        <v/>
      </c>
      <c r="AE89" s="40"/>
      <c r="AF89" s="41"/>
      <c r="AG89" s="17"/>
      <c r="AH89" s="17"/>
      <c r="AI89" s="17"/>
      <c r="AJ89" s="46" t="str">
        <f aca="true">IF(OR(E89="",B89=""),"",INT(TODAY()-B89))</f>
        <v/>
      </c>
      <c r="AK89" s="44" t="str">
        <f aca="true">IF(E89="","",IF(OR(COUNTIFS(Clients!$C$2:$C$501,E89,Clients!$S$2:$S$501,"Paid")&gt;0,AND(I89&lt;&gt;"",COUNTIFS(Clients!$E$2:$E$501,I89,Clients!$S$2:$S$501,"Paid")&gt;0)),"⚠ Refunded before – no free video",IF(OR(AA89="Contract signed + paid",AA89="Closed – No response",AA89="Lost"),"",IF(AA89="","Set a stage",IF(AND(AA89="Proposal sent",COUNTA(Q89:V89)&lt;6),"Score this lead – proposal sent unscored",IF(N(AC89)&gt;=Settings!$S$3,"Close – 4 follow-ups sent",IF(AD89="",IF(AB89="","Make first contact",""),IF(TODAY()&gt;AD89,"OVERDUE follow-up",IF(TODAY()=AD89,"Follow up today","")))))))))</f>
        <v/>
      </c>
    </row>
    <row r="90" customFormat="false" ht="15" hidden="false" customHeight="false" outlineLevel="0" collapsed="false">
      <c r="A90" s="17"/>
      <c r="B90" s="40"/>
      <c r="C90" s="41"/>
      <c r="D90" s="17"/>
      <c r="E90" s="17"/>
      <c r="F90" s="17"/>
      <c r="G90" s="17"/>
      <c r="H90" s="17"/>
      <c r="I90" s="42"/>
      <c r="J90" s="17"/>
      <c r="K90" s="17"/>
      <c r="L90" s="17"/>
      <c r="M90" s="17"/>
      <c r="N90" s="40"/>
      <c r="O90" s="41"/>
      <c r="P90" s="43" t="str">
        <f aca="false">IF(OR(B90="",N90=""),"",ROUND(((N90+N(O90))-(B90+N(C90)))*24,1))</f>
        <v/>
      </c>
      <c r="Q90" s="17"/>
      <c r="R90" s="17"/>
      <c r="S90" s="17"/>
      <c r="T90" s="17"/>
      <c r="U90" s="17"/>
      <c r="V90" s="17"/>
      <c r="W90" s="44" t="str">
        <f aca="false">IF(OR(E90="",COUNTA(Q90:V90)=0),"",SUMIFS(Settings!$AA$2:$AA$21,Settings!$Y$2:$Y$21,"Budget AED 5k+/mo?",Settings!$Z$2:$Z$21,Q90)+SUMIFS(Settings!$AA$2:$AA$21,Settings!$Y$2:$Y$21,"Decision-maker?",Settings!$Z$2:$Z$21,R90)+SUMIFS(Settings!$AA$2:$AA$21,Settings!$Y$2:$Y$21,"Someone on camera?",Settings!$Z$2:$Z$21,S90)+SUMIFS(Settings!$AA$2:$AA$21,Settings!$Y$2:$Y$21,"OK with 3-month term?",Settings!$Z$2:$Z$21,T90)+SUMIFS(Settings!$AA$2:$AA$21,Settings!$Y$2:$Y$21,"Start timeline",Settings!$Z$2:$Z$21,U90)+SUMIFS(Settings!$AA$2:$AA$21,Settings!$Y$2:$Y$21,"Social media gap",Settings!$Z$2:$Z$21,V90)+IF(F90="",0,IF(COUNTIF(Settings!$AC$2:$AC$6,F90)&gt;0,Settings!$AA$20,Settings!$AA$21)))</f>
        <v/>
      </c>
      <c r="X90" s="44" t="str">
        <f aca="false">IF(E90="","",IF(COUNTA(Q90:V90)=0,"Not scored",IF(COUNTA(Q90:V90)&lt;6,"Partly scored ("&amp;COUNTA(Q90:V90)&amp;"/6)",IF(W90&gt;=Settings!$S$8,"Hot",IF(W90&gt;=Settings!$S$9,"Warm","Cold")))))</f>
        <v/>
      </c>
      <c r="Y90" s="44" t="str">
        <f aca="false">IF(E90="","",IF(AND(Q90="No",S90="No"),"🚩 Budget  ·  🚩 No one on camera",IF(Q90="No","🚩 Budget under AED 5k",IF(S90="No","🚩 No one on camera",""))))</f>
        <v/>
      </c>
      <c r="Z90" s="17"/>
      <c r="AA90" s="17"/>
      <c r="AB90" s="40"/>
      <c r="AC90" s="17"/>
      <c r="AD90" s="45" t="str">
        <f aca="false">IF(OR(E90="",AB90="",OR(AA90="Contract signed + paid",AA90="Closed – No response",AA90="Lost"),N(AC90)&gt;=Settings!$S$3),"",AB90+Settings!$S$2)</f>
        <v/>
      </c>
      <c r="AE90" s="40"/>
      <c r="AF90" s="41"/>
      <c r="AG90" s="17"/>
      <c r="AH90" s="17"/>
      <c r="AI90" s="17"/>
      <c r="AJ90" s="46" t="str">
        <f aca="true">IF(OR(E90="",B90=""),"",INT(TODAY()-B90))</f>
        <v/>
      </c>
      <c r="AK90" s="44" t="str">
        <f aca="true">IF(E90="","",IF(OR(COUNTIFS(Clients!$C$2:$C$501,E90,Clients!$S$2:$S$501,"Paid")&gt;0,AND(I90&lt;&gt;"",COUNTIFS(Clients!$E$2:$E$501,I90,Clients!$S$2:$S$501,"Paid")&gt;0)),"⚠ Refunded before – no free video",IF(OR(AA90="Contract signed + paid",AA90="Closed – No response",AA90="Lost"),"",IF(AA90="","Set a stage",IF(AND(AA90="Proposal sent",COUNTA(Q90:V90)&lt;6),"Score this lead – proposal sent unscored",IF(N(AC90)&gt;=Settings!$S$3,"Close – 4 follow-ups sent",IF(AD90="",IF(AB90="","Make first contact",""),IF(TODAY()&gt;AD90,"OVERDUE follow-up",IF(TODAY()=AD90,"Follow up today","")))))))))</f>
        <v/>
      </c>
    </row>
    <row r="91" customFormat="false" ht="15" hidden="false" customHeight="false" outlineLevel="0" collapsed="false">
      <c r="A91" s="17"/>
      <c r="B91" s="40"/>
      <c r="C91" s="41"/>
      <c r="D91" s="17"/>
      <c r="E91" s="17"/>
      <c r="F91" s="17"/>
      <c r="G91" s="17"/>
      <c r="H91" s="17"/>
      <c r="I91" s="42"/>
      <c r="J91" s="17"/>
      <c r="K91" s="17"/>
      <c r="L91" s="17"/>
      <c r="M91" s="17"/>
      <c r="N91" s="40"/>
      <c r="O91" s="41"/>
      <c r="P91" s="43" t="str">
        <f aca="false">IF(OR(B91="",N91=""),"",ROUND(((N91+N(O91))-(B91+N(C91)))*24,1))</f>
        <v/>
      </c>
      <c r="Q91" s="17"/>
      <c r="R91" s="17"/>
      <c r="S91" s="17"/>
      <c r="T91" s="17"/>
      <c r="U91" s="17"/>
      <c r="V91" s="17"/>
      <c r="W91" s="44" t="str">
        <f aca="false">IF(OR(E91="",COUNTA(Q91:V91)=0),"",SUMIFS(Settings!$AA$2:$AA$21,Settings!$Y$2:$Y$21,"Budget AED 5k+/mo?",Settings!$Z$2:$Z$21,Q91)+SUMIFS(Settings!$AA$2:$AA$21,Settings!$Y$2:$Y$21,"Decision-maker?",Settings!$Z$2:$Z$21,R91)+SUMIFS(Settings!$AA$2:$AA$21,Settings!$Y$2:$Y$21,"Someone on camera?",Settings!$Z$2:$Z$21,S91)+SUMIFS(Settings!$AA$2:$AA$21,Settings!$Y$2:$Y$21,"OK with 3-month term?",Settings!$Z$2:$Z$21,T91)+SUMIFS(Settings!$AA$2:$AA$21,Settings!$Y$2:$Y$21,"Start timeline",Settings!$Z$2:$Z$21,U91)+SUMIFS(Settings!$AA$2:$AA$21,Settings!$Y$2:$Y$21,"Social media gap",Settings!$Z$2:$Z$21,V91)+IF(F91="",0,IF(COUNTIF(Settings!$AC$2:$AC$6,F91)&gt;0,Settings!$AA$20,Settings!$AA$21)))</f>
        <v/>
      </c>
      <c r="X91" s="44" t="str">
        <f aca="false">IF(E91="","",IF(COUNTA(Q91:V91)=0,"Not scored",IF(COUNTA(Q91:V91)&lt;6,"Partly scored ("&amp;COUNTA(Q91:V91)&amp;"/6)",IF(W91&gt;=Settings!$S$8,"Hot",IF(W91&gt;=Settings!$S$9,"Warm","Cold")))))</f>
        <v/>
      </c>
      <c r="Y91" s="44" t="str">
        <f aca="false">IF(E91="","",IF(AND(Q91="No",S91="No"),"🚩 Budget  ·  🚩 No one on camera",IF(Q91="No","🚩 Budget under AED 5k",IF(S91="No","🚩 No one on camera",""))))</f>
        <v/>
      </c>
      <c r="Z91" s="17"/>
      <c r="AA91" s="17"/>
      <c r="AB91" s="40"/>
      <c r="AC91" s="17"/>
      <c r="AD91" s="45" t="str">
        <f aca="false">IF(OR(E91="",AB91="",OR(AA91="Contract signed + paid",AA91="Closed – No response",AA91="Lost"),N(AC91)&gt;=Settings!$S$3),"",AB91+Settings!$S$2)</f>
        <v/>
      </c>
      <c r="AE91" s="40"/>
      <c r="AF91" s="41"/>
      <c r="AG91" s="17"/>
      <c r="AH91" s="17"/>
      <c r="AI91" s="17"/>
      <c r="AJ91" s="46" t="str">
        <f aca="true">IF(OR(E91="",B91=""),"",INT(TODAY()-B91))</f>
        <v/>
      </c>
      <c r="AK91" s="44" t="str">
        <f aca="true">IF(E91="","",IF(OR(COUNTIFS(Clients!$C$2:$C$501,E91,Clients!$S$2:$S$501,"Paid")&gt;0,AND(I91&lt;&gt;"",COUNTIFS(Clients!$E$2:$E$501,I91,Clients!$S$2:$S$501,"Paid")&gt;0)),"⚠ Refunded before – no free video",IF(OR(AA91="Contract signed + paid",AA91="Closed – No response",AA91="Lost"),"",IF(AA91="","Set a stage",IF(AND(AA91="Proposal sent",COUNTA(Q91:V91)&lt;6),"Score this lead – proposal sent unscored",IF(N(AC91)&gt;=Settings!$S$3,"Close – 4 follow-ups sent",IF(AD91="",IF(AB91="","Make first contact",""),IF(TODAY()&gt;AD91,"OVERDUE follow-up",IF(TODAY()=AD91,"Follow up today","")))))))))</f>
        <v/>
      </c>
    </row>
    <row r="92" customFormat="false" ht="15" hidden="false" customHeight="false" outlineLevel="0" collapsed="false">
      <c r="A92" s="17"/>
      <c r="B92" s="40"/>
      <c r="C92" s="41"/>
      <c r="D92" s="17"/>
      <c r="E92" s="17"/>
      <c r="F92" s="17"/>
      <c r="G92" s="17"/>
      <c r="H92" s="17"/>
      <c r="I92" s="42"/>
      <c r="J92" s="17"/>
      <c r="K92" s="17"/>
      <c r="L92" s="17"/>
      <c r="M92" s="17"/>
      <c r="N92" s="40"/>
      <c r="O92" s="41"/>
      <c r="P92" s="43" t="str">
        <f aca="false">IF(OR(B92="",N92=""),"",ROUND(((N92+N(O92))-(B92+N(C92)))*24,1))</f>
        <v/>
      </c>
      <c r="Q92" s="17"/>
      <c r="R92" s="17"/>
      <c r="S92" s="17"/>
      <c r="T92" s="17"/>
      <c r="U92" s="17"/>
      <c r="V92" s="17"/>
      <c r="W92" s="44" t="str">
        <f aca="false">IF(OR(E92="",COUNTA(Q92:V92)=0),"",SUMIFS(Settings!$AA$2:$AA$21,Settings!$Y$2:$Y$21,"Budget AED 5k+/mo?",Settings!$Z$2:$Z$21,Q92)+SUMIFS(Settings!$AA$2:$AA$21,Settings!$Y$2:$Y$21,"Decision-maker?",Settings!$Z$2:$Z$21,R92)+SUMIFS(Settings!$AA$2:$AA$21,Settings!$Y$2:$Y$21,"Someone on camera?",Settings!$Z$2:$Z$21,S92)+SUMIFS(Settings!$AA$2:$AA$21,Settings!$Y$2:$Y$21,"OK with 3-month term?",Settings!$Z$2:$Z$21,T92)+SUMIFS(Settings!$AA$2:$AA$21,Settings!$Y$2:$Y$21,"Start timeline",Settings!$Z$2:$Z$21,U92)+SUMIFS(Settings!$AA$2:$AA$21,Settings!$Y$2:$Y$21,"Social media gap",Settings!$Z$2:$Z$21,V92)+IF(F92="",0,IF(COUNTIF(Settings!$AC$2:$AC$6,F92)&gt;0,Settings!$AA$20,Settings!$AA$21)))</f>
        <v/>
      </c>
      <c r="X92" s="44" t="str">
        <f aca="false">IF(E92="","",IF(COUNTA(Q92:V92)=0,"Not scored",IF(COUNTA(Q92:V92)&lt;6,"Partly scored ("&amp;COUNTA(Q92:V92)&amp;"/6)",IF(W92&gt;=Settings!$S$8,"Hot",IF(W92&gt;=Settings!$S$9,"Warm","Cold")))))</f>
        <v/>
      </c>
      <c r="Y92" s="44" t="str">
        <f aca="false">IF(E92="","",IF(AND(Q92="No",S92="No"),"🚩 Budget  ·  🚩 No one on camera",IF(Q92="No","🚩 Budget under AED 5k",IF(S92="No","🚩 No one on camera",""))))</f>
        <v/>
      </c>
      <c r="Z92" s="17"/>
      <c r="AA92" s="17"/>
      <c r="AB92" s="40"/>
      <c r="AC92" s="17"/>
      <c r="AD92" s="45" t="str">
        <f aca="false">IF(OR(E92="",AB92="",OR(AA92="Contract signed + paid",AA92="Closed – No response",AA92="Lost"),N(AC92)&gt;=Settings!$S$3),"",AB92+Settings!$S$2)</f>
        <v/>
      </c>
      <c r="AE92" s="40"/>
      <c r="AF92" s="41"/>
      <c r="AG92" s="17"/>
      <c r="AH92" s="17"/>
      <c r="AI92" s="17"/>
      <c r="AJ92" s="46" t="str">
        <f aca="true">IF(OR(E92="",B92=""),"",INT(TODAY()-B92))</f>
        <v/>
      </c>
      <c r="AK92" s="44" t="str">
        <f aca="true">IF(E92="","",IF(OR(COUNTIFS(Clients!$C$2:$C$501,E92,Clients!$S$2:$S$501,"Paid")&gt;0,AND(I92&lt;&gt;"",COUNTIFS(Clients!$E$2:$E$501,I92,Clients!$S$2:$S$501,"Paid")&gt;0)),"⚠ Refunded before – no free video",IF(OR(AA92="Contract signed + paid",AA92="Closed – No response",AA92="Lost"),"",IF(AA92="","Set a stage",IF(AND(AA92="Proposal sent",COUNTA(Q92:V92)&lt;6),"Score this lead – proposal sent unscored",IF(N(AC92)&gt;=Settings!$S$3,"Close – 4 follow-ups sent",IF(AD92="",IF(AB92="","Make first contact",""),IF(TODAY()&gt;AD92,"OVERDUE follow-up",IF(TODAY()=AD92,"Follow up today","")))))))))</f>
        <v/>
      </c>
    </row>
    <row r="93" customFormat="false" ht="15" hidden="false" customHeight="false" outlineLevel="0" collapsed="false">
      <c r="A93" s="17"/>
      <c r="B93" s="40"/>
      <c r="C93" s="41"/>
      <c r="D93" s="17"/>
      <c r="E93" s="17"/>
      <c r="F93" s="17"/>
      <c r="G93" s="17"/>
      <c r="H93" s="17"/>
      <c r="I93" s="42"/>
      <c r="J93" s="17"/>
      <c r="K93" s="17"/>
      <c r="L93" s="17"/>
      <c r="M93" s="17"/>
      <c r="N93" s="40"/>
      <c r="O93" s="41"/>
      <c r="P93" s="43" t="str">
        <f aca="false">IF(OR(B93="",N93=""),"",ROUND(((N93+N(O93))-(B93+N(C93)))*24,1))</f>
        <v/>
      </c>
      <c r="Q93" s="17"/>
      <c r="R93" s="17"/>
      <c r="S93" s="17"/>
      <c r="T93" s="17"/>
      <c r="U93" s="17"/>
      <c r="V93" s="17"/>
      <c r="W93" s="44" t="str">
        <f aca="false">IF(OR(E93="",COUNTA(Q93:V93)=0),"",SUMIFS(Settings!$AA$2:$AA$21,Settings!$Y$2:$Y$21,"Budget AED 5k+/mo?",Settings!$Z$2:$Z$21,Q93)+SUMIFS(Settings!$AA$2:$AA$21,Settings!$Y$2:$Y$21,"Decision-maker?",Settings!$Z$2:$Z$21,R93)+SUMIFS(Settings!$AA$2:$AA$21,Settings!$Y$2:$Y$21,"Someone on camera?",Settings!$Z$2:$Z$21,S93)+SUMIFS(Settings!$AA$2:$AA$21,Settings!$Y$2:$Y$21,"OK with 3-month term?",Settings!$Z$2:$Z$21,T93)+SUMIFS(Settings!$AA$2:$AA$21,Settings!$Y$2:$Y$21,"Start timeline",Settings!$Z$2:$Z$21,U93)+SUMIFS(Settings!$AA$2:$AA$21,Settings!$Y$2:$Y$21,"Social media gap",Settings!$Z$2:$Z$21,V93)+IF(F93="",0,IF(COUNTIF(Settings!$AC$2:$AC$6,F93)&gt;0,Settings!$AA$20,Settings!$AA$21)))</f>
        <v/>
      </c>
      <c r="X93" s="44" t="str">
        <f aca="false">IF(E93="","",IF(COUNTA(Q93:V93)=0,"Not scored",IF(COUNTA(Q93:V93)&lt;6,"Partly scored ("&amp;COUNTA(Q93:V93)&amp;"/6)",IF(W93&gt;=Settings!$S$8,"Hot",IF(W93&gt;=Settings!$S$9,"Warm","Cold")))))</f>
        <v/>
      </c>
      <c r="Y93" s="44" t="str">
        <f aca="false">IF(E93="","",IF(AND(Q93="No",S93="No"),"🚩 Budget  ·  🚩 No one on camera",IF(Q93="No","🚩 Budget under AED 5k",IF(S93="No","🚩 No one on camera",""))))</f>
        <v/>
      </c>
      <c r="Z93" s="17"/>
      <c r="AA93" s="17"/>
      <c r="AB93" s="40"/>
      <c r="AC93" s="17"/>
      <c r="AD93" s="45" t="str">
        <f aca="false">IF(OR(E93="",AB93="",OR(AA93="Contract signed + paid",AA93="Closed – No response",AA93="Lost"),N(AC93)&gt;=Settings!$S$3),"",AB93+Settings!$S$2)</f>
        <v/>
      </c>
      <c r="AE93" s="40"/>
      <c r="AF93" s="41"/>
      <c r="AG93" s="17"/>
      <c r="AH93" s="17"/>
      <c r="AI93" s="17"/>
      <c r="AJ93" s="46" t="str">
        <f aca="true">IF(OR(E93="",B93=""),"",INT(TODAY()-B93))</f>
        <v/>
      </c>
      <c r="AK93" s="44" t="str">
        <f aca="true">IF(E93="","",IF(OR(COUNTIFS(Clients!$C$2:$C$501,E93,Clients!$S$2:$S$501,"Paid")&gt;0,AND(I93&lt;&gt;"",COUNTIFS(Clients!$E$2:$E$501,I93,Clients!$S$2:$S$501,"Paid")&gt;0)),"⚠ Refunded before – no free video",IF(OR(AA93="Contract signed + paid",AA93="Closed – No response",AA93="Lost"),"",IF(AA93="","Set a stage",IF(AND(AA93="Proposal sent",COUNTA(Q93:V93)&lt;6),"Score this lead – proposal sent unscored",IF(N(AC93)&gt;=Settings!$S$3,"Close – 4 follow-ups sent",IF(AD93="",IF(AB93="","Make first contact",""),IF(TODAY()&gt;AD93,"OVERDUE follow-up",IF(TODAY()=AD93,"Follow up today","")))))))))</f>
        <v/>
      </c>
    </row>
    <row r="94" customFormat="false" ht="15" hidden="false" customHeight="false" outlineLevel="0" collapsed="false">
      <c r="A94" s="17"/>
      <c r="B94" s="40"/>
      <c r="C94" s="41"/>
      <c r="D94" s="17"/>
      <c r="E94" s="17"/>
      <c r="F94" s="17"/>
      <c r="G94" s="17"/>
      <c r="H94" s="17"/>
      <c r="I94" s="42"/>
      <c r="J94" s="17"/>
      <c r="K94" s="17"/>
      <c r="L94" s="17"/>
      <c r="M94" s="17"/>
      <c r="N94" s="40"/>
      <c r="O94" s="41"/>
      <c r="P94" s="43" t="str">
        <f aca="false">IF(OR(B94="",N94=""),"",ROUND(((N94+N(O94))-(B94+N(C94)))*24,1))</f>
        <v/>
      </c>
      <c r="Q94" s="17"/>
      <c r="R94" s="17"/>
      <c r="S94" s="17"/>
      <c r="T94" s="17"/>
      <c r="U94" s="17"/>
      <c r="V94" s="17"/>
      <c r="W94" s="44" t="str">
        <f aca="false">IF(OR(E94="",COUNTA(Q94:V94)=0),"",SUMIFS(Settings!$AA$2:$AA$21,Settings!$Y$2:$Y$21,"Budget AED 5k+/mo?",Settings!$Z$2:$Z$21,Q94)+SUMIFS(Settings!$AA$2:$AA$21,Settings!$Y$2:$Y$21,"Decision-maker?",Settings!$Z$2:$Z$21,R94)+SUMIFS(Settings!$AA$2:$AA$21,Settings!$Y$2:$Y$21,"Someone on camera?",Settings!$Z$2:$Z$21,S94)+SUMIFS(Settings!$AA$2:$AA$21,Settings!$Y$2:$Y$21,"OK with 3-month term?",Settings!$Z$2:$Z$21,T94)+SUMIFS(Settings!$AA$2:$AA$21,Settings!$Y$2:$Y$21,"Start timeline",Settings!$Z$2:$Z$21,U94)+SUMIFS(Settings!$AA$2:$AA$21,Settings!$Y$2:$Y$21,"Social media gap",Settings!$Z$2:$Z$21,V94)+IF(F94="",0,IF(COUNTIF(Settings!$AC$2:$AC$6,F94)&gt;0,Settings!$AA$20,Settings!$AA$21)))</f>
        <v/>
      </c>
      <c r="X94" s="44" t="str">
        <f aca="false">IF(E94="","",IF(COUNTA(Q94:V94)=0,"Not scored",IF(COUNTA(Q94:V94)&lt;6,"Partly scored ("&amp;COUNTA(Q94:V94)&amp;"/6)",IF(W94&gt;=Settings!$S$8,"Hot",IF(W94&gt;=Settings!$S$9,"Warm","Cold")))))</f>
        <v/>
      </c>
      <c r="Y94" s="44" t="str">
        <f aca="false">IF(E94="","",IF(AND(Q94="No",S94="No"),"🚩 Budget  ·  🚩 No one on camera",IF(Q94="No","🚩 Budget under AED 5k",IF(S94="No","🚩 No one on camera",""))))</f>
        <v/>
      </c>
      <c r="Z94" s="17"/>
      <c r="AA94" s="17"/>
      <c r="AB94" s="40"/>
      <c r="AC94" s="17"/>
      <c r="AD94" s="45" t="str">
        <f aca="false">IF(OR(E94="",AB94="",OR(AA94="Contract signed + paid",AA94="Closed – No response",AA94="Lost"),N(AC94)&gt;=Settings!$S$3),"",AB94+Settings!$S$2)</f>
        <v/>
      </c>
      <c r="AE94" s="40"/>
      <c r="AF94" s="41"/>
      <c r="AG94" s="17"/>
      <c r="AH94" s="17"/>
      <c r="AI94" s="17"/>
      <c r="AJ94" s="46" t="str">
        <f aca="true">IF(OR(E94="",B94=""),"",INT(TODAY()-B94))</f>
        <v/>
      </c>
      <c r="AK94" s="44" t="str">
        <f aca="true">IF(E94="","",IF(OR(COUNTIFS(Clients!$C$2:$C$501,E94,Clients!$S$2:$S$501,"Paid")&gt;0,AND(I94&lt;&gt;"",COUNTIFS(Clients!$E$2:$E$501,I94,Clients!$S$2:$S$501,"Paid")&gt;0)),"⚠ Refunded before – no free video",IF(OR(AA94="Contract signed + paid",AA94="Closed – No response",AA94="Lost"),"",IF(AA94="","Set a stage",IF(AND(AA94="Proposal sent",COUNTA(Q94:V94)&lt;6),"Score this lead – proposal sent unscored",IF(N(AC94)&gt;=Settings!$S$3,"Close – 4 follow-ups sent",IF(AD94="",IF(AB94="","Make first contact",""),IF(TODAY()&gt;AD94,"OVERDUE follow-up",IF(TODAY()=AD94,"Follow up today","")))))))))</f>
        <v/>
      </c>
    </row>
    <row r="95" customFormat="false" ht="15" hidden="false" customHeight="false" outlineLevel="0" collapsed="false">
      <c r="A95" s="17"/>
      <c r="B95" s="40"/>
      <c r="C95" s="41"/>
      <c r="D95" s="17"/>
      <c r="E95" s="17"/>
      <c r="F95" s="17"/>
      <c r="G95" s="17"/>
      <c r="H95" s="17"/>
      <c r="I95" s="42"/>
      <c r="J95" s="17"/>
      <c r="K95" s="17"/>
      <c r="L95" s="17"/>
      <c r="M95" s="17"/>
      <c r="N95" s="40"/>
      <c r="O95" s="41"/>
      <c r="P95" s="43" t="str">
        <f aca="false">IF(OR(B95="",N95=""),"",ROUND(((N95+N(O95))-(B95+N(C95)))*24,1))</f>
        <v/>
      </c>
      <c r="Q95" s="17"/>
      <c r="R95" s="17"/>
      <c r="S95" s="17"/>
      <c r="T95" s="17"/>
      <c r="U95" s="17"/>
      <c r="V95" s="17"/>
      <c r="W95" s="44" t="str">
        <f aca="false">IF(OR(E95="",COUNTA(Q95:V95)=0),"",SUMIFS(Settings!$AA$2:$AA$21,Settings!$Y$2:$Y$21,"Budget AED 5k+/mo?",Settings!$Z$2:$Z$21,Q95)+SUMIFS(Settings!$AA$2:$AA$21,Settings!$Y$2:$Y$21,"Decision-maker?",Settings!$Z$2:$Z$21,R95)+SUMIFS(Settings!$AA$2:$AA$21,Settings!$Y$2:$Y$21,"Someone on camera?",Settings!$Z$2:$Z$21,S95)+SUMIFS(Settings!$AA$2:$AA$21,Settings!$Y$2:$Y$21,"OK with 3-month term?",Settings!$Z$2:$Z$21,T95)+SUMIFS(Settings!$AA$2:$AA$21,Settings!$Y$2:$Y$21,"Start timeline",Settings!$Z$2:$Z$21,U95)+SUMIFS(Settings!$AA$2:$AA$21,Settings!$Y$2:$Y$21,"Social media gap",Settings!$Z$2:$Z$21,V95)+IF(F95="",0,IF(COUNTIF(Settings!$AC$2:$AC$6,F95)&gt;0,Settings!$AA$20,Settings!$AA$21)))</f>
        <v/>
      </c>
      <c r="X95" s="44" t="str">
        <f aca="false">IF(E95="","",IF(COUNTA(Q95:V95)=0,"Not scored",IF(COUNTA(Q95:V95)&lt;6,"Partly scored ("&amp;COUNTA(Q95:V95)&amp;"/6)",IF(W95&gt;=Settings!$S$8,"Hot",IF(W95&gt;=Settings!$S$9,"Warm","Cold")))))</f>
        <v/>
      </c>
      <c r="Y95" s="44" t="str">
        <f aca="false">IF(E95="","",IF(AND(Q95="No",S95="No"),"🚩 Budget  ·  🚩 No one on camera",IF(Q95="No","🚩 Budget under AED 5k",IF(S95="No","🚩 No one on camera",""))))</f>
        <v/>
      </c>
      <c r="Z95" s="17"/>
      <c r="AA95" s="17"/>
      <c r="AB95" s="40"/>
      <c r="AC95" s="17"/>
      <c r="AD95" s="45" t="str">
        <f aca="false">IF(OR(E95="",AB95="",OR(AA95="Contract signed + paid",AA95="Closed – No response",AA95="Lost"),N(AC95)&gt;=Settings!$S$3),"",AB95+Settings!$S$2)</f>
        <v/>
      </c>
      <c r="AE95" s="40"/>
      <c r="AF95" s="41"/>
      <c r="AG95" s="17"/>
      <c r="AH95" s="17"/>
      <c r="AI95" s="17"/>
      <c r="AJ95" s="46" t="str">
        <f aca="true">IF(OR(E95="",B95=""),"",INT(TODAY()-B95))</f>
        <v/>
      </c>
      <c r="AK95" s="44" t="str">
        <f aca="true">IF(E95="","",IF(OR(COUNTIFS(Clients!$C$2:$C$501,E95,Clients!$S$2:$S$501,"Paid")&gt;0,AND(I95&lt;&gt;"",COUNTIFS(Clients!$E$2:$E$501,I95,Clients!$S$2:$S$501,"Paid")&gt;0)),"⚠ Refunded before – no free video",IF(OR(AA95="Contract signed + paid",AA95="Closed – No response",AA95="Lost"),"",IF(AA95="","Set a stage",IF(AND(AA95="Proposal sent",COUNTA(Q95:V95)&lt;6),"Score this lead – proposal sent unscored",IF(N(AC95)&gt;=Settings!$S$3,"Close – 4 follow-ups sent",IF(AD95="",IF(AB95="","Make first contact",""),IF(TODAY()&gt;AD95,"OVERDUE follow-up",IF(TODAY()=AD95,"Follow up today","")))))))))</f>
        <v/>
      </c>
    </row>
    <row r="96" customFormat="false" ht="15" hidden="false" customHeight="false" outlineLevel="0" collapsed="false">
      <c r="A96" s="17"/>
      <c r="B96" s="40"/>
      <c r="C96" s="41"/>
      <c r="D96" s="17"/>
      <c r="E96" s="17"/>
      <c r="F96" s="17"/>
      <c r="G96" s="17"/>
      <c r="H96" s="17"/>
      <c r="I96" s="42"/>
      <c r="J96" s="17"/>
      <c r="K96" s="17"/>
      <c r="L96" s="17"/>
      <c r="M96" s="17"/>
      <c r="N96" s="40"/>
      <c r="O96" s="41"/>
      <c r="P96" s="43" t="str">
        <f aca="false">IF(OR(B96="",N96=""),"",ROUND(((N96+N(O96))-(B96+N(C96)))*24,1))</f>
        <v/>
      </c>
      <c r="Q96" s="17"/>
      <c r="R96" s="17"/>
      <c r="S96" s="17"/>
      <c r="T96" s="17"/>
      <c r="U96" s="17"/>
      <c r="V96" s="17"/>
      <c r="W96" s="44" t="str">
        <f aca="false">IF(OR(E96="",COUNTA(Q96:V96)=0),"",SUMIFS(Settings!$AA$2:$AA$21,Settings!$Y$2:$Y$21,"Budget AED 5k+/mo?",Settings!$Z$2:$Z$21,Q96)+SUMIFS(Settings!$AA$2:$AA$21,Settings!$Y$2:$Y$21,"Decision-maker?",Settings!$Z$2:$Z$21,R96)+SUMIFS(Settings!$AA$2:$AA$21,Settings!$Y$2:$Y$21,"Someone on camera?",Settings!$Z$2:$Z$21,S96)+SUMIFS(Settings!$AA$2:$AA$21,Settings!$Y$2:$Y$21,"OK with 3-month term?",Settings!$Z$2:$Z$21,T96)+SUMIFS(Settings!$AA$2:$AA$21,Settings!$Y$2:$Y$21,"Start timeline",Settings!$Z$2:$Z$21,U96)+SUMIFS(Settings!$AA$2:$AA$21,Settings!$Y$2:$Y$21,"Social media gap",Settings!$Z$2:$Z$21,V96)+IF(F96="",0,IF(COUNTIF(Settings!$AC$2:$AC$6,F96)&gt;0,Settings!$AA$20,Settings!$AA$21)))</f>
        <v/>
      </c>
      <c r="X96" s="44" t="str">
        <f aca="false">IF(E96="","",IF(COUNTA(Q96:V96)=0,"Not scored",IF(COUNTA(Q96:V96)&lt;6,"Partly scored ("&amp;COUNTA(Q96:V96)&amp;"/6)",IF(W96&gt;=Settings!$S$8,"Hot",IF(W96&gt;=Settings!$S$9,"Warm","Cold")))))</f>
        <v/>
      </c>
      <c r="Y96" s="44" t="str">
        <f aca="false">IF(E96="","",IF(AND(Q96="No",S96="No"),"🚩 Budget  ·  🚩 No one on camera",IF(Q96="No","🚩 Budget under AED 5k",IF(S96="No","🚩 No one on camera",""))))</f>
        <v/>
      </c>
      <c r="Z96" s="17"/>
      <c r="AA96" s="17"/>
      <c r="AB96" s="40"/>
      <c r="AC96" s="17"/>
      <c r="AD96" s="45" t="str">
        <f aca="false">IF(OR(E96="",AB96="",OR(AA96="Contract signed + paid",AA96="Closed – No response",AA96="Lost"),N(AC96)&gt;=Settings!$S$3),"",AB96+Settings!$S$2)</f>
        <v/>
      </c>
      <c r="AE96" s="40"/>
      <c r="AF96" s="41"/>
      <c r="AG96" s="17"/>
      <c r="AH96" s="17"/>
      <c r="AI96" s="17"/>
      <c r="AJ96" s="46" t="str">
        <f aca="true">IF(OR(E96="",B96=""),"",INT(TODAY()-B96))</f>
        <v/>
      </c>
      <c r="AK96" s="44" t="str">
        <f aca="true">IF(E96="","",IF(OR(COUNTIFS(Clients!$C$2:$C$501,E96,Clients!$S$2:$S$501,"Paid")&gt;0,AND(I96&lt;&gt;"",COUNTIFS(Clients!$E$2:$E$501,I96,Clients!$S$2:$S$501,"Paid")&gt;0)),"⚠ Refunded before – no free video",IF(OR(AA96="Contract signed + paid",AA96="Closed – No response",AA96="Lost"),"",IF(AA96="","Set a stage",IF(AND(AA96="Proposal sent",COUNTA(Q96:V96)&lt;6),"Score this lead – proposal sent unscored",IF(N(AC96)&gt;=Settings!$S$3,"Close – 4 follow-ups sent",IF(AD96="",IF(AB96="","Make first contact",""),IF(TODAY()&gt;AD96,"OVERDUE follow-up",IF(TODAY()=AD96,"Follow up today","")))))))))</f>
        <v/>
      </c>
    </row>
    <row r="97" customFormat="false" ht="15" hidden="false" customHeight="false" outlineLevel="0" collapsed="false">
      <c r="A97" s="17"/>
      <c r="B97" s="40"/>
      <c r="C97" s="41"/>
      <c r="D97" s="17"/>
      <c r="E97" s="17"/>
      <c r="F97" s="17"/>
      <c r="G97" s="17"/>
      <c r="H97" s="17"/>
      <c r="I97" s="42"/>
      <c r="J97" s="17"/>
      <c r="K97" s="17"/>
      <c r="L97" s="17"/>
      <c r="M97" s="17"/>
      <c r="N97" s="40"/>
      <c r="O97" s="41"/>
      <c r="P97" s="43" t="str">
        <f aca="false">IF(OR(B97="",N97=""),"",ROUND(((N97+N(O97))-(B97+N(C97)))*24,1))</f>
        <v/>
      </c>
      <c r="Q97" s="17"/>
      <c r="R97" s="17"/>
      <c r="S97" s="17"/>
      <c r="T97" s="17"/>
      <c r="U97" s="17"/>
      <c r="V97" s="17"/>
      <c r="W97" s="44" t="str">
        <f aca="false">IF(OR(E97="",COUNTA(Q97:V97)=0),"",SUMIFS(Settings!$AA$2:$AA$21,Settings!$Y$2:$Y$21,"Budget AED 5k+/mo?",Settings!$Z$2:$Z$21,Q97)+SUMIFS(Settings!$AA$2:$AA$21,Settings!$Y$2:$Y$21,"Decision-maker?",Settings!$Z$2:$Z$21,R97)+SUMIFS(Settings!$AA$2:$AA$21,Settings!$Y$2:$Y$21,"Someone on camera?",Settings!$Z$2:$Z$21,S97)+SUMIFS(Settings!$AA$2:$AA$21,Settings!$Y$2:$Y$21,"OK with 3-month term?",Settings!$Z$2:$Z$21,T97)+SUMIFS(Settings!$AA$2:$AA$21,Settings!$Y$2:$Y$21,"Start timeline",Settings!$Z$2:$Z$21,U97)+SUMIFS(Settings!$AA$2:$AA$21,Settings!$Y$2:$Y$21,"Social media gap",Settings!$Z$2:$Z$21,V97)+IF(F97="",0,IF(COUNTIF(Settings!$AC$2:$AC$6,F97)&gt;0,Settings!$AA$20,Settings!$AA$21)))</f>
        <v/>
      </c>
      <c r="X97" s="44" t="str">
        <f aca="false">IF(E97="","",IF(COUNTA(Q97:V97)=0,"Not scored",IF(COUNTA(Q97:V97)&lt;6,"Partly scored ("&amp;COUNTA(Q97:V97)&amp;"/6)",IF(W97&gt;=Settings!$S$8,"Hot",IF(W97&gt;=Settings!$S$9,"Warm","Cold")))))</f>
        <v/>
      </c>
      <c r="Y97" s="44" t="str">
        <f aca="false">IF(E97="","",IF(AND(Q97="No",S97="No"),"🚩 Budget  ·  🚩 No one on camera",IF(Q97="No","🚩 Budget under AED 5k",IF(S97="No","🚩 No one on camera",""))))</f>
        <v/>
      </c>
      <c r="Z97" s="17"/>
      <c r="AA97" s="17"/>
      <c r="AB97" s="40"/>
      <c r="AC97" s="17"/>
      <c r="AD97" s="45" t="str">
        <f aca="false">IF(OR(E97="",AB97="",OR(AA97="Contract signed + paid",AA97="Closed – No response",AA97="Lost"),N(AC97)&gt;=Settings!$S$3),"",AB97+Settings!$S$2)</f>
        <v/>
      </c>
      <c r="AE97" s="40"/>
      <c r="AF97" s="41"/>
      <c r="AG97" s="17"/>
      <c r="AH97" s="17"/>
      <c r="AI97" s="17"/>
      <c r="AJ97" s="46" t="str">
        <f aca="true">IF(OR(E97="",B97=""),"",INT(TODAY()-B97))</f>
        <v/>
      </c>
      <c r="AK97" s="44" t="str">
        <f aca="true">IF(E97="","",IF(OR(COUNTIFS(Clients!$C$2:$C$501,E97,Clients!$S$2:$S$501,"Paid")&gt;0,AND(I97&lt;&gt;"",COUNTIFS(Clients!$E$2:$E$501,I97,Clients!$S$2:$S$501,"Paid")&gt;0)),"⚠ Refunded before – no free video",IF(OR(AA97="Contract signed + paid",AA97="Closed – No response",AA97="Lost"),"",IF(AA97="","Set a stage",IF(AND(AA97="Proposal sent",COUNTA(Q97:V97)&lt;6),"Score this lead – proposal sent unscored",IF(N(AC97)&gt;=Settings!$S$3,"Close – 4 follow-ups sent",IF(AD97="",IF(AB97="","Make first contact",""),IF(TODAY()&gt;AD97,"OVERDUE follow-up",IF(TODAY()=AD97,"Follow up today","")))))))))</f>
        <v/>
      </c>
    </row>
    <row r="98" customFormat="false" ht="15" hidden="false" customHeight="false" outlineLevel="0" collapsed="false">
      <c r="A98" s="17"/>
      <c r="B98" s="40"/>
      <c r="C98" s="41"/>
      <c r="D98" s="17"/>
      <c r="E98" s="17"/>
      <c r="F98" s="17"/>
      <c r="G98" s="17"/>
      <c r="H98" s="17"/>
      <c r="I98" s="42"/>
      <c r="J98" s="17"/>
      <c r="K98" s="17"/>
      <c r="L98" s="17"/>
      <c r="M98" s="17"/>
      <c r="N98" s="40"/>
      <c r="O98" s="41"/>
      <c r="P98" s="43" t="str">
        <f aca="false">IF(OR(B98="",N98=""),"",ROUND(((N98+N(O98))-(B98+N(C98)))*24,1))</f>
        <v/>
      </c>
      <c r="Q98" s="17"/>
      <c r="R98" s="17"/>
      <c r="S98" s="17"/>
      <c r="T98" s="17"/>
      <c r="U98" s="17"/>
      <c r="V98" s="17"/>
      <c r="W98" s="44" t="str">
        <f aca="false">IF(OR(E98="",COUNTA(Q98:V98)=0),"",SUMIFS(Settings!$AA$2:$AA$21,Settings!$Y$2:$Y$21,"Budget AED 5k+/mo?",Settings!$Z$2:$Z$21,Q98)+SUMIFS(Settings!$AA$2:$AA$21,Settings!$Y$2:$Y$21,"Decision-maker?",Settings!$Z$2:$Z$21,R98)+SUMIFS(Settings!$AA$2:$AA$21,Settings!$Y$2:$Y$21,"Someone on camera?",Settings!$Z$2:$Z$21,S98)+SUMIFS(Settings!$AA$2:$AA$21,Settings!$Y$2:$Y$21,"OK with 3-month term?",Settings!$Z$2:$Z$21,T98)+SUMIFS(Settings!$AA$2:$AA$21,Settings!$Y$2:$Y$21,"Start timeline",Settings!$Z$2:$Z$21,U98)+SUMIFS(Settings!$AA$2:$AA$21,Settings!$Y$2:$Y$21,"Social media gap",Settings!$Z$2:$Z$21,V98)+IF(F98="",0,IF(COUNTIF(Settings!$AC$2:$AC$6,F98)&gt;0,Settings!$AA$20,Settings!$AA$21)))</f>
        <v/>
      </c>
      <c r="X98" s="44" t="str">
        <f aca="false">IF(E98="","",IF(COUNTA(Q98:V98)=0,"Not scored",IF(COUNTA(Q98:V98)&lt;6,"Partly scored ("&amp;COUNTA(Q98:V98)&amp;"/6)",IF(W98&gt;=Settings!$S$8,"Hot",IF(W98&gt;=Settings!$S$9,"Warm","Cold")))))</f>
        <v/>
      </c>
      <c r="Y98" s="44" t="str">
        <f aca="false">IF(E98="","",IF(AND(Q98="No",S98="No"),"🚩 Budget  ·  🚩 No one on camera",IF(Q98="No","🚩 Budget under AED 5k",IF(S98="No","🚩 No one on camera",""))))</f>
        <v/>
      </c>
      <c r="Z98" s="17"/>
      <c r="AA98" s="17"/>
      <c r="AB98" s="40"/>
      <c r="AC98" s="17"/>
      <c r="AD98" s="45" t="str">
        <f aca="false">IF(OR(E98="",AB98="",OR(AA98="Contract signed + paid",AA98="Closed – No response",AA98="Lost"),N(AC98)&gt;=Settings!$S$3),"",AB98+Settings!$S$2)</f>
        <v/>
      </c>
      <c r="AE98" s="40"/>
      <c r="AF98" s="41"/>
      <c r="AG98" s="17"/>
      <c r="AH98" s="17"/>
      <c r="AI98" s="17"/>
      <c r="AJ98" s="46" t="str">
        <f aca="true">IF(OR(E98="",B98=""),"",INT(TODAY()-B98))</f>
        <v/>
      </c>
      <c r="AK98" s="44" t="str">
        <f aca="true">IF(E98="","",IF(OR(COUNTIFS(Clients!$C$2:$C$501,E98,Clients!$S$2:$S$501,"Paid")&gt;0,AND(I98&lt;&gt;"",COUNTIFS(Clients!$E$2:$E$501,I98,Clients!$S$2:$S$501,"Paid")&gt;0)),"⚠ Refunded before – no free video",IF(OR(AA98="Contract signed + paid",AA98="Closed – No response",AA98="Lost"),"",IF(AA98="","Set a stage",IF(AND(AA98="Proposal sent",COUNTA(Q98:V98)&lt;6),"Score this lead – proposal sent unscored",IF(N(AC98)&gt;=Settings!$S$3,"Close – 4 follow-ups sent",IF(AD98="",IF(AB98="","Make first contact",""),IF(TODAY()&gt;AD98,"OVERDUE follow-up",IF(TODAY()=AD98,"Follow up today","")))))))))</f>
        <v/>
      </c>
    </row>
    <row r="99" customFormat="false" ht="15" hidden="false" customHeight="false" outlineLevel="0" collapsed="false">
      <c r="A99" s="17"/>
      <c r="B99" s="40"/>
      <c r="C99" s="41"/>
      <c r="D99" s="17"/>
      <c r="E99" s="17"/>
      <c r="F99" s="17"/>
      <c r="G99" s="17"/>
      <c r="H99" s="17"/>
      <c r="I99" s="42"/>
      <c r="J99" s="17"/>
      <c r="K99" s="17"/>
      <c r="L99" s="17"/>
      <c r="M99" s="17"/>
      <c r="N99" s="40"/>
      <c r="O99" s="41"/>
      <c r="P99" s="43" t="str">
        <f aca="false">IF(OR(B99="",N99=""),"",ROUND(((N99+N(O99))-(B99+N(C99)))*24,1))</f>
        <v/>
      </c>
      <c r="Q99" s="17"/>
      <c r="R99" s="17"/>
      <c r="S99" s="17"/>
      <c r="T99" s="17"/>
      <c r="U99" s="17"/>
      <c r="V99" s="17"/>
      <c r="W99" s="44" t="str">
        <f aca="false">IF(OR(E99="",COUNTA(Q99:V99)=0),"",SUMIFS(Settings!$AA$2:$AA$21,Settings!$Y$2:$Y$21,"Budget AED 5k+/mo?",Settings!$Z$2:$Z$21,Q99)+SUMIFS(Settings!$AA$2:$AA$21,Settings!$Y$2:$Y$21,"Decision-maker?",Settings!$Z$2:$Z$21,R99)+SUMIFS(Settings!$AA$2:$AA$21,Settings!$Y$2:$Y$21,"Someone on camera?",Settings!$Z$2:$Z$21,S99)+SUMIFS(Settings!$AA$2:$AA$21,Settings!$Y$2:$Y$21,"OK with 3-month term?",Settings!$Z$2:$Z$21,T99)+SUMIFS(Settings!$AA$2:$AA$21,Settings!$Y$2:$Y$21,"Start timeline",Settings!$Z$2:$Z$21,U99)+SUMIFS(Settings!$AA$2:$AA$21,Settings!$Y$2:$Y$21,"Social media gap",Settings!$Z$2:$Z$21,V99)+IF(F99="",0,IF(COUNTIF(Settings!$AC$2:$AC$6,F99)&gt;0,Settings!$AA$20,Settings!$AA$21)))</f>
        <v/>
      </c>
      <c r="X99" s="44" t="str">
        <f aca="false">IF(E99="","",IF(COUNTA(Q99:V99)=0,"Not scored",IF(COUNTA(Q99:V99)&lt;6,"Partly scored ("&amp;COUNTA(Q99:V99)&amp;"/6)",IF(W99&gt;=Settings!$S$8,"Hot",IF(W99&gt;=Settings!$S$9,"Warm","Cold")))))</f>
        <v/>
      </c>
      <c r="Y99" s="44" t="str">
        <f aca="false">IF(E99="","",IF(AND(Q99="No",S99="No"),"🚩 Budget  ·  🚩 No one on camera",IF(Q99="No","🚩 Budget under AED 5k",IF(S99="No","🚩 No one on camera",""))))</f>
        <v/>
      </c>
      <c r="Z99" s="17"/>
      <c r="AA99" s="17"/>
      <c r="AB99" s="40"/>
      <c r="AC99" s="17"/>
      <c r="AD99" s="45" t="str">
        <f aca="false">IF(OR(E99="",AB99="",OR(AA99="Contract signed + paid",AA99="Closed – No response",AA99="Lost"),N(AC99)&gt;=Settings!$S$3),"",AB99+Settings!$S$2)</f>
        <v/>
      </c>
      <c r="AE99" s="40"/>
      <c r="AF99" s="41"/>
      <c r="AG99" s="17"/>
      <c r="AH99" s="17"/>
      <c r="AI99" s="17"/>
      <c r="AJ99" s="46" t="str">
        <f aca="true">IF(OR(E99="",B99=""),"",INT(TODAY()-B99))</f>
        <v/>
      </c>
      <c r="AK99" s="44" t="str">
        <f aca="true">IF(E99="","",IF(OR(COUNTIFS(Clients!$C$2:$C$501,E99,Clients!$S$2:$S$501,"Paid")&gt;0,AND(I99&lt;&gt;"",COUNTIFS(Clients!$E$2:$E$501,I99,Clients!$S$2:$S$501,"Paid")&gt;0)),"⚠ Refunded before – no free video",IF(OR(AA99="Contract signed + paid",AA99="Closed – No response",AA99="Lost"),"",IF(AA99="","Set a stage",IF(AND(AA99="Proposal sent",COUNTA(Q99:V99)&lt;6),"Score this lead – proposal sent unscored",IF(N(AC99)&gt;=Settings!$S$3,"Close – 4 follow-ups sent",IF(AD99="",IF(AB99="","Make first contact",""),IF(TODAY()&gt;AD99,"OVERDUE follow-up",IF(TODAY()=AD99,"Follow up today","")))))))))</f>
        <v/>
      </c>
    </row>
    <row r="100" customFormat="false" ht="15" hidden="false" customHeight="false" outlineLevel="0" collapsed="false">
      <c r="A100" s="17"/>
      <c r="B100" s="40"/>
      <c r="C100" s="41"/>
      <c r="D100" s="17"/>
      <c r="E100" s="17"/>
      <c r="F100" s="17"/>
      <c r="G100" s="17"/>
      <c r="H100" s="17"/>
      <c r="I100" s="42"/>
      <c r="J100" s="17"/>
      <c r="K100" s="17"/>
      <c r="L100" s="17"/>
      <c r="M100" s="17"/>
      <c r="N100" s="40"/>
      <c r="O100" s="41"/>
      <c r="P100" s="43" t="str">
        <f aca="false">IF(OR(B100="",N100=""),"",ROUND(((N100+N(O100))-(B100+N(C100)))*24,1))</f>
        <v/>
      </c>
      <c r="Q100" s="17"/>
      <c r="R100" s="17"/>
      <c r="S100" s="17"/>
      <c r="T100" s="17"/>
      <c r="U100" s="17"/>
      <c r="V100" s="17"/>
      <c r="W100" s="44" t="str">
        <f aca="false">IF(OR(E100="",COUNTA(Q100:V100)=0),"",SUMIFS(Settings!$AA$2:$AA$21,Settings!$Y$2:$Y$21,"Budget AED 5k+/mo?",Settings!$Z$2:$Z$21,Q100)+SUMIFS(Settings!$AA$2:$AA$21,Settings!$Y$2:$Y$21,"Decision-maker?",Settings!$Z$2:$Z$21,R100)+SUMIFS(Settings!$AA$2:$AA$21,Settings!$Y$2:$Y$21,"Someone on camera?",Settings!$Z$2:$Z$21,S100)+SUMIFS(Settings!$AA$2:$AA$21,Settings!$Y$2:$Y$21,"OK with 3-month term?",Settings!$Z$2:$Z$21,T100)+SUMIFS(Settings!$AA$2:$AA$21,Settings!$Y$2:$Y$21,"Start timeline",Settings!$Z$2:$Z$21,U100)+SUMIFS(Settings!$AA$2:$AA$21,Settings!$Y$2:$Y$21,"Social media gap",Settings!$Z$2:$Z$21,V100)+IF(F100="",0,IF(COUNTIF(Settings!$AC$2:$AC$6,F100)&gt;0,Settings!$AA$20,Settings!$AA$21)))</f>
        <v/>
      </c>
      <c r="X100" s="44" t="str">
        <f aca="false">IF(E100="","",IF(COUNTA(Q100:V100)=0,"Not scored",IF(COUNTA(Q100:V100)&lt;6,"Partly scored ("&amp;COUNTA(Q100:V100)&amp;"/6)",IF(W100&gt;=Settings!$S$8,"Hot",IF(W100&gt;=Settings!$S$9,"Warm","Cold")))))</f>
        <v/>
      </c>
      <c r="Y100" s="44" t="str">
        <f aca="false">IF(E100="","",IF(AND(Q100="No",S100="No"),"🚩 Budget  ·  🚩 No one on camera",IF(Q100="No","🚩 Budget under AED 5k",IF(S100="No","🚩 No one on camera",""))))</f>
        <v/>
      </c>
      <c r="Z100" s="17"/>
      <c r="AA100" s="17"/>
      <c r="AB100" s="40"/>
      <c r="AC100" s="17"/>
      <c r="AD100" s="45" t="str">
        <f aca="false">IF(OR(E100="",AB100="",OR(AA100="Contract signed + paid",AA100="Closed – No response",AA100="Lost"),N(AC100)&gt;=Settings!$S$3),"",AB100+Settings!$S$2)</f>
        <v/>
      </c>
      <c r="AE100" s="40"/>
      <c r="AF100" s="41"/>
      <c r="AG100" s="17"/>
      <c r="AH100" s="17"/>
      <c r="AI100" s="17"/>
      <c r="AJ100" s="46" t="str">
        <f aca="true">IF(OR(E100="",B100=""),"",INT(TODAY()-B100))</f>
        <v/>
      </c>
      <c r="AK100" s="44" t="str">
        <f aca="true">IF(E100="","",IF(OR(COUNTIFS(Clients!$C$2:$C$501,E100,Clients!$S$2:$S$501,"Paid")&gt;0,AND(I100&lt;&gt;"",COUNTIFS(Clients!$E$2:$E$501,I100,Clients!$S$2:$S$501,"Paid")&gt;0)),"⚠ Refunded before – no free video",IF(OR(AA100="Contract signed + paid",AA100="Closed – No response",AA100="Lost"),"",IF(AA100="","Set a stage",IF(AND(AA100="Proposal sent",COUNTA(Q100:V100)&lt;6),"Score this lead – proposal sent unscored",IF(N(AC100)&gt;=Settings!$S$3,"Close – 4 follow-ups sent",IF(AD100="",IF(AB100="","Make first contact",""),IF(TODAY()&gt;AD100,"OVERDUE follow-up",IF(TODAY()=AD100,"Follow up today","")))))))))</f>
        <v/>
      </c>
    </row>
    <row r="101" customFormat="false" ht="15" hidden="false" customHeight="false" outlineLevel="0" collapsed="false">
      <c r="A101" s="17"/>
      <c r="B101" s="40"/>
      <c r="C101" s="41"/>
      <c r="D101" s="17"/>
      <c r="E101" s="17"/>
      <c r="F101" s="17"/>
      <c r="G101" s="17"/>
      <c r="H101" s="17"/>
      <c r="I101" s="42"/>
      <c r="J101" s="17"/>
      <c r="K101" s="17"/>
      <c r="L101" s="17"/>
      <c r="M101" s="17"/>
      <c r="N101" s="40"/>
      <c r="O101" s="41"/>
      <c r="P101" s="43" t="str">
        <f aca="false">IF(OR(B101="",N101=""),"",ROUND(((N101+N(O101))-(B101+N(C101)))*24,1))</f>
        <v/>
      </c>
      <c r="Q101" s="17"/>
      <c r="R101" s="17"/>
      <c r="S101" s="17"/>
      <c r="T101" s="17"/>
      <c r="U101" s="17"/>
      <c r="V101" s="17"/>
      <c r="W101" s="44" t="str">
        <f aca="false">IF(OR(E101="",COUNTA(Q101:V101)=0),"",SUMIFS(Settings!$AA$2:$AA$21,Settings!$Y$2:$Y$21,"Budget AED 5k+/mo?",Settings!$Z$2:$Z$21,Q101)+SUMIFS(Settings!$AA$2:$AA$21,Settings!$Y$2:$Y$21,"Decision-maker?",Settings!$Z$2:$Z$21,R101)+SUMIFS(Settings!$AA$2:$AA$21,Settings!$Y$2:$Y$21,"Someone on camera?",Settings!$Z$2:$Z$21,S101)+SUMIFS(Settings!$AA$2:$AA$21,Settings!$Y$2:$Y$21,"OK with 3-month term?",Settings!$Z$2:$Z$21,T101)+SUMIFS(Settings!$AA$2:$AA$21,Settings!$Y$2:$Y$21,"Start timeline",Settings!$Z$2:$Z$21,U101)+SUMIFS(Settings!$AA$2:$AA$21,Settings!$Y$2:$Y$21,"Social media gap",Settings!$Z$2:$Z$21,V101)+IF(F101="",0,IF(COUNTIF(Settings!$AC$2:$AC$6,F101)&gt;0,Settings!$AA$20,Settings!$AA$21)))</f>
        <v/>
      </c>
      <c r="X101" s="44" t="str">
        <f aca="false">IF(E101="","",IF(COUNTA(Q101:V101)=0,"Not scored",IF(COUNTA(Q101:V101)&lt;6,"Partly scored ("&amp;COUNTA(Q101:V101)&amp;"/6)",IF(W101&gt;=Settings!$S$8,"Hot",IF(W101&gt;=Settings!$S$9,"Warm","Cold")))))</f>
        <v/>
      </c>
      <c r="Y101" s="44" t="str">
        <f aca="false">IF(E101="","",IF(AND(Q101="No",S101="No"),"🚩 Budget  ·  🚩 No one on camera",IF(Q101="No","🚩 Budget under AED 5k",IF(S101="No","🚩 No one on camera",""))))</f>
        <v/>
      </c>
      <c r="Z101" s="17"/>
      <c r="AA101" s="17"/>
      <c r="AB101" s="40"/>
      <c r="AC101" s="17"/>
      <c r="AD101" s="45" t="str">
        <f aca="false">IF(OR(E101="",AB101="",OR(AA101="Contract signed + paid",AA101="Closed – No response",AA101="Lost"),N(AC101)&gt;=Settings!$S$3),"",AB101+Settings!$S$2)</f>
        <v/>
      </c>
      <c r="AE101" s="40"/>
      <c r="AF101" s="41"/>
      <c r="AG101" s="17"/>
      <c r="AH101" s="17"/>
      <c r="AI101" s="17"/>
      <c r="AJ101" s="46" t="str">
        <f aca="true">IF(OR(E101="",B101=""),"",INT(TODAY()-B101))</f>
        <v/>
      </c>
      <c r="AK101" s="44" t="str">
        <f aca="true">IF(E101="","",IF(OR(COUNTIFS(Clients!$C$2:$C$501,E101,Clients!$S$2:$S$501,"Paid")&gt;0,AND(I101&lt;&gt;"",COUNTIFS(Clients!$E$2:$E$501,I101,Clients!$S$2:$S$501,"Paid")&gt;0)),"⚠ Refunded before – no free video",IF(OR(AA101="Contract signed + paid",AA101="Closed – No response",AA101="Lost"),"",IF(AA101="","Set a stage",IF(AND(AA101="Proposal sent",COUNTA(Q101:V101)&lt;6),"Score this lead – proposal sent unscored",IF(N(AC101)&gt;=Settings!$S$3,"Close – 4 follow-ups sent",IF(AD101="",IF(AB101="","Make first contact",""),IF(TODAY()&gt;AD101,"OVERDUE follow-up",IF(TODAY()=AD101,"Follow up today","")))))))))</f>
        <v/>
      </c>
    </row>
    <row r="102" customFormat="false" ht="15" hidden="false" customHeight="false" outlineLevel="0" collapsed="false">
      <c r="A102" s="17"/>
      <c r="B102" s="40"/>
      <c r="C102" s="41"/>
      <c r="D102" s="17"/>
      <c r="E102" s="17"/>
      <c r="F102" s="17"/>
      <c r="G102" s="17"/>
      <c r="H102" s="17"/>
      <c r="I102" s="42"/>
      <c r="J102" s="17"/>
      <c r="K102" s="17"/>
      <c r="L102" s="17"/>
      <c r="M102" s="17"/>
      <c r="N102" s="40"/>
      <c r="O102" s="41"/>
      <c r="P102" s="43" t="str">
        <f aca="false">IF(OR(B102="",N102=""),"",ROUND(((N102+N(O102))-(B102+N(C102)))*24,1))</f>
        <v/>
      </c>
      <c r="Q102" s="17"/>
      <c r="R102" s="17"/>
      <c r="S102" s="17"/>
      <c r="T102" s="17"/>
      <c r="U102" s="17"/>
      <c r="V102" s="17"/>
      <c r="W102" s="44" t="str">
        <f aca="false">IF(OR(E102="",COUNTA(Q102:V102)=0),"",SUMIFS(Settings!$AA$2:$AA$21,Settings!$Y$2:$Y$21,"Budget AED 5k+/mo?",Settings!$Z$2:$Z$21,Q102)+SUMIFS(Settings!$AA$2:$AA$21,Settings!$Y$2:$Y$21,"Decision-maker?",Settings!$Z$2:$Z$21,R102)+SUMIFS(Settings!$AA$2:$AA$21,Settings!$Y$2:$Y$21,"Someone on camera?",Settings!$Z$2:$Z$21,S102)+SUMIFS(Settings!$AA$2:$AA$21,Settings!$Y$2:$Y$21,"OK with 3-month term?",Settings!$Z$2:$Z$21,T102)+SUMIFS(Settings!$AA$2:$AA$21,Settings!$Y$2:$Y$21,"Start timeline",Settings!$Z$2:$Z$21,U102)+SUMIFS(Settings!$AA$2:$AA$21,Settings!$Y$2:$Y$21,"Social media gap",Settings!$Z$2:$Z$21,V102)+IF(F102="",0,IF(COUNTIF(Settings!$AC$2:$AC$6,F102)&gt;0,Settings!$AA$20,Settings!$AA$21)))</f>
        <v/>
      </c>
      <c r="X102" s="44" t="str">
        <f aca="false">IF(E102="","",IF(COUNTA(Q102:V102)=0,"Not scored",IF(COUNTA(Q102:V102)&lt;6,"Partly scored ("&amp;COUNTA(Q102:V102)&amp;"/6)",IF(W102&gt;=Settings!$S$8,"Hot",IF(W102&gt;=Settings!$S$9,"Warm","Cold")))))</f>
        <v/>
      </c>
      <c r="Y102" s="44" t="str">
        <f aca="false">IF(E102="","",IF(AND(Q102="No",S102="No"),"🚩 Budget  ·  🚩 No one on camera",IF(Q102="No","🚩 Budget under AED 5k",IF(S102="No","🚩 No one on camera",""))))</f>
        <v/>
      </c>
      <c r="Z102" s="17"/>
      <c r="AA102" s="17"/>
      <c r="AB102" s="40"/>
      <c r="AC102" s="17"/>
      <c r="AD102" s="45" t="str">
        <f aca="false">IF(OR(E102="",AB102="",OR(AA102="Contract signed + paid",AA102="Closed – No response",AA102="Lost"),N(AC102)&gt;=Settings!$S$3),"",AB102+Settings!$S$2)</f>
        <v/>
      </c>
      <c r="AE102" s="40"/>
      <c r="AF102" s="41"/>
      <c r="AG102" s="17"/>
      <c r="AH102" s="17"/>
      <c r="AI102" s="17"/>
      <c r="AJ102" s="46" t="str">
        <f aca="true">IF(OR(E102="",B102=""),"",INT(TODAY()-B102))</f>
        <v/>
      </c>
      <c r="AK102" s="44" t="str">
        <f aca="true">IF(E102="","",IF(OR(COUNTIFS(Clients!$C$2:$C$501,E102,Clients!$S$2:$S$501,"Paid")&gt;0,AND(I102&lt;&gt;"",COUNTIFS(Clients!$E$2:$E$501,I102,Clients!$S$2:$S$501,"Paid")&gt;0)),"⚠ Refunded before – no free video",IF(OR(AA102="Contract signed + paid",AA102="Closed – No response",AA102="Lost"),"",IF(AA102="","Set a stage",IF(AND(AA102="Proposal sent",COUNTA(Q102:V102)&lt;6),"Score this lead – proposal sent unscored",IF(N(AC102)&gt;=Settings!$S$3,"Close – 4 follow-ups sent",IF(AD102="",IF(AB102="","Make first contact",""),IF(TODAY()&gt;AD102,"OVERDUE follow-up",IF(TODAY()=AD102,"Follow up today","")))))))))</f>
        <v/>
      </c>
    </row>
    <row r="103" customFormat="false" ht="15" hidden="false" customHeight="false" outlineLevel="0" collapsed="false">
      <c r="A103" s="17"/>
      <c r="B103" s="40"/>
      <c r="C103" s="41"/>
      <c r="D103" s="17"/>
      <c r="E103" s="17"/>
      <c r="F103" s="17"/>
      <c r="G103" s="17"/>
      <c r="H103" s="17"/>
      <c r="I103" s="42"/>
      <c r="J103" s="17"/>
      <c r="K103" s="17"/>
      <c r="L103" s="17"/>
      <c r="M103" s="17"/>
      <c r="N103" s="40"/>
      <c r="O103" s="41"/>
      <c r="P103" s="43" t="str">
        <f aca="false">IF(OR(B103="",N103=""),"",ROUND(((N103+N(O103))-(B103+N(C103)))*24,1))</f>
        <v/>
      </c>
      <c r="Q103" s="17"/>
      <c r="R103" s="17"/>
      <c r="S103" s="17"/>
      <c r="T103" s="17"/>
      <c r="U103" s="17"/>
      <c r="V103" s="17"/>
      <c r="W103" s="44" t="str">
        <f aca="false">IF(OR(E103="",COUNTA(Q103:V103)=0),"",SUMIFS(Settings!$AA$2:$AA$21,Settings!$Y$2:$Y$21,"Budget AED 5k+/mo?",Settings!$Z$2:$Z$21,Q103)+SUMIFS(Settings!$AA$2:$AA$21,Settings!$Y$2:$Y$21,"Decision-maker?",Settings!$Z$2:$Z$21,R103)+SUMIFS(Settings!$AA$2:$AA$21,Settings!$Y$2:$Y$21,"Someone on camera?",Settings!$Z$2:$Z$21,S103)+SUMIFS(Settings!$AA$2:$AA$21,Settings!$Y$2:$Y$21,"OK with 3-month term?",Settings!$Z$2:$Z$21,T103)+SUMIFS(Settings!$AA$2:$AA$21,Settings!$Y$2:$Y$21,"Start timeline",Settings!$Z$2:$Z$21,U103)+SUMIFS(Settings!$AA$2:$AA$21,Settings!$Y$2:$Y$21,"Social media gap",Settings!$Z$2:$Z$21,V103)+IF(F103="",0,IF(COUNTIF(Settings!$AC$2:$AC$6,F103)&gt;0,Settings!$AA$20,Settings!$AA$21)))</f>
        <v/>
      </c>
      <c r="X103" s="44" t="str">
        <f aca="false">IF(E103="","",IF(COUNTA(Q103:V103)=0,"Not scored",IF(COUNTA(Q103:V103)&lt;6,"Partly scored ("&amp;COUNTA(Q103:V103)&amp;"/6)",IF(W103&gt;=Settings!$S$8,"Hot",IF(W103&gt;=Settings!$S$9,"Warm","Cold")))))</f>
        <v/>
      </c>
      <c r="Y103" s="44" t="str">
        <f aca="false">IF(E103="","",IF(AND(Q103="No",S103="No"),"🚩 Budget  ·  🚩 No one on camera",IF(Q103="No","🚩 Budget under AED 5k",IF(S103="No","🚩 No one on camera",""))))</f>
        <v/>
      </c>
      <c r="Z103" s="17"/>
      <c r="AA103" s="17"/>
      <c r="AB103" s="40"/>
      <c r="AC103" s="17"/>
      <c r="AD103" s="45" t="str">
        <f aca="false">IF(OR(E103="",AB103="",OR(AA103="Contract signed + paid",AA103="Closed – No response",AA103="Lost"),N(AC103)&gt;=Settings!$S$3),"",AB103+Settings!$S$2)</f>
        <v/>
      </c>
      <c r="AE103" s="40"/>
      <c r="AF103" s="41"/>
      <c r="AG103" s="17"/>
      <c r="AH103" s="17"/>
      <c r="AI103" s="17"/>
      <c r="AJ103" s="46" t="str">
        <f aca="true">IF(OR(E103="",B103=""),"",INT(TODAY()-B103))</f>
        <v/>
      </c>
      <c r="AK103" s="44" t="str">
        <f aca="true">IF(E103="","",IF(OR(COUNTIFS(Clients!$C$2:$C$501,E103,Clients!$S$2:$S$501,"Paid")&gt;0,AND(I103&lt;&gt;"",COUNTIFS(Clients!$E$2:$E$501,I103,Clients!$S$2:$S$501,"Paid")&gt;0)),"⚠ Refunded before – no free video",IF(OR(AA103="Contract signed + paid",AA103="Closed – No response",AA103="Lost"),"",IF(AA103="","Set a stage",IF(AND(AA103="Proposal sent",COUNTA(Q103:V103)&lt;6),"Score this lead – proposal sent unscored",IF(N(AC103)&gt;=Settings!$S$3,"Close – 4 follow-ups sent",IF(AD103="",IF(AB103="","Make first contact",""),IF(TODAY()&gt;AD103,"OVERDUE follow-up",IF(TODAY()=AD103,"Follow up today","")))))))))</f>
        <v/>
      </c>
    </row>
    <row r="104" customFormat="false" ht="15" hidden="false" customHeight="false" outlineLevel="0" collapsed="false">
      <c r="A104" s="17"/>
      <c r="B104" s="40"/>
      <c r="C104" s="41"/>
      <c r="D104" s="17"/>
      <c r="E104" s="17"/>
      <c r="F104" s="17"/>
      <c r="G104" s="17"/>
      <c r="H104" s="17"/>
      <c r="I104" s="42"/>
      <c r="J104" s="17"/>
      <c r="K104" s="17"/>
      <c r="L104" s="17"/>
      <c r="M104" s="17"/>
      <c r="N104" s="40"/>
      <c r="O104" s="41"/>
      <c r="P104" s="43" t="str">
        <f aca="false">IF(OR(B104="",N104=""),"",ROUND(((N104+N(O104))-(B104+N(C104)))*24,1))</f>
        <v/>
      </c>
      <c r="Q104" s="17"/>
      <c r="R104" s="17"/>
      <c r="S104" s="17"/>
      <c r="T104" s="17"/>
      <c r="U104" s="17"/>
      <c r="V104" s="17"/>
      <c r="W104" s="44" t="str">
        <f aca="false">IF(OR(E104="",COUNTA(Q104:V104)=0),"",SUMIFS(Settings!$AA$2:$AA$21,Settings!$Y$2:$Y$21,"Budget AED 5k+/mo?",Settings!$Z$2:$Z$21,Q104)+SUMIFS(Settings!$AA$2:$AA$21,Settings!$Y$2:$Y$21,"Decision-maker?",Settings!$Z$2:$Z$21,R104)+SUMIFS(Settings!$AA$2:$AA$21,Settings!$Y$2:$Y$21,"Someone on camera?",Settings!$Z$2:$Z$21,S104)+SUMIFS(Settings!$AA$2:$AA$21,Settings!$Y$2:$Y$21,"OK with 3-month term?",Settings!$Z$2:$Z$21,T104)+SUMIFS(Settings!$AA$2:$AA$21,Settings!$Y$2:$Y$21,"Start timeline",Settings!$Z$2:$Z$21,U104)+SUMIFS(Settings!$AA$2:$AA$21,Settings!$Y$2:$Y$21,"Social media gap",Settings!$Z$2:$Z$21,V104)+IF(F104="",0,IF(COUNTIF(Settings!$AC$2:$AC$6,F104)&gt;0,Settings!$AA$20,Settings!$AA$21)))</f>
        <v/>
      </c>
      <c r="X104" s="44" t="str">
        <f aca="false">IF(E104="","",IF(COUNTA(Q104:V104)=0,"Not scored",IF(COUNTA(Q104:V104)&lt;6,"Partly scored ("&amp;COUNTA(Q104:V104)&amp;"/6)",IF(W104&gt;=Settings!$S$8,"Hot",IF(W104&gt;=Settings!$S$9,"Warm","Cold")))))</f>
        <v/>
      </c>
      <c r="Y104" s="44" t="str">
        <f aca="false">IF(E104="","",IF(AND(Q104="No",S104="No"),"🚩 Budget  ·  🚩 No one on camera",IF(Q104="No","🚩 Budget under AED 5k",IF(S104="No","🚩 No one on camera",""))))</f>
        <v/>
      </c>
      <c r="Z104" s="17"/>
      <c r="AA104" s="17"/>
      <c r="AB104" s="40"/>
      <c r="AC104" s="17"/>
      <c r="AD104" s="45" t="str">
        <f aca="false">IF(OR(E104="",AB104="",OR(AA104="Contract signed + paid",AA104="Closed – No response",AA104="Lost"),N(AC104)&gt;=Settings!$S$3),"",AB104+Settings!$S$2)</f>
        <v/>
      </c>
      <c r="AE104" s="40"/>
      <c r="AF104" s="41"/>
      <c r="AG104" s="17"/>
      <c r="AH104" s="17"/>
      <c r="AI104" s="17"/>
      <c r="AJ104" s="46" t="str">
        <f aca="true">IF(OR(E104="",B104=""),"",INT(TODAY()-B104))</f>
        <v/>
      </c>
      <c r="AK104" s="44" t="str">
        <f aca="true">IF(E104="","",IF(OR(COUNTIFS(Clients!$C$2:$C$501,E104,Clients!$S$2:$S$501,"Paid")&gt;0,AND(I104&lt;&gt;"",COUNTIFS(Clients!$E$2:$E$501,I104,Clients!$S$2:$S$501,"Paid")&gt;0)),"⚠ Refunded before – no free video",IF(OR(AA104="Contract signed + paid",AA104="Closed – No response",AA104="Lost"),"",IF(AA104="","Set a stage",IF(AND(AA104="Proposal sent",COUNTA(Q104:V104)&lt;6),"Score this lead – proposal sent unscored",IF(N(AC104)&gt;=Settings!$S$3,"Close – 4 follow-ups sent",IF(AD104="",IF(AB104="","Make first contact",""),IF(TODAY()&gt;AD104,"OVERDUE follow-up",IF(TODAY()=AD104,"Follow up today","")))))))))</f>
        <v/>
      </c>
    </row>
    <row r="105" customFormat="false" ht="15" hidden="false" customHeight="false" outlineLevel="0" collapsed="false">
      <c r="A105" s="17"/>
      <c r="B105" s="40"/>
      <c r="C105" s="41"/>
      <c r="D105" s="17"/>
      <c r="E105" s="17"/>
      <c r="F105" s="17"/>
      <c r="G105" s="17"/>
      <c r="H105" s="17"/>
      <c r="I105" s="42"/>
      <c r="J105" s="17"/>
      <c r="K105" s="17"/>
      <c r="L105" s="17"/>
      <c r="M105" s="17"/>
      <c r="N105" s="40"/>
      <c r="O105" s="41"/>
      <c r="P105" s="43" t="str">
        <f aca="false">IF(OR(B105="",N105=""),"",ROUND(((N105+N(O105))-(B105+N(C105)))*24,1))</f>
        <v/>
      </c>
      <c r="Q105" s="17"/>
      <c r="R105" s="17"/>
      <c r="S105" s="17"/>
      <c r="T105" s="17"/>
      <c r="U105" s="17"/>
      <c r="V105" s="17"/>
      <c r="W105" s="44" t="str">
        <f aca="false">IF(OR(E105="",COUNTA(Q105:V105)=0),"",SUMIFS(Settings!$AA$2:$AA$21,Settings!$Y$2:$Y$21,"Budget AED 5k+/mo?",Settings!$Z$2:$Z$21,Q105)+SUMIFS(Settings!$AA$2:$AA$21,Settings!$Y$2:$Y$21,"Decision-maker?",Settings!$Z$2:$Z$21,R105)+SUMIFS(Settings!$AA$2:$AA$21,Settings!$Y$2:$Y$21,"Someone on camera?",Settings!$Z$2:$Z$21,S105)+SUMIFS(Settings!$AA$2:$AA$21,Settings!$Y$2:$Y$21,"OK with 3-month term?",Settings!$Z$2:$Z$21,T105)+SUMIFS(Settings!$AA$2:$AA$21,Settings!$Y$2:$Y$21,"Start timeline",Settings!$Z$2:$Z$21,U105)+SUMIFS(Settings!$AA$2:$AA$21,Settings!$Y$2:$Y$21,"Social media gap",Settings!$Z$2:$Z$21,V105)+IF(F105="",0,IF(COUNTIF(Settings!$AC$2:$AC$6,F105)&gt;0,Settings!$AA$20,Settings!$AA$21)))</f>
        <v/>
      </c>
      <c r="X105" s="44" t="str">
        <f aca="false">IF(E105="","",IF(COUNTA(Q105:V105)=0,"Not scored",IF(COUNTA(Q105:V105)&lt;6,"Partly scored ("&amp;COUNTA(Q105:V105)&amp;"/6)",IF(W105&gt;=Settings!$S$8,"Hot",IF(W105&gt;=Settings!$S$9,"Warm","Cold")))))</f>
        <v/>
      </c>
      <c r="Y105" s="44" t="str">
        <f aca="false">IF(E105="","",IF(AND(Q105="No",S105="No"),"🚩 Budget  ·  🚩 No one on camera",IF(Q105="No","🚩 Budget under AED 5k",IF(S105="No","🚩 No one on camera",""))))</f>
        <v/>
      </c>
      <c r="Z105" s="17"/>
      <c r="AA105" s="17"/>
      <c r="AB105" s="40"/>
      <c r="AC105" s="17"/>
      <c r="AD105" s="45" t="str">
        <f aca="false">IF(OR(E105="",AB105="",OR(AA105="Contract signed + paid",AA105="Closed – No response",AA105="Lost"),N(AC105)&gt;=Settings!$S$3),"",AB105+Settings!$S$2)</f>
        <v/>
      </c>
      <c r="AE105" s="40"/>
      <c r="AF105" s="41"/>
      <c r="AG105" s="17"/>
      <c r="AH105" s="17"/>
      <c r="AI105" s="17"/>
      <c r="AJ105" s="46" t="str">
        <f aca="true">IF(OR(E105="",B105=""),"",INT(TODAY()-B105))</f>
        <v/>
      </c>
      <c r="AK105" s="44" t="str">
        <f aca="true">IF(E105="","",IF(OR(COUNTIFS(Clients!$C$2:$C$501,E105,Clients!$S$2:$S$501,"Paid")&gt;0,AND(I105&lt;&gt;"",COUNTIFS(Clients!$E$2:$E$501,I105,Clients!$S$2:$S$501,"Paid")&gt;0)),"⚠ Refunded before – no free video",IF(OR(AA105="Contract signed + paid",AA105="Closed – No response",AA105="Lost"),"",IF(AA105="","Set a stage",IF(AND(AA105="Proposal sent",COUNTA(Q105:V105)&lt;6),"Score this lead – proposal sent unscored",IF(N(AC105)&gt;=Settings!$S$3,"Close – 4 follow-ups sent",IF(AD105="",IF(AB105="","Make first contact",""),IF(TODAY()&gt;AD105,"OVERDUE follow-up",IF(TODAY()=AD105,"Follow up today","")))))))))</f>
        <v/>
      </c>
    </row>
    <row r="106" customFormat="false" ht="15" hidden="false" customHeight="false" outlineLevel="0" collapsed="false">
      <c r="A106" s="17"/>
      <c r="B106" s="40"/>
      <c r="C106" s="41"/>
      <c r="D106" s="17"/>
      <c r="E106" s="17"/>
      <c r="F106" s="17"/>
      <c r="G106" s="17"/>
      <c r="H106" s="17"/>
      <c r="I106" s="42"/>
      <c r="J106" s="17"/>
      <c r="K106" s="17"/>
      <c r="L106" s="17"/>
      <c r="M106" s="17"/>
      <c r="N106" s="40"/>
      <c r="O106" s="41"/>
      <c r="P106" s="43" t="str">
        <f aca="false">IF(OR(B106="",N106=""),"",ROUND(((N106+N(O106))-(B106+N(C106)))*24,1))</f>
        <v/>
      </c>
      <c r="Q106" s="17"/>
      <c r="R106" s="17"/>
      <c r="S106" s="17"/>
      <c r="T106" s="17"/>
      <c r="U106" s="17"/>
      <c r="V106" s="17"/>
      <c r="W106" s="44" t="str">
        <f aca="false">IF(OR(E106="",COUNTA(Q106:V106)=0),"",SUMIFS(Settings!$AA$2:$AA$21,Settings!$Y$2:$Y$21,"Budget AED 5k+/mo?",Settings!$Z$2:$Z$21,Q106)+SUMIFS(Settings!$AA$2:$AA$21,Settings!$Y$2:$Y$21,"Decision-maker?",Settings!$Z$2:$Z$21,R106)+SUMIFS(Settings!$AA$2:$AA$21,Settings!$Y$2:$Y$21,"Someone on camera?",Settings!$Z$2:$Z$21,S106)+SUMIFS(Settings!$AA$2:$AA$21,Settings!$Y$2:$Y$21,"OK with 3-month term?",Settings!$Z$2:$Z$21,T106)+SUMIFS(Settings!$AA$2:$AA$21,Settings!$Y$2:$Y$21,"Start timeline",Settings!$Z$2:$Z$21,U106)+SUMIFS(Settings!$AA$2:$AA$21,Settings!$Y$2:$Y$21,"Social media gap",Settings!$Z$2:$Z$21,V106)+IF(F106="",0,IF(COUNTIF(Settings!$AC$2:$AC$6,F106)&gt;0,Settings!$AA$20,Settings!$AA$21)))</f>
        <v/>
      </c>
      <c r="X106" s="44" t="str">
        <f aca="false">IF(E106="","",IF(COUNTA(Q106:V106)=0,"Not scored",IF(COUNTA(Q106:V106)&lt;6,"Partly scored ("&amp;COUNTA(Q106:V106)&amp;"/6)",IF(W106&gt;=Settings!$S$8,"Hot",IF(W106&gt;=Settings!$S$9,"Warm","Cold")))))</f>
        <v/>
      </c>
      <c r="Y106" s="44" t="str">
        <f aca="false">IF(E106="","",IF(AND(Q106="No",S106="No"),"🚩 Budget  ·  🚩 No one on camera",IF(Q106="No","🚩 Budget under AED 5k",IF(S106="No","🚩 No one on camera",""))))</f>
        <v/>
      </c>
      <c r="Z106" s="17"/>
      <c r="AA106" s="17"/>
      <c r="AB106" s="40"/>
      <c r="AC106" s="17"/>
      <c r="AD106" s="45" t="str">
        <f aca="false">IF(OR(E106="",AB106="",OR(AA106="Contract signed + paid",AA106="Closed – No response",AA106="Lost"),N(AC106)&gt;=Settings!$S$3),"",AB106+Settings!$S$2)</f>
        <v/>
      </c>
      <c r="AE106" s="40"/>
      <c r="AF106" s="41"/>
      <c r="AG106" s="17"/>
      <c r="AH106" s="17"/>
      <c r="AI106" s="17"/>
      <c r="AJ106" s="46" t="str">
        <f aca="true">IF(OR(E106="",B106=""),"",INT(TODAY()-B106))</f>
        <v/>
      </c>
      <c r="AK106" s="44" t="str">
        <f aca="true">IF(E106="","",IF(OR(COUNTIFS(Clients!$C$2:$C$501,E106,Clients!$S$2:$S$501,"Paid")&gt;0,AND(I106&lt;&gt;"",COUNTIFS(Clients!$E$2:$E$501,I106,Clients!$S$2:$S$501,"Paid")&gt;0)),"⚠ Refunded before – no free video",IF(OR(AA106="Contract signed + paid",AA106="Closed – No response",AA106="Lost"),"",IF(AA106="","Set a stage",IF(AND(AA106="Proposal sent",COUNTA(Q106:V106)&lt;6),"Score this lead – proposal sent unscored",IF(N(AC106)&gt;=Settings!$S$3,"Close – 4 follow-ups sent",IF(AD106="",IF(AB106="","Make first contact",""),IF(TODAY()&gt;AD106,"OVERDUE follow-up",IF(TODAY()=AD106,"Follow up today","")))))))))</f>
        <v/>
      </c>
    </row>
    <row r="107" customFormat="false" ht="15" hidden="false" customHeight="false" outlineLevel="0" collapsed="false">
      <c r="A107" s="17"/>
      <c r="B107" s="40"/>
      <c r="C107" s="41"/>
      <c r="D107" s="17"/>
      <c r="E107" s="17"/>
      <c r="F107" s="17"/>
      <c r="G107" s="17"/>
      <c r="H107" s="17"/>
      <c r="I107" s="42"/>
      <c r="J107" s="17"/>
      <c r="K107" s="17"/>
      <c r="L107" s="17"/>
      <c r="M107" s="17"/>
      <c r="N107" s="40"/>
      <c r="O107" s="41"/>
      <c r="P107" s="43" t="str">
        <f aca="false">IF(OR(B107="",N107=""),"",ROUND(((N107+N(O107))-(B107+N(C107)))*24,1))</f>
        <v/>
      </c>
      <c r="Q107" s="17"/>
      <c r="R107" s="17"/>
      <c r="S107" s="17"/>
      <c r="T107" s="17"/>
      <c r="U107" s="17"/>
      <c r="V107" s="17"/>
      <c r="W107" s="44" t="str">
        <f aca="false">IF(OR(E107="",COUNTA(Q107:V107)=0),"",SUMIFS(Settings!$AA$2:$AA$21,Settings!$Y$2:$Y$21,"Budget AED 5k+/mo?",Settings!$Z$2:$Z$21,Q107)+SUMIFS(Settings!$AA$2:$AA$21,Settings!$Y$2:$Y$21,"Decision-maker?",Settings!$Z$2:$Z$21,R107)+SUMIFS(Settings!$AA$2:$AA$21,Settings!$Y$2:$Y$21,"Someone on camera?",Settings!$Z$2:$Z$21,S107)+SUMIFS(Settings!$AA$2:$AA$21,Settings!$Y$2:$Y$21,"OK with 3-month term?",Settings!$Z$2:$Z$21,T107)+SUMIFS(Settings!$AA$2:$AA$21,Settings!$Y$2:$Y$21,"Start timeline",Settings!$Z$2:$Z$21,U107)+SUMIFS(Settings!$AA$2:$AA$21,Settings!$Y$2:$Y$21,"Social media gap",Settings!$Z$2:$Z$21,V107)+IF(F107="",0,IF(COUNTIF(Settings!$AC$2:$AC$6,F107)&gt;0,Settings!$AA$20,Settings!$AA$21)))</f>
        <v/>
      </c>
      <c r="X107" s="44" t="str">
        <f aca="false">IF(E107="","",IF(COUNTA(Q107:V107)=0,"Not scored",IF(COUNTA(Q107:V107)&lt;6,"Partly scored ("&amp;COUNTA(Q107:V107)&amp;"/6)",IF(W107&gt;=Settings!$S$8,"Hot",IF(W107&gt;=Settings!$S$9,"Warm","Cold")))))</f>
        <v/>
      </c>
      <c r="Y107" s="44" t="str">
        <f aca="false">IF(E107="","",IF(AND(Q107="No",S107="No"),"🚩 Budget  ·  🚩 No one on camera",IF(Q107="No","🚩 Budget under AED 5k",IF(S107="No","🚩 No one on camera",""))))</f>
        <v/>
      </c>
      <c r="Z107" s="17"/>
      <c r="AA107" s="17"/>
      <c r="AB107" s="40"/>
      <c r="AC107" s="17"/>
      <c r="AD107" s="45" t="str">
        <f aca="false">IF(OR(E107="",AB107="",OR(AA107="Contract signed + paid",AA107="Closed – No response",AA107="Lost"),N(AC107)&gt;=Settings!$S$3),"",AB107+Settings!$S$2)</f>
        <v/>
      </c>
      <c r="AE107" s="40"/>
      <c r="AF107" s="41"/>
      <c r="AG107" s="17"/>
      <c r="AH107" s="17"/>
      <c r="AI107" s="17"/>
      <c r="AJ107" s="46" t="str">
        <f aca="true">IF(OR(E107="",B107=""),"",INT(TODAY()-B107))</f>
        <v/>
      </c>
      <c r="AK107" s="44" t="str">
        <f aca="true">IF(E107="","",IF(OR(COUNTIFS(Clients!$C$2:$C$501,E107,Clients!$S$2:$S$501,"Paid")&gt;0,AND(I107&lt;&gt;"",COUNTIFS(Clients!$E$2:$E$501,I107,Clients!$S$2:$S$501,"Paid")&gt;0)),"⚠ Refunded before – no free video",IF(OR(AA107="Contract signed + paid",AA107="Closed – No response",AA107="Lost"),"",IF(AA107="","Set a stage",IF(AND(AA107="Proposal sent",COUNTA(Q107:V107)&lt;6),"Score this lead – proposal sent unscored",IF(N(AC107)&gt;=Settings!$S$3,"Close – 4 follow-ups sent",IF(AD107="",IF(AB107="","Make first contact",""),IF(TODAY()&gt;AD107,"OVERDUE follow-up",IF(TODAY()=AD107,"Follow up today","")))))))))</f>
        <v/>
      </c>
    </row>
    <row r="108" customFormat="false" ht="15" hidden="false" customHeight="false" outlineLevel="0" collapsed="false">
      <c r="A108" s="17"/>
      <c r="B108" s="40"/>
      <c r="C108" s="41"/>
      <c r="D108" s="17"/>
      <c r="E108" s="17"/>
      <c r="F108" s="17"/>
      <c r="G108" s="17"/>
      <c r="H108" s="17"/>
      <c r="I108" s="42"/>
      <c r="J108" s="17"/>
      <c r="K108" s="17"/>
      <c r="L108" s="17"/>
      <c r="M108" s="17"/>
      <c r="N108" s="40"/>
      <c r="O108" s="41"/>
      <c r="P108" s="43" t="str">
        <f aca="false">IF(OR(B108="",N108=""),"",ROUND(((N108+N(O108))-(B108+N(C108)))*24,1))</f>
        <v/>
      </c>
      <c r="Q108" s="17"/>
      <c r="R108" s="17"/>
      <c r="S108" s="17"/>
      <c r="T108" s="17"/>
      <c r="U108" s="17"/>
      <c r="V108" s="17"/>
      <c r="W108" s="44" t="str">
        <f aca="false">IF(OR(E108="",COUNTA(Q108:V108)=0),"",SUMIFS(Settings!$AA$2:$AA$21,Settings!$Y$2:$Y$21,"Budget AED 5k+/mo?",Settings!$Z$2:$Z$21,Q108)+SUMIFS(Settings!$AA$2:$AA$21,Settings!$Y$2:$Y$21,"Decision-maker?",Settings!$Z$2:$Z$21,R108)+SUMIFS(Settings!$AA$2:$AA$21,Settings!$Y$2:$Y$21,"Someone on camera?",Settings!$Z$2:$Z$21,S108)+SUMIFS(Settings!$AA$2:$AA$21,Settings!$Y$2:$Y$21,"OK with 3-month term?",Settings!$Z$2:$Z$21,T108)+SUMIFS(Settings!$AA$2:$AA$21,Settings!$Y$2:$Y$21,"Start timeline",Settings!$Z$2:$Z$21,U108)+SUMIFS(Settings!$AA$2:$AA$21,Settings!$Y$2:$Y$21,"Social media gap",Settings!$Z$2:$Z$21,V108)+IF(F108="",0,IF(COUNTIF(Settings!$AC$2:$AC$6,F108)&gt;0,Settings!$AA$20,Settings!$AA$21)))</f>
        <v/>
      </c>
      <c r="X108" s="44" t="str">
        <f aca="false">IF(E108="","",IF(COUNTA(Q108:V108)=0,"Not scored",IF(COUNTA(Q108:V108)&lt;6,"Partly scored ("&amp;COUNTA(Q108:V108)&amp;"/6)",IF(W108&gt;=Settings!$S$8,"Hot",IF(W108&gt;=Settings!$S$9,"Warm","Cold")))))</f>
        <v/>
      </c>
      <c r="Y108" s="44" t="str">
        <f aca="false">IF(E108="","",IF(AND(Q108="No",S108="No"),"🚩 Budget  ·  🚩 No one on camera",IF(Q108="No","🚩 Budget under AED 5k",IF(S108="No","🚩 No one on camera",""))))</f>
        <v/>
      </c>
      <c r="Z108" s="17"/>
      <c r="AA108" s="17"/>
      <c r="AB108" s="40"/>
      <c r="AC108" s="17"/>
      <c r="AD108" s="45" t="str">
        <f aca="false">IF(OR(E108="",AB108="",OR(AA108="Contract signed + paid",AA108="Closed – No response",AA108="Lost"),N(AC108)&gt;=Settings!$S$3),"",AB108+Settings!$S$2)</f>
        <v/>
      </c>
      <c r="AE108" s="40"/>
      <c r="AF108" s="41"/>
      <c r="AG108" s="17"/>
      <c r="AH108" s="17"/>
      <c r="AI108" s="17"/>
      <c r="AJ108" s="46" t="str">
        <f aca="true">IF(OR(E108="",B108=""),"",INT(TODAY()-B108))</f>
        <v/>
      </c>
      <c r="AK108" s="44" t="str">
        <f aca="true">IF(E108="","",IF(OR(COUNTIFS(Clients!$C$2:$C$501,E108,Clients!$S$2:$S$501,"Paid")&gt;0,AND(I108&lt;&gt;"",COUNTIFS(Clients!$E$2:$E$501,I108,Clients!$S$2:$S$501,"Paid")&gt;0)),"⚠ Refunded before – no free video",IF(OR(AA108="Contract signed + paid",AA108="Closed – No response",AA108="Lost"),"",IF(AA108="","Set a stage",IF(AND(AA108="Proposal sent",COUNTA(Q108:V108)&lt;6),"Score this lead – proposal sent unscored",IF(N(AC108)&gt;=Settings!$S$3,"Close – 4 follow-ups sent",IF(AD108="",IF(AB108="","Make first contact",""),IF(TODAY()&gt;AD108,"OVERDUE follow-up",IF(TODAY()=AD108,"Follow up today","")))))))))</f>
        <v/>
      </c>
    </row>
    <row r="109" customFormat="false" ht="15" hidden="false" customHeight="false" outlineLevel="0" collapsed="false">
      <c r="A109" s="17"/>
      <c r="B109" s="40"/>
      <c r="C109" s="41"/>
      <c r="D109" s="17"/>
      <c r="E109" s="17"/>
      <c r="F109" s="17"/>
      <c r="G109" s="17"/>
      <c r="H109" s="17"/>
      <c r="I109" s="42"/>
      <c r="J109" s="17"/>
      <c r="K109" s="17"/>
      <c r="L109" s="17"/>
      <c r="M109" s="17"/>
      <c r="N109" s="40"/>
      <c r="O109" s="41"/>
      <c r="P109" s="43" t="str">
        <f aca="false">IF(OR(B109="",N109=""),"",ROUND(((N109+N(O109))-(B109+N(C109)))*24,1))</f>
        <v/>
      </c>
      <c r="Q109" s="17"/>
      <c r="R109" s="17"/>
      <c r="S109" s="17"/>
      <c r="T109" s="17"/>
      <c r="U109" s="17"/>
      <c r="V109" s="17"/>
      <c r="W109" s="44" t="str">
        <f aca="false">IF(OR(E109="",COUNTA(Q109:V109)=0),"",SUMIFS(Settings!$AA$2:$AA$21,Settings!$Y$2:$Y$21,"Budget AED 5k+/mo?",Settings!$Z$2:$Z$21,Q109)+SUMIFS(Settings!$AA$2:$AA$21,Settings!$Y$2:$Y$21,"Decision-maker?",Settings!$Z$2:$Z$21,R109)+SUMIFS(Settings!$AA$2:$AA$21,Settings!$Y$2:$Y$21,"Someone on camera?",Settings!$Z$2:$Z$21,S109)+SUMIFS(Settings!$AA$2:$AA$21,Settings!$Y$2:$Y$21,"OK with 3-month term?",Settings!$Z$2:$Z$21,T109)+SUMIFS(Settings!$AA$2:$AA$21,Settings!$Y$2:$Y$21,"Start timeline",Settings!$Z$2:$Z$21,U109)+SUMIFS(Settings!$AA$2:$AA$21,Settings!$Y$2:$Y$21,"Social media gap",Settings!$Z$2:$Z$21,V109)+IF(F109="",0,IF(COUNTIF(Settings!$AC$2:$AC$6,F109)&gt;0,Settings!$AA$20,Settings!$AA$21)))</f>
        <v/>
      </c>
      <c r="X109" s="44" t="str">
        <f aca="false">IF(E109="","",IF(COUNTA(Q109:V109)=0,"Not scored",IF(COUNTA(Q109:V109)&lt;6,"Partly scored ("&amp;COUNTA(Q109:V109)&amp;"/6)",IF(W109&gt;=Settings!$S$8,"Hot",IF(W109&gt;=Settings!$S$9,"Warm","Cold")))))</f>
        <v/>
      </c>
      <c r="Y109" s="44" t="str">
        <f aca="false">IF(E109="","",IF(AND(Q109="No",S109="No"),"🚩 Budget  ·  🚩 No one on camera",IF(Q109="No","🚩 Budget under AED 5k",IF(S109="No","🚩 No one on camera",""))))</f>
        <v/>
      </c>
      <c r="Z109" s="17"/>
      <c r="AA109" s="17"/>
      <c r="AB109" s="40"/>
      <c r="AC109" s="17"/>
      <c r="AD109" s="45" t="str">
        <f aca="false">IF(OR(E109="",AB109="",OR(AA109="Contract signed + paid",AA109="Closed – No response",AA109="Lost"),N(AC109)&gt;=Settings!$S$3),"",AB109+Settings!$S$2)</f>
        <v/>
      </c>
      <c r="AE109" s="40"/>
      <c r="AF109" s="41"/>
      <c r="AG109" s="17"/>
      <c r="AH109" s="17"/>
      <c r="AI109" s="17"/>
      <c r="AJ109" s="46" t="str">
        <f aca="true">IF(OR(E109="",B109=""),"",INT(TODAY()-B109))</f>
        <v/>
      </c>
      <c r="AK109" s="44" t="str">
        <f aca="true">IF(E109="","",IF(OR(COUNTIFS(Clients!$C$2:$C$501,E109,Clients!$S$2:$S$501,"Paid")&gt;0,AND(I109&lt;&gt;"",COUNTIFS(Clients!$E$2:$E$501,I109,Clients!$S$2:$S$501,"Paid")&gt;0)),"⚠ Refunded before – no free video",IF(OR(AA109="Contract signed + paid",AA109="Closed – No response",AA109="Lost"),"",IF(AA109="","Set a stage",IF(AND(AA109="Proposal sent",COUNTA(Q109:V109)&lt;6),"Score this lead – proposal sent unscored",IF(N(AC109)&gt;=Settings!$S$3,"Close – 4 follow-ups sent",IF(AD109="",IF(AB109="","Make first contact",""),IF(TODAY()&gt;AD109,"OVERDUE follow-up",IF(TODAY()=AD109,"Follow up today","")))))))))</f>
        <v/>
      </c>
    </row>
    <row r="110" customFormat="false" ht="15" hidden="false" customHeight="false" outlineLevel="0" collapsed="false">
      <c r="A110" s="17"/>
      <c r="B110" s="40"/>
      <c r="C110" s="41"/>
      <c r="D110" s="17"/>
      <c r="E110" s="17"/>
      <c r="F110" s="17"/>
      <c r="G110" s="17"/>
      <c r="H110" s="17"/>
      <c r="I110" s="42"/>
      <c r="J110" s="17"/>
      <c r="K110" s="17"/>
      <c r="L110" s="17"/>
      <c r="M110" s="17"/>
      <c r="N110" s="40"/>
      <c r="O110" s="41"/>
      <c r="P110" s="43" t="str">
        <f aca="false">IF(OR(B110="",N110=""),"",ROUND(((N110+N(O110))-(B110+N(C110)))*24,1))</f>
        <v/>
      </c>
      <c r="Q110" s="17"/>
      <c r="R110" s="17"/>
      <c r="S110" s="17"/>
      <c r="T110" s="17"/>
      <c r="U110" s="17"/>
      <c r="V110" s="17"/>
      <c r="W110" s="44" t="str">
        <f aca="false">IF(OR(E110="",COUNTA(Q110:V110)=0),"",SUMIFS(Settings!$AA$2:$AA$21,Settings!$Y$2:$Y$21,"Budget AED 5k+/mo?",Settings!$Z$2:$Z$21,Q110)+SUMIFS(Settings!$AA$2:$AA$21,Settings!$Y$2:$Y$21,"Decision-maker?",Settings!$Z$2:$Z$21,R110)+SUMIFS(Settings!$AA$2:$AA$21,Settings!$Y$2:$Y$21,"Someone on camera?",Settings!$Z$2:$Z$21,S110)+SUMIFS(Settings!$AA$2:$AA$21,Settings!$Y$2:$Y$21,"OK with 3-month term?",Settings!$Z$2:$Z$21,T110)+SUMIFS(Settings!$AA$2:$AA$21,Settings!$Y$2:$Y$21,"Start timeline",Settings!$Z$2:$Z$21,U110)+SUMIFS(Settings!$AA$2:$AA$21,Settings!$Y$2:$Y$21,"Social media gap",Settings!$Z$2:$Z$21,V110)+IF(F110="",0,IF(COUNTIF(Settings!$AC$2:$AC$6,F110)&gt;0,Settings!$AA$20,Settings!$AA$21)))</f>
        <v/>
      </c>
      <c r="X110" s="44" t="str">
        <f aca="false">IF(E110="","",IF(COUNTA(Q110:V110)=0,"Not scored",IF(COUNTA(Q110:V110)&lt;6,"Partly scored ("&amp;COUNTA(Q110:V110)&amp;"/6)",IF(W110&gt;=Settings!$S$8,"Hot",IF(W110&gt;=Settings!$S$9,"Warm","Cold")))))</f>
        <v/>
      </c>
      <c r="Y110" s="44" t="str">
        <f aca="false">IF(E110="","",IF(AND(Q110="No",S110="No"),"🚩 Budget  ·  🚩 No one on camera",IF(Q110="No","🚩 Budget under AED 5k",IF(S110="No","🚩 No one on camera",""))))</f>
        <v/>
      </c>
      <c r="Z110" s="17"/>
      <c r="AA110" s="17"/>
      <c r="AB110" s="40"/>
      <c r="AC110" s="17"/>
      <c r="AD110" s="45" t="str">
        <f aca="false">IF(OR(E110="",AB110="",OR(AA110="Contract signed + paid",AA110="Closed – No response",AA110="Lost"),N(AC110)&gt;=Settings!$S$3),"",AB110+Settings!$S$2)</f>
        <v/>
      </c>
      <c r="AE110" s="40"/>
      <c r="AF110" s="41"/>
      <c r="AG110" s="17"/>
      <c r="AH110" s="17"/>
      <c r="AI110" s="17"/>
      <c r="AJ110" s="46" t="str">
        <f aca="true">IF(OR(E110="",B110=""),"",INT(TODAY()-B110))</f>
        <v/>
      </c>
      <c r="AK110" s="44" t="str">
        <f aca="true">IF(E110="","",IF(OR(COUNTIFS(Clients!$C$2:$C$501,E110,Clients!$S$2:$S$501,"Paid")&gt;0,AND(I110&lt;&gt;"",COUNTIFS(Clients!$E$2:$E$501,I110,Clients!$S$2:$S$501,"Paid")&gt;0)),"⚠ Refunded before – no free video",IF(OR(AA110="Contract signed + paid",AA110="Closed – No response",AA110="Lost"),"",IF(AA110="","Set a stage",IF(AND(AA110="Proposal sent",COUNTA(Q110:V110)&lt;6),"Score this lead – proposal sent unscored",IF(N(AC110)&gt;=Settings!$S$3,"Close – 4 follow-ups sent",IF(AD110="",IF(AB110="","Make first contact",""),IF(TODAY()&gt;AD110,"OVERDUE follow-up",IF(TODAY()=AD110,"Follow up today","")))))))))</f>
        <v/>
      </c>
    </row>
    <row r="111" customFormat="false" ht="15" hidden="false" customHeight="false" outlineLevel="0" collapsed="false">
      <c r="A111" s="17"/>
      <c r="B111" s="40"/>
      <c r="C111" s="41"/>
      <c r="D111" s="17"/>
      <c r="E111" s="17"/>
      <c r="F111" s="17"/>
      <c r="G111" s="17"/>
      <c r="H111" s="17"/>
      <c r="I111" s="42"/>
      <c r="J111" s="17"/>
      <c r="K111" s="17"/>
      <c r="L111" s="17"/>
      <c r="M111" s="17"/>
      <c r="N111" s="40"/>
      <c r="O111" s="41"/>
      <c r="P111" s="43" t="str">
        <f aca="false">IF(OR(B111="",N111=""),"",ROUND(((N111+N(O111))-(B111+N(C111)))*24,1))</f>
        <v/>
      </c>
      <c r="Q111" s="17"/>
      <c r="R111" s="17"/>
      <c r="S111" s="17"/>
      <c r="T111" s="17"/>
      <c r="U111" s="17"/>
      <c r="V111" s="17"/>
      <c r="W111" s="44" t="str">
        <f aca="false">IF(OR(E111="",COUNTA(Q111:V111)=0),"",SUMIFS(Settings!$AA$2:$AA$21,Settings!$Y$2:$Y$21,"Budget AED 5k+/mo?",Settings!$Z$2:$Z$21,Q111)+SUMIFS(Settings!$AA$2:$AA$21,Settings!$Y$2:$Y$21,"Decision-maker?",Settings!$Z$2:$Z$21,R111)+SUMIFS(Settings!$AA$2:$AA$21,Settings!$Y$2:$Y$21,"Someone on camera?",Settings!$Z$2:$Z$21,S111)+SUMIFS(Settings!$AA$2:$AA$21,Settings!$Y$2:$Y$21,"OK with 3-month term?",Settings!$Z$2:$Z$21,T111)+SUMIFS(Settings!$AA$2:$AA$21,Settings!$Y$2:$Y$21,"Start timeline",Settings!$Z$2:$Z$21,U111)+SUMIFS(Settings!$AA$2:$AA$21,Settings!$Y$2:$Y$21,"Social media gap",Settings!$Z$2:$Z$21,V111)+IF(F111="",0,IF(COUNTIF(Settings!$AC$2:$AC$6,F111)&gt;0,Settings!$AA$20,Settings!$AA$21)))</f>
        <v/>
      </c>
      <c r="X111" s="44" t="str">
        <f aca="false">IF(E111="","",IF(COUNTA(Q111:V111)=0,"Not scored",IF(COUNTA(Q111:V111)&lt;6,"Partly scored ("&amp;COUNTA(Q111:V111)&amp;"/6)",IF(W111&gt;=Settings!$S$8,"Hot",IF(W111&gt;=Settings!$S$9,"Warm","Cold")))))</f>
        <v/>
      </c>
      <c r="Y111" s="44" t="str">
        <f aca="false">IF(E111="","",IF(AND(Q111="No",S111="No"),"🚩 Budget  ·  🚩 No one on camera",IF(Q111="No","🚩 Budget under AED 5k",IF(S111="No","🚩 No one on camera",""))))</f>
        <v/>
      </c>
      <c r="Z111" s="17"/>
      <c r="AA111" s="17"/>
      <c r="AB111" s="40"/>
      <c r="AC111" s="17"/>
      <c r="AD111" s="45" t="str">
        <f aca="false">IF(OR(E111="",AB111="",OR(AA111="Contract signed + paid",AA111="Closed – No response",AA111="Lost"),N(AC111)&gt;=Settings!$S$3),"",AB111+Settings!$S$2)</f>
        <v/>
      </c>
      <c r="AE111" s="40"/>
      <c r="AF111" s="41"/>
      <c r="AG111" s="17"/>
      <c r="AH111" s="17"/>
      <c r="AI111" s="17"/>
      <c r="AJ111" s="46" t="str">
        <f aca="true">IF(OR(E111="",B111=""),"",INT(TODAY()-B111))</f>
        <v/>
      </c>
      <c r="AK111" s="44" t="str">
        <f aca="true">IF(E111="","",IF(OR(COUNTIFS(Clients!$C$2:$C$501,E111,Clients!$S$2:$S$501,"Paid")&gt;0,AND(I111&lt;&gt;"",COUNTIFS(Clients!$E$2:$E$501,I111,Clients!$S$2:$S$501,"Paid")&gt;0)),"⚠ Refunded before – no free video",IF(OR(AA111="Contract signed + paid",AA111="Closed – No response",AA111="Lost"),"",IF(AA111="","Set a stage",IF(AND(AA111="Proposal sent",COUNTA(Q111:V111)&lt;6),"Score this lead – proposal sent unscored",IF(N(AC111)&gt;=Settings!$S$3,"Close – 4 follow-ups sent",IF(AD111="",IF(AB111="","Make first contact",""),IF(TODAY()&gt;AD111,"OVERDUE follow-up",IF(TODAY()=AD111,"Follow up today","")))))))))</f>
        <v/>
      </c>
    </row>
    <row r="112" customFormat="false" ht="15" hidden="false" customHeight="false" outlineLevel="0" collapsed="false">
      <c r="A112" s="17"/>
      <c r="B112" s="40"/>
      <c r="C112" s="41"/>
      <c r="D112" s="17"/>
      <c r="E112" s="17"/>
      <c r="F112" s="17"/>
      <c r="G112" s="17"/>
      <c r="H112" s="17"/>
      <c r="I112" s="42"/>
      <c r="J112" s="17"/>
      <c r="K112" s="17"/>
      <c r="L112" s="17"/>
      <c r="M112" s="17"/>
      <c r="N112" s="40"/>
      <c r="O112" s="41"/>
      <c r="P112" s="43" t="str">
        <f aca="false">IF(OR(B112="",N112=""),"",ROUND(((N112+N(O112))-(B112+N(C112)))*24,1))</f>
        <v/>
      </c>
      <c r="Q112" s="17"/>
      <c r="R112" s="17"/>
      <c r="S112" s="17"/>
      <c r="T112" s="17"/>
      <c r="U112" s="17"/>
      <c r="V112" s="17"/>
      <c r="W112" s="44" t="str">
        <f aca="false">IF(OR(E112="",COUNTA(Q112:V112)=0),"",SUMIFS(Settings!$AA$2:$AA$21,Settings!$Y$2:$Y$21,"Budget AED 5k+/mo?",Settings!$Z$2:$Z$21,Q112)+SUMIFS(Settings!$AA$2:$AA$21,Settings!$Y$2:$Y$21,"Decision-maker?",Settings!$Z$2:$Z$21,R112)+SUMIFS(Settings!$AA$2:$AA$21,Settings!$Y$2:$Y$21,"Someone on camera?",Settings!$Z$2:$Z$21,S112)+SUMIFS(Settings!$AA$2:$AA$21,Settings!$Y$2:$Y$21,"OK with 3-month term?",Settings!$Z$2:$Z$21,T112)+SUMIFS(Settings!$AA$2:$AA$21,Settings!$Y$2:$Y$21,"Start timeline",Settings!$Z$2:$Z$21,U112)+SUMIFS(Settings!$AA$2:$AA$21,Settings!$Y$2:$Y$21,"Social media gap",Settings!$Z$2:$Z$21,V112)+IF(F112="",0,IF(COUNTIF(Settings!$AC$2:$AC$6,F112)&gt;0,Settings!$AA$20,Settings!$AA$21)))</f>
        <v/>
      </c>
      <c r="X112" s="44" t="str">
        <f aca="false">IF(E112="","",IF(COUNTA(Q112:V112)=0,"Not scored",IF(COUNTA(Q112:V112)&lt;6,"Partly scored ("&amp;COUNTA(Q112:V112)&amp;"/6)",IF(W112&gt;=Settings!$S$8,"Hot",IF(W112&gt;=Settings!$S$9,"Warm","Cold")))))</f>
        <v/>
      </c>
      <c r="Y112" s="44" t="str">
        <f aca="false">IF(E112="","",IF(AND(Q112="No",S112="No"),"🚩 Budget  ·  🚩 No one on camera",IF(Q112="No","🚩 Budget under AED 5k",IF(S112="No","🚩 No one on camera",""))))</f>
        <v/>
      </c>
      <c r="Z112" s="17"/>
      <c r="AA112" s="17"/>
      <c r="AB112" s="40"/>
      <c r="AC112" s="17"/>
      <c r="AD112" s="45" t="str">
        <f aca="false">IF(OR(E112="",AB112="",OR(AA112="Contract signed + paid",AA112="Closed – No response",AA112="Lost"),N(AC112)&gt;=Settings!$S$3),"",AB112+Settings!$S$2)</f>
        <v/>
      </c>
      <c r="AE112" s="40"/>
      <c r="AF112" s="41"/>
      <c r="AG112" s="17"/>
      <c r="AH112" s="17"/>
      <c r="AI112" s="17"/>
      <c r="AJ112" s="46" t="str">
        <f aca="true">IF(OR(E112="",B112=""),"",INT(TODAY()-B112))</f>
        <v/>
      </c>
      <c r="AK112" s="44" t="str">
        <f aca="true">IF(E112="","",IF(OR(COUNTIFS(Clients!$C$2:$C$501,E112,Clients!$S$2:$S$501,"Paid")&gt;0,AND(I112&lt;&gt;"",COUNTIFS(Clients!$E$2:$E$501,I112,Clients!$S$2:$S$501,"Paid")&gt;0)),"⚠ Refunded before – no free video",IF(OR(AA112="Contract signed + paid",AA112="Closed – No response",AA112="Lost"),"",IF(AA112="","Set a stage",IF(AND(AA112="Proposal sent",COUNTA(Q112:V112)&lt;6),"Score this lead – proposal sent unscored",IF(N(AC112)&gt;=Settings!$S$3,"Close – 4 follow-ups sent",IF(AD112="",IF(AB112="","Make first contact",""),IF(TODAY()&gt;AD112,"OVERDUE follow-up",IF(TODAY()=AD112,"Follow up today","")))))))))</f>
        <v/>
      </c>
    </row>
    <row r="113" customFormat="false" ht="15" hidden="false" customHeight="false" outlineLevel="0" collapsed="false">
      <c r="A113" s="17"/>
      <c r="B113" s="40"/>
      <c r="C113" s="41"/>
      <c r="D113" s="17"/>
      <c r="E113" s="17"/>
      <c r="F113" s="17"/>
      <c r="G113" s="17"/>
      <c r="H113" s="17"/>
      <c r="I113" s="42"/>
      <c r="J113" s="17"/>
      <c r="K113" s="17"/>
      <c r="L113" s="17"/>
      <c r="M113" s="17"/>
      <c r="N113" s="40"/>
      <c r="O113" s="41"/>
      <c r="P113" s="43" t="str">
        <f aca="false">IF(OR(B113="",N113=""),"",ROUND(((N113+N(O113))-(B113+N(C113)))*24,1))</f>
        <v/>
      </c>
      <c r="Q113" s="17"/>
      <c r="R113" s="17"/>
      <c r="S113" s="17"/>
      <c r="T113" s="17"/>
      <c r="U113" s="17"/>
      <c r="V113" s="17"/>
      <c r="W113" s="44" t="str">
        <f aca="false">IF(OR(E113="",COUNTA(Q113:V113)=0),"",SUMIFS(Settings!$AA$2:$AA$21,Settings!$Y$2:$Y$21,"Budget AED 5k+/mo?",Settings!$Z$2:$Z$21,Q113)+SUMIFS(Settings!$AA$2:$AA$21,Settings!$Y$2:$Y$21,"Decision-maker?",Settings!$Z$2:$Z$21,R113)+SUMIFS(Settings!$AA$2:$AA$21,Settings!$Y$2:$Y$21,"Someone on camera?",Settings!$Z$2:$Z$21,S113)+SUMIFS(Settings!$AA$2:$AA$21,Settings!$Y$2:$Y$21,"OK with 3-month term?",Settings!$Z$2:$Z$21,T113)+SUMIFS(Settings!$AA$2:$AA$21,Settings!$Y$2:$Y$21,"Start timeline",Settings!$Z$2:$Z$21,U113)+SUMIFS(Settings!$AA$2:$AA$21,Settings!$Y$2:$Y$21,"Social media gap",Settings!$Z$2:$Z$21,V113)+IF(F113="",0,IF(COUNTIF(Settings!$AC$2:$AC$6,F113)&gt;0,Settings!$AA$20,Settings!$AA$21)))</f>
        <v/>
      </c>
      <c r="X113" s="44" t="str">
        <f aca="false">IF(E113="","",IF(COUNTA(Q113:V113)=0,"Not scored",IF(COUNTA(Q113:V113)&lt;6,"Partly scored ("&amp;COUNTA(Q113:V113)&amp;"/6)",IF(W113&gt;=Settings!$S$8,"Hot",IF(W113&gt;=Settings!$S$9,"Warm","Cold")))))</f>
        <v/>
      </c>
      <c r="Y113" s="44" t="str">
        <f aca="false">IF(E113="","",IF(AND(Q113="No",S113="No"),"🚩 Budget  ·  🚩 No one on camera",IF(Q113="No","🚩 Budget under AED 5k",IF(S113="No","🚩 No one on camera",""))))</f>
        <v/>
      </c>
      <c r="Z113" s="17"/>
      <c r="AA113" s="17"/>
      <c r="AB113" s="40"/>
      <c r="AC113" s="17"/>
      <c r="AD113" s="45" t="str">
        <f aca="false">IF(OR(E113="",AB113="",OR(AA113="Contract signed + paid",AA113="Closed – No response",AA113="Lost"),N(AC113)&gt;=Settings!$S$3),"",AB113+Settings!$S$2)</f>
        <v/>
      </c>
      <c r="AE113" s="40"/>
      <c r="AF113" s="41"/>
      <c r="AG113" s="17"/>
      <c r="AH113" s="17"/>
      <c r="AI113" s="17"/>
      <c r="AJ113" s="46" t="str">
        <f aca="true">IF(OR(E113="",B113=""),"",INT(TODAY()-B113))</f>
        <v/>
      </c>
      <c r="AK113" s="44" t="str">
        <f aca="true">IF(E113="","",IF(OR(COUNTIFS(Clients!$C$2:$C$501,E113,Clients!$S$2:$S$501,"Paid")&gt;0,AND(I113&lt;&gt;"",COUNTIFS(Clients!$E$2:$E$501,I113,Clients!$S$2:$S$501,"Paid")&gt;0)),"⚠ Refunded before – no free video",IF(OR(AA113="Contract signed + paid",AA113="Closed – No response",AA113="Lost"),"",IF(AA113="","Set a stage",IF(AND(AA113="Proposal sent",COUNTA(Q113:V113)&lt;6),"Score this lead – proposal sent unscored",IF(N(AC113)&gt;=Settings!$S$3,"Close – 4 follow-ups sent",IF(AD113="",IF(AB113="","Make first contact",""),IF(TODAY()&gt;AD113,"OVERDUE follow-up",IF(TODAY()=AD113,"Follow up today","")))))))))</f>
        <v/>
      </c>
    </row>
    <row r="114" customFormat="false" ht="15" hidden="false" customHeight="false" outlineLevel="0" collapsed="false">
      <c r="A114" s="17"/>
      <c r="B114" s="40"/>
      <c r="C114" s="41"/>
      <c r="D114" s="17"/>
      <c r="E114" s="17"/>
      <c r="F114" s="17"/>
      <c r="G114" s="17"/>
      <c r="H114" s="17"/>
      <c r="I114" s="42"/>
      <c r="J114" s="17"/>
      <c r="K114" s="17"/>
      <c r="L114" s="17"/>
      <c r="M114" s="17"/>
      <c r="N114" s="40"/>
      <c r="O114" s="41"/>
      <c r="P114" s="43" t="str">
        <f aca="false">IF(OR(B114="",N114=""),"",ROUND(((N114+N(O114))-(B114+N(C114)))*24,1))</f>
        <v/>
      </c>
      <c r="Q114" s="17"/>
      <c r="R114" s="17"/>
      <c r="S114" s="17"/>
      <c r="T114" s="17"/>
      <c r="U114" s="17"/>
      <c r="V114" s="17"/>
      <c r="W114" s="44" t="str">
        <f aca="false">IF(OR(E114="",COUNTA(Q114:V114)=0),"",SUMIFS(Settings!$AA$2:$AA$21,Settings!$Y$2:$Y$21,"Budget AED 5k+/mo?",Settings!$Z$2:$Z$21,Q114)+SUMIFS(Settings!$AA$2:$AA$21,Settings!$Y$2:$Y$21,"Decision-maker?",Settings!$Z$2:$Z$21,R114)+SUMIFS(Settings!$AA$2:$AA$21,Settings!$Y$2:$Y$21,"Someone on camera?",Settings!$Z$2:$Z$21,S114)+SUMIFS(Settings!$AA$2:$AA$21,Settings!$Y$2:$Y$21,"OK with 3-month term?",Settings!$Z$2:$Z$21,T114)+SUMIFS(Settings!$AA$2:$AA$21,Settings!$Y$2:$Y$21,"Start timeline",Settings!$Z$2:$Z$21,U114)+SUMIFS(Settings!$AA$2:$AA$21,Settings!$Y$2:$Y$21,"Social media gap",Settings!$Z$2:$Z$21,V114)+IF(F114="",0,IF(COUNTIF(Settings!$AC$2:$AC$6,F114)&gt;0,Settings!$AA$20,Settings!$AA$21)))</f>
        <v/>
      </c>
      <c r="X114" s="44" t="str">
        <f aca="false">IF(E114="","",IF(COUNTA(Q114:V114)=0,"Not scored",IF(COUNTA(Q114:V114)&lt;6,"Partly scored ("&amp;COUNTA(Q114:V114)&amp;"/6)",IF(W114&gt;=Settings!$S$8,"Hot",IF(W114&gt;=Settings!$S$9,"Warm","Cold")))))</f>
        <v/>
      </c>
      <c r="Y114" s="44" t="str">
        <f aca="false">IF(E114="","",IF(AND(Q114="No",S114="No"),"🚩 Budget  ·  🚩 No one on camera",IF(Q114="No","🚩 Budget under AED 5k",IF(S114="No","🚩 No one on camera",""))))</f>
        <v/>
      </c>
      <c r="Z114" s="17"/>
      <c r="AA114" s="17"/>
      <c r="AB114" s="40"/>
      <c r="AC114" s="17"/>
      <c r="AD114" s="45" t="str">
        <f aca="false">IF(OR(E114="",AB114="",OR(AA114="Contract signed + paid",AA114="Closed – No response",AA114="Lost"),N(AC114)&gt;=Settings!$S$3),"",AB114+Settings!$S$2)</f>
        <v/>
      </c>
      <c r="AE114" s="40"/>
      <c r="AF114" s="41"/>
      <c r="AG114" s="17"/>
      <c r="AH114" s="17"/>
      <c r="AI114" s="17"/>
      <c r="AJ114" s="46" t="str">
        <f aca="true">IF(OR(E114="",B114=""),"",INT(TODAY()-B114))</f>
        <v/>
      </c>
      <c r="AK114" s="44" t="str">
        <f aca="true">IF(E114="","",IF(OR(COUNTIFS(Clients!$C$2:$C$501,E114,Clients!$S$2:$S$501,"Paid")&gt;0,AND(I114&lt;&gt;"",COUNTIFS(Clients!$E$2:$E$501,I114,Clients!$S$2:$S$501,"Paid")&gt;0)),"⚠ Refunded before – no free video",IF(OR(AA114="Contract signed + paid",AA114="Closed – No response",AA114="Lost"),"",IF(AA114="","Set a stage",IF(AND(AA114="Proposal sent",COUNTA(Q114:V114)&lt;6),"Score this lead – proposal sent unscored",IF(N(AC114)&gt;=Settings!$S$3,"Close – 4 follow-ups sent",IF(AD114="",IF(AB114="","Make first contact",""),IF(TODAY()&gt;AD114,"OVERDUE follow-up",IF(TODAY()=AD114,"Follow up today","")))))))))</f>
        <v/>
      </c>
    </row>
    <row r="115" customFormat="false" ht="15" hidden="false" customHeight="false" outlineLevel="0" collapsed="false">
      <c r="A115" s="17"/>
      <c r="B115" s="40"/>
      <c r="C115" s="41"/>
      <c r="D115" s="17"/>
      <c r="E115" s="17"/>
      <c r="F115" s="17"/>
      <c r="G115" s="17"/>
      <c r="H115" s="17"/>
      <c r="I115" s="42"/>
      <c r="J115" s="17"/>
      <c r="K115" s="17"/>
      <c r="L115" s="17"/>
      <c r="M115" s="17"/>
      <c r="N115" s="40"/>
      <c r="O115" s="41"/>
      <c r="P115" s="43" t="str">
        <f aca="false">IF(OR(B115="",N115=""),"",ROUND(((N115+N(O115))-(B115+N(C115)))*24,1))</f>
        <v/>
      </c>
      <c r="Q115" s="17"/>
      <c r="R115" s="17"/>
      <c r="S115" s="17"/>
      <c r="T115" s="17"/>
      <c r="U115" s="17"/>
      <c r="V115" s="17"/>
      <c r="W115" s="44" t="str">
        <f aca="false">IF(OR(E115="",COUNTA(Q115:V115)=0),"",SUMIFS(Settings!$AA$2:$AA$21,Settings!$Y$2:$Y$21,"Budget AED 5k+/mo?",Settings!$Z$2:$Z$21,Q115)+SUMIFS(Settings!$AA$2:$AA$21,Settings!$Y$2:$Y$21,"Decision-maker?",Settings!$Z$2:$Z$21,R115)+SUMIFS(Settings!$AA$2:$AA$21,Settings!$Y$2:$Y$21,"Someone on camera?",Settings!$Z$2:$Z$21,S115)+SUMIFS(Settings!$AA$2:$AA$21,Settings!$Y$2:$Y$21,"OK with 3-month term?",Settings!$Z$2:$Z$21,T115)+SUMIFS(Settings!$AA$2:$AA$21,Settings!$Y$2:$Y$21,"Start timeline",Settings!$Z$2:$Z$21,U115)+SUMIFS(Settings!$AA$2:$AA$21,Settings!$Y$2:$Y$21,"Social media gap",Settings!$Z$2:$Z$21,V115)+IF(F115="",0,IF(COUNTIF(Settings!$AC$2:$AC$6,F115)&gt;0,Settings!$AA$20,Settings!$AA$21)))</f>
        <v/>
      </c>
      <c r="X115" s="44" t="str">
        <f aca="false">IF(E115="","",IF(COUNTA(Q115:V115)=0,"Not scored",IF(COUNTA(Q115:V115)&lt;6,"Partly scored ("&amp;COUNTA(Q115:V115)&amp;"/6)",IF(W115&gt;=Settings!$S$8,"Hot",IF(W115&gt;=Settings!$S$9,"Warm","Cold")))))</f>
        <v/>
      </c>
      <c r="Y115" s="44" t="str">
        <f aca="false">IF(E115="","",IF(AND(Q115="No",S115="No"),"🚩 Budget  ·  🚩 No one on camera",IF(Q115="No","🚩 Budget under AED 5k",IF(S115="No","🚩 No one on camera",""))))</f>
        <v/>
      </c>
      <c r="Z115" s="17"/>
      <c r="AA115" s="17"/>
      <c r="AB115" s="40"/>
      <c r="AC115" s="17"/>
      <c r="AD115" s="45" t="str">
        <f aca="false">IF(OR(E115="",AB115="",OR(AA115="Contract signed + paid",AA115="Closed – No response",AA115="Lost"),N(AC115)&gt;=Settings!$S$3),"",AB115+Settings!$S$2)</f>
        <v/>
      </c>
      <c r="AE115" s="40"/>
      <c r="AF115" s="41"/>
      <c r="AG115" s="17"/>
      <c r="AH115" s="17"/>
      <c r="AI115" s="17"/>
      <c r="AJ115" s="46" t="str">
        <f aca="true">IF(OR(E115="",B115=""),"",INT(TODAY()-B115))</f>
        <v/>
      </c>
      <c r="AK115" s="44" t="str">
        <f aca="true">IF(E115="","",IF(OR(COUNTIFS(Clients!$C$2:$C$501,E115,Clients!$S$2:$S$501,"Paid")&gt;0,AND(I115&lt;&gt;"",COUNTIFS(Clients!$E$2:$E$501,I115,Clients!$S$2:$S$501,"Paid")&gt;0)),"⚠ Refunded before – no free video",IF(OR(AA115="Contract signed + paid",AA115="Closed – No response",AA115="Lost"),"",IF(AA115="","Set a stage",IF(AND(AA115="Proposal sent",COUNTA(Q115:V115)&lt;6),"Score this lead – proposal sent unscored",IF(N(AC115)&gt;=Settings!$S$3,"Close – 4 follow-ups sent",IF(AD115="",IF(AB115="","Make first contact",""),IF(TODAY()&gt;AD115,"OVERDUE follow-up",IF(TODAY()=AD115,"Follow up today","")))))))))</f>
        <v/>
      </c>
    </row>
    <row r="116" customFormat="false" ht="15" hidden="false" customHeight="false" outlineLevel="0" collapsed="false">
      <c r="A116" s="17"/>
      <c r="B116" s="40"/>
      <c r="C116" s="41"/>
      <c r="D116" s="17"/>
      <c r="E116" s="17"/>
      <c r="F116" s="17"/>
      <c r="G116" s="17"/>
      <c r="H116" s="17"/>
      <c r="I116" s="42"/>
      <c r="J116" s="17"/>
      <c r="K116" s="17"/>
      <c r="L116" s="17"/>
      <c r="M116" s="17"/>
      <c r="N116" s="40"/>
      <c r="O116" s="41"/>
      <c r="P116" s="43" t="str">
        <f aca="false">IF(OR(B116="",N116=""),"",ROUND(((N116+N(O116))-(B116+N(C116)))*24,1))</f>
        <v/>
      </c>
      <c r="Q116" s="17"/>
      <c r="R116" s="17"/>
      <c r="S116" s="17"/>
      <c r="T116" s="17"/>
      <c r="U116" s="17"/>
      <c r="V116" s="17"/>
      <c r="W116" s="44" t="str">
        <f aca="false">IF(OR(E116="",COUNTA(Q116:V116)=0),"",SUMIFS(Settings!$AA$2:$AA$21,Settings!$Y$2:$Y$21,"Budget AED 5k+/mo?",Settings!$Z$2:$Z$21,Q116)+SUMIFS(Settings!$AA$2:$AA$21,Settings!$Y$2:$Y$21,"Decision-maker?",Settings!$Z$2:$Z$21,R116)+SUMIFS(Settings!$AA$2:$AA$21,Settings!$Y$2:$Y$21,"Someone on camera?",Settings!$Z$2:$Z$21,S116)+SUMIFS(Settings!$AA$2:$AA$21,Settings!$Y$2:$Y$21,"OK with 3-month term?",Settings!$Z$2:$Z$21,T116)+SUMIFS(Settings!$AA$2:$AA$21,Settings!$Y$2:$Y$21,"Start timeline",Settings!$Z$2:$Z$21,U116)+SUMIFS(Settings!$AA$2:$AA$21,Settings!$Y$2:$Y$21,"Social media gap",Settings!$Z$2:$Z$21,V116)+IF(F116="",0,IF(COUNTIF(Settings!$AC$2:$AC$6,F116)&gt;0,Settings!$AA$20,Settings!$AA$21)))</f>
        <v/>
      </c>
      <c r="X116" s="44" t="str">
        <f aca="false">IF(E116="","",IF(COUNTA(Q116:V116)=0,"Not scored",IF(COUNTA(Q116:V116)&lt;6,"Partly scored ("&amp;COUNTA(Q116:V116)&amp;"/6)",IF(W116&gt;=Settings!$S$8,"Hot",IF(W116&gt;=Settings!$S$9,"Warm","Cold")))))</f>
        <v/>
      </c>
      <c r="Y116" s="44" t="str">
        <f aca="false">IF(E116="","",IF(AND(Q116="No",S116="No"),"🚩 Budget  ·  🚩 No one on camera",IF(Q116="No","🚩 Budget under AED 5k",IF(S116="No","🚩 No one on camera",""))))</f>
        <v/>
      </c>
      <c r="Z116" s="17"/>
      <c r="AA116" s="17"/>
      <c r="AB116" s="40"/>
      <c r="AC116" s="17"/>
      <c r="AD116" s="45" t="str">
        <f aca="false">IF(OR(E116="",AB116="",OR(AA116="Contract signed + paid",AA116="Closed – No response",AA116="Lost"),N(AC116)&gt;=Settings!$S$3),"",AB116+Settings!$S$2)</f>
        <v/>
      </c>
      <c r="AE116" s="40"/>
      <c r="AF116" s="41"/>
      <c r="AG116" s="17"/>
      <c r="AH116" s="17"/>
      <c r="AI116" s="17"/>
      <c r="AJ116" s="46" t="str">
        <f aca="true">IF(OR(E116="",B116=""),"",INT(TODAY()-B116))</f>
        <v/>
      </c>
      <c r="AK116" s="44" t="str">
        <f aca="true">IF(E116="","",IF(OR(COUNTIFS(Clients!$C$2:$C$501,E116,Clients!$S$2:$S$501,"Paid")&gt;0,AND(I116&lt;&gt;"",COUNTIFS(Clients!$E$2:$E$501,I116,Clients!$S$2:$S$501,"Paid")&gt;0)),"⚠ Refunded before – no free video",IF(OR(AA116="Contract signed + paid",AA116="Closed – No response",AA116="Lost"),"",IF(AA116="","Set a stage",IF(AND(AA116="Proposal sent",COUNTA(Q116:V116)&lt;6),"Score this lead – proposal sent unscored",IF(N(AC116)&gt;=Settings!$S$3,"Close – 4 follow-ups sent",IF(AD116="",IF(AB116="","Make first contact",""),IF(TODAY()&gt;AD116,"OVERDUE follow-up",IF(TODAY()=AD116,"Follow up today","")))))))))</f>
        <v/>
      </c>
    </row>
    <row r="117" customFormat="false" ht="15" hidden="false" customHeight="false" outlineLevel="0" collapsed="false">
      <c r="A117" s="17"/>
      <c r="B117" s="40"/>
      <c r="C117" s="41"/>
      <c r="D117" s="17"/>
      <c r="E117" s="17"/>
      <c r="F117" s="17"/>
      <c r="G117" s="17"/>
      <c r="H117" s="17"/>
      <c r="I117" s="42"/>
      <c r="J117" s="17"/>
      <c r="K117" s="17"/>
      <c r="L117" s="17"/>
      <c r="M117" s="17"/>
      <c r="N117" s="40"/>
      <c r="O117" s="41"/>
      <c r="P117" s="43" t="str">
        <f aca="false">IF(OR(B117="",N117=""),"",ROUND(((N117+N(O117))-(B117+N(C117)))*24,1))</f>
        <v/>
      </c>
      <c r="Q117" s="17"/>
      <c r="R117" s="17"/>
      <c r="S117" s="17"/>
      <c r="T117" s="17"/>
      <c r="U117" s="17"/>
      <c r="V117" s="17"/>
      <c r="W117" s="44" t="str">
        <f aca="false">IF(OR(E117="",COUNTA(Q117:V117)=0),"",SUMIFS(Settings!$AA$2:$AA$21,Settings!$Y$2:$Y$21,"Budget AED 5k+/mo?",Settings!$Z$2:$Z$21,Q117)+SUMIFS(Settings!$AA$2:$AA$21,Settings!$Y$2:$Y$21,"Decision-maker?",Settings!$Z$2:$Z$21,R117)+SUMIFS(Settings!$AA$2:$AA$21,Settings!$Y$2:$Y$21,"Someone on camera?",Settings!$Z$2:$Z$21,S117)+SUMIFS(Settings!$AA$2:$AA$21,Settings!$Y$2:$Y$21,"OK with 3-month term?",Settings!$Z$2:$Z$21,T117)+SUMIFS(Settings!$AA$2:$AA$21,Settings!$Y$2:$Y$21,"Start timeline",Settings!$Z$2:$Z$21,U117)+SUMIFS(Settings!$AA$2:$AA$21,Settings!$Y$2:$Y$21,"Social media gap",Settings!$Z$2:$Z$21,V117)+IF(F117="",0,IF(COUNTIF(Settings!$AC$2:$AC$6,F117)&gt;0,Settings!$AA$20,Settings!$AA$21)))</f>
        <v/>
      </c>
      <c r="X117" s="44" t="str">
        <f aca="false">IF(E117="","",IF(COUNTA(Q117:V117)=0,"Not scored",IF(COUNTA(Q117:V117)&lt;6,"Partly scored ("&amp;COUNTA(Q117:V117)&amp;"/6)",IF(W117&gt;=Settings!$S$8,"Hot",IF(W117&gt;=Settings!$S$9,"Warm","Cold")))))</f>
        <v/>
      </c>
      <c r="Y117" s="44" t="str">
        <f aca="false">IF(E117="","",IF(AND(Q117="No",S117="No"),"🚩 Budget  ·  🚩 No one on camera",IF(Q117="No","🚩 Budget under AED 5k",IF(S117="No","🚩 No one on camera",""))))</f>
        <v/>
      </c>
      <c r="Z117" s="17"/>
      <c r="AA117" s="17"/>
      <c r="AB117" s="40"/>
      <c r="AC117" s="17"/>
      <c r="AD117" s="45" t="str">
        <f aca="false">IF(OR(E117="",AB117="",OR(AA117="Contract signed + paid",AA117="Closed – No response",AA117="Lost"),N(AC117)&gt;=Settings!$S$3),"",AB117+Settings!$S$2)</f>
        <v/>
      </c>
      <c r="AE117" s="40"/>
      <c r="AF117" s="41"/>
      <c r="AG117" s="17"/>
      <c r="AH117" s="17"/>
      <c r="AI117" s="17"/>
      <c r="AJ117" s="46" t="str">
        <f aca="true">IF(OR(E117="",B117=""),"",INT(TODAY()-B117))</f>
        <v/>
      </c>
      <c r="AK117" s="44" t="str">
        <f aca="true">IF(E117="","",IF(OR(COUNTIFS(Clients!$C$2:$C$501,E117,Clients!$S$2:$S$501,"Paid")&gt;0,AND(I117&lt;&gt;"",COUNTIFS(Clients!$E$2:$E$501,I117,Clients!$S$2:$S$501,"Paid")&gt;0)),"⚠ Refunded before – no free video",IF(OR(AA117="Contract signed + paid",AA117="Closed – No response",AA117="Lost"),"",IF(AA117="","Set a stage",IF(AND(AA117="Proposal sent",COUNTA(Q117:V117)&lt;6),"Score this lead – proposal sent unscored",IF(N(AC117)&gt;=Settings!$S$3,"Close – 4 follow-ups sent",IF(AD117="",IF(AB117="","Make first contact",""),IF(TODAY()&gt;AD117,"OVERDUE follow-up",IF(TODAY()=AD117,"Follow up today","")))))))))</f>
        <v/>
      </c>
    </row>
    <row r="118" customFormat="false" ht="15" hidden="false" customHeight="false" outlineLevel="0" collapsed="false">
      <c r="A118" s="17"/>
      <c r="B118" s="40"/>
      <c r="C118" s="41"/>
      <c r="D118" s="17"/>
      <c r="E118" s="17"/>
      <c r="F118" s="17"/>
      <c r="G118" s="17"/>
      <c r="H118" s="17"/>
      <c r="I118" s="42"/>
      <c r="J118" s="17"/>
      <c r="K118" s="17"/>
      <c r="L118" s="17"/>
      <c r="M118" s="17"/>
      <c r="N118" s="40"/>
      <c r="O118" s="41"/>
      <c r="P118" s="43" t="str">
        <f aca="false">IF(OR(B118="",N118=""),"",ROUND(((N118+N(O118))-(B118+N(C118)))*24,1))</f>
        <v/>
      </c>
      <c r="Q118" s="17"/>
      <c r="R118" s="17"/>
      <c r="S118" s="17"/>
      <c r="T118" s="17"/>
      <c r="U118" s="17"/>
      <c r="V118" s="17"/>
      <c r="W118" s="44" t="str">
        <f aca="false">IF(OR(E118="",COUNTA(Q118:V118)=0),"",SUMIFS(Settings!$AA$2:$AA$21,Settings!$Y$2:$Y$21,"Budget AED 5k+/mo?",Settings!$Z$2:$Z$21,Q118)+SUMIFS(Settings!$AA$2:$AA$21,Settings!$Y$2:$Y$21,"Decision-maker?",Settings!$Z$2:$Z$21,R118)+SUMIFS(Settings!$AA$2:$AA$21,Settings!$Y$2:$Y$21,"Someone on camera?",Settings!$Z$2:$Z$21,S118)+SUMIFS(Settings!$AA$2:$AA$21,Settings!$Y$2:$Y$21,"OK with 3-month term?",Settings!$Z$2:$Z$21,T118)+SUMIFS(Settings!$AA$2:$AA$21,Settings!$Y$2:$Y$21,"Start timeline",Settings!$Z$2:$Z$21,U118)+SUMIFS(Settings!$AA$2:$AA$21,Settings!$Y$2:$Y$21,"Social media gap",Settings!$Z$2:$Z$21,V118)+IF(F118="",0,IF(COUNTIF(Settings!$AC$2:$AC$6,F118)&gt;0,Settings!$AA$20,Settings!$AA$21)))</f>
        <v/>
      </c>
      <c r="X118" s="44" t="str">
        <f aca="false">IF(E118="","",IF(COUNTA(Q118:V118)=0,"Not scored",IF(COUNTA(Q118:V118)&lt;6,"Partly scored ("&amp;COUNTA(Q118:V118)&amp;"/6)",IF(W118&gt;=Settings!$S$8,"Hot",IF(W118&gt;=Settings!$S$9,"Warm","Cold")))))</f>
        <v/>
      </c>
      <c r="Y118" s="44" t="str">
        <f aca="false">IF(E118="","",IF(AND(Q118="No",S118="No"),"🚩 Budget  ·  🚩 No one on camera",IF(Q118="No","🚩 Budget under AED 5k",IF(S118="No","🚩 No one on camera",""))))</f>
        <v/>
      </c>
      <c r="Z118" s="17"/>
      <c r="AA118" s="17"/>
      <c r="AB118" s="40"/>
      <c r="AC118" s="17"/>
      <c r="AD118" s="45" t="str">
        <f aca="false">IF(OR(E118="",AB118="",OR(AA118="Contract signed + paid",AA118="Closed – No response",AA118="Lost"),N(AC118)&gt;=Settings!$S$3),"",AB118+Settings!$S$2)</f>
        <v/>
      </c>
      <c r="AE118" s="40"/>
      <c r="AF118" s="41"/>
      <c r="AG118" s="17"/>
      <c r="AH118" s="17"/>
      <c r="AI118" s="17"/>
      <c r="AJ118" s="46" t="str">
        <f aca="true">IF(OR(E118="",B118=""),"",INT(TODAY()-B118))</f>
        <v/>
      </c>
      <c r="AK118" s="44" t="str">
        <f aca="true">IF(E118="","",IF(OR(COUNTIFS(Clients!$C$2:$C$501,E118,Clients!$S$2:$S$501,"Paid")&gt;0,AND(I118&lt;&gt;"",COUNTIFS(Clients!$E$2:$E$501,I118,Clients!$S$2:$S$501,"Paid")&gt;0)),"⚠ Refunded before – no free video",IF(OR(AA118="Contract signed + paid",AA118="Closed – No response",AA118="Lost"),"",IF(AA118="","Set a stage",IF(AND(AA118="Proposal sent",COUNTA(Q118:V118)&lt;6),"Score this lead – proposal sent unscored",IF(N(AC118)&gt;=Settings!$S$3,"Close – 4 follow-ups sent",IF(AD118="",IF(AB118="","Make first contact",""),IF(TODAY()&gt;AD118,"OVERDUE follow-up",IF(TODAY()=AD118,"Follow up today","")))))))))</f>
        <v/>
      </c>
    </row>
    <row r="119" customFormat="false" ht="15" hidden="false" customHeight="false" outlineLevel="0" collapsed="false">
      <c r="A119" s="17"/>
      <c r="B119" s="40"/>
      <c r="C119" s="41"/>
      <c r="D119" s="17"/>
      <c r="E119" s="17"/>
      <c r="F119" s="17"/>
      <c r="G119" s="17"/>
      <c r="H119" s="17"/>
      <c r="I119" s="42"/>
      <c r="J119" s="17"/>
      <c r="K119" s="17"/>
      <c r="L119" s="17"/>
      <c r="M119" s="17"/>
      <c r="N119" s="40"/>
      <c r="O119" s="41"/>
      <c r="P119" s="43" t="str">
        <f aca="false">IF(OR(B119="",N119=""),"",ROUND(((N119+N(O119))-(B119+N(C119)))*24,1))</f>
        <v/>
      </c>
      <c r="Q119" s="17"/>
      <c r="R119" s="17"/>
      <c r="S119" s="17"/>
      <c r="T119" s="17"/>
      <c r="U119" s="17"/>
      <c r="V119" s="17"/>
      <c r="W119" s="44" t="str">
        <f aca="false">IF(OR(E119="",COUNTA(Q119:V119)=0),"",SUMIFS(Settings!$AA$2:$AA$21,Settings!$Y$2:$Y$21,"Budget AED 5k+/mo?",Settings!$Z$2:$Z$21,Q119)+SUMIFS(Settings!$AA$2:$AA$21,Settings!$Y$2:$Y$21,"Decision-maker?",Settings!$Z$2:$Z$21,R119)+SUMIFS(Settings!$AA$2:$AA$21,Settings!$Y$2:$Y$21,"Someone on camera?",Settings!$Z$2:$Z$21,S119)+SUMIFS(Settings!$AA$2:$AA$21,Settings!$Y$2:$Y$21,"OK with 3-month term?",Settings!$Z$2:$Z$21,T119)+SUMIFS(Settings!$AA$2:$AA$21,Settings!$Y$2:$Y$21,"Start timeline",Settings!$Z$2:$Z$21,U119)+SUMIFS(Settings!$AA$2:$AA$21,Settings!$Y$2:$Y$21,"Social media gap",Settings!$Z$2:$Z$21,V119)+IF(F119="",0,IF(COUNTIF(Settings!$AC$2:$AC$6,F119)&gt;0,Settings!$AA$20,Settings!$AA$21)))</f>
        <v/>
      </c>
      <c r="X119" s="44" t="str">
        <f aca="false">IF(E119="","",IF(COUNTA(Q119:V119)=0,"Not scored",IF(COUNTA(Q119:V119)&lt;6,"Partly scored ("&amp;COUNTA(Q119:V119)&amp;"/6)",IF(W119&gt;=Settings!$S$8,"Hot",IF(W119&gt;=Settings!$S$9,"Warm","Cold")))))</f>
        <v/>
      </c>
      <c r="Y119" s="44" t="str">
        <f aca="false">IF(E119="","",IF(AND(Q119="No",S119="No"),"🚩 Budget  ·  🚩 No one on camera",IF(Q119="No","🚩 Budget under AED 5k",IF(S119="No","🚩 No one on camera",""))))</f>
        <v/>
      </c>
      <c r="Z119" s="17"/>
      <c r="AA119" s="17"/>
      <c r="AB119" s="40"/>
      <c r="AC119" s="17"/>
      <c r="AD119" s="45" t="str">
        <f aca="false">IF(OR(E119="",AB119="",OR(AA119="Contract signed + paid",AA119="Closed – No response",AA119="Lost"),N(AC119)&gt;=Settings!$S$3),"",AB119+Settings!$S$2)</f>
        <v/>
      </c>
      <c r="AE119" s="40"/>
      <c r="AF119" s="41"/>
      <c r="AG119" s="17"/>
      <c r="AH119" s="17"/>
      <c r="AI119" s="17"/>
      <c r="AJ119" s="46" t="str">
        <f aca="true">IF(OR(E119="",B119=""),"",INT(TODAY()-B119))</f>
        <v/>
      </c>
      <c r="AK119" s="44" t="str">
        <f aca="true">IF(E119="","",IF(OR(COUNTIFS(Clients!$C$2:$C$501,E119,Clients!$S$2:$S$501,"Paid")&gt;0,AND(I119&lt;&gt;"",COUNTIFS(Clients!$E$2:$E$501,I119,Clients!$S$2:$S$501,"Paid")&gt;0)),"⚠ Refunded before – no free video",IF(OR(AA119="Contract signed + paid",AA119="Closed – No response",AA119="Lost"),"",IF(AA119="","Set a stage",IF(AND(AA119="Proposal sent",COUNTA(Q119:V119)&lt;6),"Score this lead – proposal sent unscored",IF(N(AC119)&gt;=Settings!$S$3,"Close – 4 follow-ups sent",IF(AD119="",IF(AB119="","Make first contact",""),IF(TODAY()&gt;AD119,"OVERDUE follow-up",IF(TODAY()=AD119,"Follow up today","")))))))))</f>
        <v/>
      </c>
    </row>
    <row r="120" customFormat="false" ht="15" hidden="false" customHeight="false" outlineLevel="0" collapsed="false">
      <c r="A120" s="17"/>
      <c r="B120" s="40"/>
      <c r="C120" s="41"/>
      <c r="D120" s="17"/>
      <c r="E120" s="17"/>
      <c r="F120" s="17"/>
      <c r="G120" s="17"/>
      <c r="H120" s="17"/>
      <c r="I120" s="42"/>
      <c r="J120" s="17"/>
      <c r="K120" s="17"/>
      <c r="L120" s="17"/>
      <c r="M120" s="17"/>
      <c r="N120" s="40"/>
      <c r="O120" s="41"/>
      <c r="P120" s="43" t="str">
        <f aca="false">IF(OR(B120="",N120=""),"",ROUND(((N120+N(O120))-(B120+N(C120)))*24,1))</f>
        <v/>
      </c>
      <c r="Q120" s="17"/>
      <c r="R120" s="17"/>
      <c r="S120" s="17"/>
      <c r="T120" s="17"/>
      <c r="U120" s="17"/>
      <c r="V120" s="17"/>
      <c r="W120" s="44" t="str">
        <f aca="false">IF(OR(E120="",COUNTA(Q120:V120)=0),"",SUMIFS(Settings!$AA$2:$AA$21,Settings!$Y$2:$Y$21,"Budget AED 5k+/mo?",Settings!$Z$2:$Z$21,Q120)+SUMIFS(Settings!$AA$2:$AA$21,Settings!$Y$2:$Y$21,"Decision-maker?",Settings!$Z$2:$Z$21,R120)+SUMIFS(Settings!$AA$2:$AA$21,Settings!$Y$2:$Y$21,"Someone on camera?",Settings!$Z$2:$Z$21,S120)+SUMIFS(Settings!$AA$2:$AA$21,Settings!$Y$2:$Y$21,"OK with 3-month term?",Settings!$Z$2:$Z$21,T120)+SUMIFS(Settings!$AA$2:$AA$21,Settings!$Y$2:$Y$21,"Start timeline",Settings!$Z$2:$Z$21,U120)+SUMIFS(Settings!$AA$2:$AA$21,Settings!$Y$2:$Y$21,"Social media gap",Settings!$Z$2:$Z$21,V120)+IF(F120="",0,IF(COUNTIF(Settings!$AC$2:$AC$6,F120)&gt;0,Settings!$AA$20,Settings!$AA$21)))</f>
        <v/>
      </c>
      <c r="X120" s="44" t="str">
        <f aca="false">IF(E120="","",IF(COUNTA(Q120:V120)=0,"Not scored",IF(COUNTA(Q120:V120)&lt;6,"Partly scored ("&amp;COUNTA(Q120:V120)&amp;"/6)",IF(W120&gt;=Settings!$S$8,"Hot",IF(W120&gt;=Settings!$S$9,"Warm","Cold")))))</f>
        <v/>
      </c>
      <c r="Y120" s="44" t="str">
        <f aca="false">IF(E120="","",IF(AND(Q120="No",S120="No"),"🚩 Budget  ·  🚩 No one on camera",IF(Q120="No","🚩 Budget under AED 5k",IF(S120="No","🚩 No one on camera",""))))</f>
        <v/>
      </c>
      <c r="Z120" s="17"/>
      <c r="AA120" s="17"/>
      <c r="AB120" s="40"/>
      <c r="AC120" s="17"/>
      <c r="AD120" s="45" t="str">
        <f aca="false">IF(OR(E120="",AB120="",OR(AA120="Contract signed + paid",AA120="Closed – No response",AA120="Lost"),N(AC120)&gt;=Settings!$S$3),"",AB120+Settings!$S$2)</f>
        <v/>
      </c>
      <c r="AE120" s="40"/>
      <c r="AF120" s="41"/>
      <c r="AG120" s="17"/>
      <c r="AH120" s="17"/>
      <c r="AI120" s="17"/>
      <c r="AJ120" s="46" t="str">
        <f aca="true">IF(OR(E120="",B120=""),"",INT(TODAY()-B120))</f>
        <v/>
      </c>
      <c r="AK120" s="44" t="str">
        <f aca="true">IF(E120="","",IF(OR(COUNTIFS(Clients!$C$2:$C$501,E120,Clients!$S$2:$S$501,"Paid")&gt;0,AND(I120&lt;&gt;"",COUNTIFS(Clients!$E$2:$E$501,I120,Clients!$S$2:$S$501,"Paid")&gt;0)),"⚠ Refunded before – no free video",IF(OR(AA120="Contract signed + paid",AA120="Closed – No response",AA120="Lost"),"",IF(AA120="","Set a stage",IF(AND(AA120="Proposal sent",COUNTA(Q120:V120)&lt;6),"Score this lead – proposal sent unscored",IF(N(AC120)&gt;=Settings!$S$3,"Close – 4 follow-ups sent",IF(AD120="",IF(AB120="","Make first contact",""),IF(TODAY()&gt;AD120,"OVERDUE follow-up",IF(TODAY()=AD120,"Follow up today","")))))))))</f>
        <v/>
      </c>
    </row>
    <row r="121" customFormat="false" ht="15" hidden="false" customHeight="false" outlineLevel="0" collapsed="false">
      <c r="A121" s="17"/>
      <c r="B121" s="40"/>
      <c r="C121" s="41"/>
      <c r="D121" s="17"/>
      <c r="E121" s="17"/>
      <c r="F121" s="17"/>
      <c r="G121" s="17"/>
      <c r="H121" s="17"/>
      <c r="I121" s="42"/>
      <c r="J121" s="17"/>
      <c r="K121" s="17"/>
      <c r="L121" s="17"/>
      <c r="M121" s="17"/>
      <c r="N121" s="40"/>
      <c r="O121" s="41"/>
      <c r="P121" s="43" t="str">
        <f aca="false">IF(OR(B121="",N121=""),"",ROUND(((N121+N(O121))-(B121+N(C121)))*24,1))</f>
        <v/>
      </c>
      <c r="Q121" s="17"/>
      <c r="R121" s="17"/>
      <c r="S121" s="17"/>
      <c r="T121" s="17"/>
      <c r="U121" s="17"/>
      <c r="V121" s="17"/>
      <c r="W121" s="44" t="str">
        <f aca="false">IF(OR(E121="",COUNTA(Q121:V121)=0),"",SUMIFS(Settings!$AA$2:$AA$21,Settings!$Y$2:$Y$21,"Budget AED 5k+/mo?",Settings!$Z$2:$Z$21,Q121)+SUMIFS(Settings!$AA$2:$AA$21,Settings!$Y$2:$Y$21,"Decision-maker?",Settings!$Z$2:$Z$21,R121)+SUMIFS(Settings!$AA$2:$AA$21,Settings!$Y$2:$Y$21,"Someone on camera?",Settings!$Z$2:$Z$21,S121)+SUMIFS(Settings!$AA$2:$AA$21,Settings!$Y$2:$Y$21,"OK with 3-month term?",Settings!$Z$2:$Z$21,T121)+SUMIFS(Settings!$AA$2:$AA$21,Settings!$Y$2:$Y$21,"Start timeline",Settings!$Z$2:$Z$21,U121)+SUMIFS(Settings!$AA$2:$AA$21,Settings!$Y$2:$Y$21,"Social media gap",Settings!$Z$2:$Z$21,V121)+IF(F121="",0,IF(COUNTIF(Settings!$AC$2:$AC$6,F121)&gt;0,Settings!$AA$20,Settings!$AA$21)))</f>
        <v/>
      </c>
      <c r="X121" s="44" t="str">
        <f aca="false">IF(E121="","",IF(COUNTA(Q121:V121)=0,"Not scored",IF(COUNTA(Q121:V121)&lt;6,"Partly scored ("&amp;COUNTA(Q121:V121)&amp;"/6)",IF(W121&gt;=Settings!$S$8,"Hot",IF(W121&gt;=Settings!$S$9,"Warm","Cold")))))</f>
        <v/>
      </c>
      <c r="Y121" s="44" t="str">
        <f aca="false">IF(E121="","",IF(AND(Q121="No",S121="No"),"🚩 Budget  ·  🚩 No one on camera",IF(Q121="No","🚩 Budget under AED 5k",IF(S121="No","🚩 No one on camera",""))))</f>
        <v/>
      </c>
      <c r="Z121" s="17"/>
      <c r="AA121" s="17"/>
      <c r="AB121" s="40"/>
      <c r="AC121" s="17"/>
      <c r="AD121" s="45" t="str">
        <f aca="false">IF(OR(E121="",AB121="",OR(AA121="Contract signed + paid",AA121="Closed – No response",AA121="Lost"),N(AC121)&gt;=Settings!$S$3),"",AB121+Settings!$S$2)</f>
        <v/>
      </c>
      <c r="AE121" s="40"/>
      <c r="AF121" s="41"/>
      <c r="AG121" s="17"/>
      <c r="AH121" s="17"/>
      <c r="AI121" s="17"/>
      <c r="AJ121" s="46" t="str">
        <f aca="true">IF(OR(E121="",B121=""),"",INT(TODAY()-B121))</f>
        <v/>
      </c>
      <c r="AK121" s="44" t="str">
        <f aca="true">IF(E121="","",IF(OR(COUNTIFS(Clients!$C$2:$C$501,E121,Clients!$S$2:$S$501,"Paid")&gt;0,AND(I121&lt;&gt;"",COUNTIFS(Clients!$E$2:$E$501,I121,Clients!$S$2:$S$501,"Paid")&gt;0)),"⚠ Refunded before – no free video",IF(OR(AA121="Contract signed + paid",AA121="Closed – No response",AA121="Lost"),"",IF(AA121="","Set a stage",IF(AND(AA121="Proposal sent",COUNTA(Q121:V121)&lt;6),"Score this lead – proposal sent unscored",IF(N(AC121)&gt;=Settings!$S$3,"Close – 4 follow-ups sent",IF(AD121="",IF(AB121="","Make first contact",""),IF(TODAY()&gt;AD121,"OVERDUE follow-up",IF(TODAY()=AD121,"Follow up today","")))))))))</f>
        <v/>
      </c>
    </row>
    <row r="122" customFormat="false" ht="15" hidden="false" customHeight="false" outlineLevel="0" collapsed="false">
      <c r="A122" s="17"/>
      <c r="B122" s="40"/>
      <c r="C122" s="41"/>
      <c r="D122" s="17"/>
      <c r="E122" s="17"/>
      <c r="F122" s="17"/>
      <c r="G122" s="17"/>
      <c r="H122" s="17"/>
      <c r="I122" s="42"/>
      <c r="J122" s="17"/>
      <c r="K122" s="17"/>
      <c r="L122" s="17"/>
      <c r="M122" s="17"/>
      <c r="N122" s="40"/>
      <c r="O122" s="41"/>
      <c r="P122" s="43" t="str">
        <f aca="false">IF(OR(B122="",N122=""),"",ROUND(((N122+N(O122))-(B122+N(C122)))*24,1))</f>
        <v/>
      </c>
      <c r="Q122" s="17"/>
      <c r="R122" s="17"/>
      <c r="S122" s="17"/>
      <c r="T122" s="17"/>
      <c r="U122" s="17"/>
      <c r="V122" s="17"/>
      <c r="W122" s="44" t="str">
        <f aca="false">IF(OR(E122="",COUNTA(Q122:V122)=0),"",SUMIFS(Settings!$AA$2:$AA$21,Settings!$Y$2:$Y$21,"Budget AED 5k+/mo?",Settings!$Z$2:$Z$21,Q122)+SUMIFS(Settings!$AA$2:$AA$21,Settings!$Y$2:$Y$21,"Decision-maker?",Settings!$Z$2:$Z$21,R122)+SUMIFS(Settings!$AA$2:$AA$21,Settings!$Y$2:$Y$21,"Someone on camera?",Settings!$Z$2:$Z$21,S122)+SUMIFS(Settings!$AA$2:$AA$21,Settings!$Y$2:$Y$21,"OK with 3-month term?",Settings!$Z$2:$Z$21,T122)+SUMIFS(Settings!$AA$2:$AA$21,Settings!$Y$2:$Y$21,"Start timeline",Settings!$Z$2:$Z$21,U122)+SUMIFS(Settings!$AA$2:$AA$21,Settings!$Y$2:$Y$21,"Social media gap",Settings!$Z$2:$Z$21,V122)+IF(F122="",0,IF(COUNTIF(Settings!$AC$2:$AC$6,F122)&gt;0,Settings!$AA$20,Settings!$AA$21)))</f>
        <v/>
      </c>
      <c r="X122" s="44" t="str">
        <f aca="false">IF(E122="","",IF(COUNTA(Q122:V122)=0,"Not scored",IF(COUNTA(Q122:V122)&lt;6,"Partly scored ("&amp;COUNTA(Q122:V122)&amp;"/6)",IF(W122&gt;=Settings!$S$8,"Hot",IF(W122&gt;=Settings!$S$9,"Warm","Cold")))))</f>
        <v/>
      </c>
      <c r="Y122" s="44" t="str">
        <f aca="false">IF(E122="","",IF(AND(Q122="No",S122="No"),"🚩 Budget  ·  🚩 No one on camera",IF(Q122="No","🚩 Budget under AED 5k",IF(S122="No","🚩 No one on camera",""))))</f>
        <v/>
      </c>
      <c r="Z122" s="17"/>
      <c r="AA122" s="17"/>
      <c r="AB122" s="40"/>
      <c r="AC122" s="17"/>
      <c r="AD122" s="45" t="str">
        <f aca="false">IF(OR(E122="",AB122="",OR(AA122="Contract signed + paid",AA122="Closed – No response",AA122="Lost"),N(AC122)&gt;=Settings!$S$3),"",AB122+Settings!$S$2)</f>
        <v/>
      </c>
      <c r="AE122" s="40"/>
      <c r="AF122" s="41"/>
      <c r="AG122" s="17"/>
      <c r="AH122" s="17"/>
      <c r="AI122" s="17"/>
      <c r="AJ122" s="46" t="str">
        <f aca="true">IF(OR(E122="",B122=""),"",INT(TODAY()-B122))</f>
        <v/>
      </c>
      <c r="AK122" s="44" t="str">
        <f aca="true">IF(E122="","",IF(OR(COUNTIFS(Clients!$C$2:$C$501,E122,Clients!$S$2:$S$501,"Paid")&gt;0,AND(I122&lt;&gt;"",COUNTIFS(Clients!$E$2:$E$501,I122,Clients!$S$2:$S$501,"Paid")&gt;0)),"⚠ Refunded before – no free video",IF(OR(AA122="Contract signed + paid",AA122="Closed – No response",AA122="Lost"),"",IF(AA122="","Set a stage",IF(AND(AA122="Proposal sent",COUNTA(Q122:V122)&lt;6),"Score this lead – proposal sent unscored",IF(N(AC122)&gt;=Settings!$S$3,"Close – 4 follow-ups sent",IF(AD122="",IF(AB122="","Make first contact",""),IF(TODAY()&gt;AD122,"OVERDUE follow-up",IF(TODAY()=AD122,"Follow up today","")))))))))</f>
        <v/>
      </c>
    </row>
    <row r="123" customFormat="false" ht="15" hidden="false" customHeight="false" outlineLevel="0" collapsed="false">
      <c r="A123" s="17"/>
      <c r="B123" s="40"/>
      <c r="C123" s="41"/>
      <c r="D123" s="17"/>
      <c r="E123" s="17"/>
      <c r="F123" s="17"/>
      <c r="G123" s="17"/>
      <c r="H123" s="17"/>
      <c r="I123" s="42"/>
      <c r="J123" s="17"/>
      <c r="K123" s="17"/>
      <c r="L123" s="17"/>
      <c r="M123" s="17"/>
      <c r="N123" s="40"/>
      <c r="O123" s="41"/>
      <c r="P123" s="43" t="str">
        <f aca="false">IF(OR(B123="",N123=""),"",ROUND(((N123+N(O123))-(B123+N(C123)))*24,1))</f>
        <v/>
      </c>
      <c r="Q123" s="17"/>
      <c r="R123" s="17"/>
      <c r="S123" s="17"/>
      <c r="T123" s="17"/>
      <c r="U123" s="17"/>
      <c r="V123" s="17"/>
      <c r="W123" s="44" t="str">
        <f aca="false">IF(OR(E123="",COUNTA(Q123:V123)=0),"",SUMIFS(Settings!$AA$2:$AA$21,Settings!$Y$2:$Y$21,"Budget AED 5k+/mo?",Settings!$Z$2:$Z$21,Q123)+SUMIFS(Settings!$AA$2:$AA$21,Settings!$Y$2:$Y$21,"Decision-maker?",Settings!$Z$2:$Z$21,R123)+SUMIFS(Settings!$AA$2:$AA$21,Settings!$Y$2:$Y$21,"Someone on camera?",Settings!$Z$2:$Z$21,S123)+SUMIFS(Settings!$AA$2:$AA$21,Settings!$Y$2:$Y$21,"OK with 3-month term?",Settings!$Z$2:$Z$21,T123)+SUMIFS(Settings!$AA$2:$AA$21,Settings!$Y$2:$Y$21,"Start timeline",Settings!$Z$2:$Z$21,U123)+SUMIFS(Settings!$AA$2:$AA$21,Settings!$Y$2:$Y$21,"Social media gap",Settings!$Z$2:$Z$21,V123)+IF(F123="",0,IF(COUNTIF(Settings!$AC$2:$AC$6,F123)&gt;0,Settings!$AA$20,Settings!$AA$21)))</f>
        <v/>
      </c>
      <c r="X123" s="44" t="str">
        <f aca="false">IF(E123="","",IF(COUNTA(Q123:V123)=0,"Not scored",IF(COUNTA(Q123:V123)&lt;6,"Partly scored ("&amp;COUNTA(Q123:V123)&amp;"/6)",IF(W123&gt;=Settings!$S$8,"Hot",IF(W123&gt;=Settings!$S$9,"Warm","Cold")))))</f>
        <v/>
      </c>
      <c r="Y123" s="44" t="str">
        <f aca="false">IF(E123="","",IF(AND(Q123="No",S123="No"),"🚩 Budget  ·  🚩 No one on camera",IF(Q123="No","🚩 Budget under AED 5k",IF(S123="No","🚩 No one on camera",""))))</f>
        <v/>
      </c>
      <c r="Z123" s="17"/>
      <c r="AA123" s="17"/>
      <c r="AB123" s="40"/>
      <c r="AC123" s="17"/>
      <c r="AD123" s="45" t="str">
        <f aca="false">IF(OR(E123="",AB123="",OR(AA123="Contract signed + paid",AA123="Closed – No response",AA123="Lost"),N(AC123)&gt;=Settings!$S$3),"",AB123+Settings!$S$2)</f>
        <v/>
      </c>
      <c r="AE123" s="40"/>
      <c r="AF123" s="41"/>
      <c r="AG123" s="17"/>
      <c r="AH123" s="17"/>
      <c r="AI123" s="17"/>
      <c r="AJ123" s="46" t="str">
        <f aca="true">IF(OR(E123="",B123=""),"",INT(TODAY()-B123))</f>
        <v/>
      </c>
      <c r="AK123" s="44" t="str">
        <f aca="true">IF(E123="","",IF(OR(COUNTIFS(Clients!$C$2:$C$501,E123,Clients!$S$2:$S$501,"Paid")&gt;0,AND(I123&lt;&gt;"",COUNTIFS(Clients!$E$2:$E$501,I123,Clients!$S$2:$S$501,"Paid")&gt;0)),"⚠ Refunded before – no free video",IF(OR(AA123="Contract signed + paid",AA123="Closed – No response",AA123="Lost"),"",IF(AA123="","Set a stage",IF(AND(AA123="Proposal sent",COUNTA(Q123:V123)&lt;6),"Score this lead – proposal sent unscored",IF(N(AC123)&gt;=Settings!$S$3,"Close – 4 follow-ups sent",IF(AD123="",IF(AB123="","Make first contact",""),IF(TODAY()&gt;AD123,"OVERDUE follow-up",IF(TODAY()=AD123,"Follow up today","")))))))))</f>
        <v/>
      </c>
    </row>
    <row r="124" customFormat="false" ht="15" hidden="false" customHeight="false" outlineLevel="0" collapsed="false">
      <c r="A124" s="17"/>
      <c r="B124" s="40"/>
      <c r="C124" s="41"/>
      <c r="D124" s="17"/>
      <c r="E124" s="17"/>
      <c r="F124" s="17"/>
      <c r="G124" s="17"/>
      <c r="H124" s="17"/>
      <c r="I124" s="42"/>
      <c r="J124" s="17"/>
      <c r="K124" s="17"/>
      <c r="L124" s="17"/>
      <c r="M124" s="17"/>
      <c r="N124" s="40"/>
      <c r="O124" s="41"/>
      <c r="P124" s="43" t="str">
        <f aca="false">IF(OR(B124="",N124=""),"",ROUND(((N124+N(O124))-(B124+N(C124)))*24,1))</f>
        <v/>
      </c>
      <c r="Q124" s="17"/>
      <c r="R124" s="17"/>
      <c r="S124" s="17"/>
      <c r="T124" s="17"/>
      <c r="U124" s="17"/>
      <c r="V124" s="17"/>
      <c r="W124" s="44" t="str">
        <f aca="false">IF(OR(E124="",COUNTA(Q124:V124)=0),"",SUMIFS(Settings!$AA$2:$AA$21,Settings!$Y$2:$Y$21,"Budget AED 5k+/mo?",Settings!$Z$2:$Z$21,Q124)+SUMIFS(Settings!$AA$2:$AA$21,Settings!$Y$2:$Y$21,"Decision-maker?",Settings!$Z$2:$Z$21,R124)+SUMIFS(Settings!$AA$2:$AA$21,Settings!$Y$2:$Y$21,"Someone on camera?",Settings!$Z$2:$Z$21,S124)+SUMIFS(Settings!$AA$2:$AA$21,Settings!$Y$2:$Y$21,"OK with 3-month term?",Settings!$Z$2:$Z$21,T124)+SUMIFS(Settings!$AA$2:$AA$21,Settings!$Y$2:$Y$21,"Start timeline",Settings!$Z$2:$Z$21,U124)+SUMIFS(Settings!$AA$2:$AA$21,Settings!$Y$2:$Y$21,"Social media gap",Settings!$Z$2:$Z$21,V124)+IF(F124="",0,IF(COUNTIF(Settings!$AC$2:$AC$6,F124)&gt;0,Settings!$AA$20,Settings!$AA$21)))</f>
        <v/>
      </c>
      <c r="X124" s="44" t="str">
        <f aca="false">IF(E124="","",IF(COUNTA(Q124:V124)=0,"Not scored",IF(COUNTA(Q124:V124)&lt;6,"Partly scored ("&amp;COUNTA(Q124:V124)&amp;"/6)",IF(W124&gt;=Settings!$S$8,"Hot",IF(W124&gt;=Settings!$S$9,"Warm","Cold")))))</f>
        <v/>
      </c>
      <c r="Y124" s="44" t="str">
        <f aca="false">IF(E124="","",IF(AND(Q124="No",S124="No"),"🚩 Budget  ·  🚩 No one on camera",IF(Q124="No","🚩 Budget under AED 5k",IF(S124="No","🚩 No one on camera",""))))</f>
        <v/>
      </c>
      <c r="Z124" s="17"/>
      <c r="AA124" s="17"/>
      <c r="AB124" s="40"/>
      <c r="AC124" s="17"/>
      <c r="AD124" s="45" t="str">
        <f aca="false">IF(OR(E124="",AB124="",OR(AA124="Contract signed + paid",AA124="Closed – No response",AA124="Lost"),N(AC124)&gt;=Settings!$S$3),"",AB124+Settings!$S$2)</f>
        <v/>
      </c>
      <c r="AE124" s="40"/>
      <c r="AF124" s="41"/>
      <c r="AG124" s="17"/>
      <c r="AH124" s="17"/>
      <c r="AI124" s="17"/>
      <c r="AJ124" s="46" t="str">
        <f aca="true">IF(OR(E124="",B124=""),"",INT(TODAY()-B124))</f>
        <v/>
      </c>
      <c r="AK124" s="44" t="str">
        <f aca="true">IF(E124="","",IF(OR(COUNTIFS(Clients!$C$2:$C$501,E124,Clients!$S$2:$S$501,"Paid")&gt;0,AND(I124&lt;&gt;"",COUNTIFS(Clients!$E$2:$E$501,I124,Clients!$S$2:$S$501,"Paid")&gt;0)),"⚠ Refunded before – no free video",IF(OR(AA124="Contract signed + paid",AA124="Closed – No response",AA124="Lost"),"",IF(AA124="","Set a stage",IF(AND(AA124="Proposal sent",COUNTA(Q124:V124)&lt;6),"Score this lead – proposal sent unscored",IF(N(AC124)&gt;=Settings!$S$3,"Close – 4 follow-ups sent",IF(AD124="",IF(AB124="","Make first contact",""),IF(TODAY()&gt;AD124,"OVERDUE follow-up",IF(TODAY()=AD124,"Follow up today","")))))))))</f>
        <v/>
      </c>
    </row>
    <row r="125" customFormat="false" ht="15" hidden="false" customHeight="false" outlineLevel="0" collapsed="false">
      <c r="A125" s="17"/>
      <c r="B125" s="40"/>
      <c r="C125" s="41"/>
      <c r="D125" s="17"/>
      <c r="E125" s="17"/>
      <c r="F125" s="17"/>
      <c r="G125" s="17"/>
      <c r="H125" s="17"/>
      <c r="I125" s="42"/>
      <c r="J125" s="17"/>
      <c r="K125" s="17"/>
      <c r="L125" s="17"/>
      <c r="M125" s="17"/>
      <c r="N125" s="40"/>
      <c r="O125" s="41"/>
      <c r="P125" s="43" t="str">
        <f aca="false">IF(OR(B125="",N125=""),"",ROUND(((N125+N(O125))-(B125+N(C125)))*24,1))</f>
        <v/>
      </c>
      <c r="Q125" s="17"/>
      <c r="R125" s="17"/>
      <c r="S125" s="17"/>
      <c r="T125" s="17"/>
      <c r="U125" s="17"/>
      <c r="V125" s="17"/>
      <c r="W125" s="44" t="str">
        <f aca="false">IF(OR(E125="",COUNTA(Q125:V125)=0),"",SUMIFS(Settings!$AA$2:$AA$21,Settings!$Y$2:$Y$21,"Budget AED 5k+/mo?",Settings!$Z$2:$Z$21,Q125)+SUMIFS(Settings!$AA$2:$AA$21,Settings!$Y$2:$Y$21,"Decision-maker?",Settings!$Z$2:$Z$21,R125)+SUMIFS(Settings!$AA$2:$AA$21,Settings!$Y$2:$Y$21,"Someone on camera?",Settings!$Z$2:$Z$21,S125)+SUMIFS(Settings!$AA$2:$AA$21,Settings!$Y$2:$Y$21,"OK with 3-month term?",Settings!$Z$2:$Z$21,T125)+SUMIFS(Settings!$AA$2:$AA$21,Settings!$Y$2:$Y$21,"Start timeline",Settings!$Z$2:$Z$21,U125)+SUMIFS(Settings!$AA$2:$AA$21,Settings!$Y$2:$Y$21,"Social media gap",Settings!$Z$2:$Z$21,V125)+IF(F125="",0,IF(COUNTIF(Settings!$AC$2:$AC$6,F125)&gt;0,Settings!$AA$20,Settings!$AA$21)))</f>
        <v/>
      </c>
      <c r="X125" s="44" t="str">
        <f aca="false">IF(E125="","",IF(COUNTA(Q125:V125)=0,"Not scored",IF(COUNTA(Q125:V125)&lt;6,"Partly scored ("&amp;COUNTA(Q125:V125)&amp;"/6)",IF(W125&gt;=Settings!$S$8,"Hot",IF(W125&gt;=Settings!$S$9,"Warm","Cold")))))</f>
        <v/>
      </c>
      <c r="Y125" s="44" t="str">
        <f aca="false">IF(E125="","",IF(AND(Q125="No",S125="No"),"🚩 Budget  ·  🚩 No one on camera",IF(Q125="No","🚩 Budget under AED 5k",IF(S125="No","🚩 No one on camera",""))))</f>
        <v/>
      </c>
      <c r="Z125" s="17"/>
      <c r="AA125" s="17"/>
      <c r="AB125" s="40"/>
      <c r="AC125" s="17"/>
      <c r="AD125" s="45" t="str">
        <f aca="false">IF(OR(E125="",AB125="",OR(AA125="Contract signed + paid",AA125="Closed – No response",AA125="Lost"),N(AC125)&gt;=Settings!$S$3),"",AB125+Settings!$S$2)</f>
        <v/>
      </c>
      <c r="AE125" s="40"/>
      <c r="AF125" s="41"/>
      <c r="AG125" s="17"/>
      <c r="AH125" s="17"/>
      <c r="AI125" s="17"/>
      <c r="AJ125" s="46" t="str">
        <f aca="true">IF(OR(E125="",B125=""),"",INT(TODAY()-B125))</f>
        <v/>
      </c>
      <c r="AK125" s="44" t="str">
        <f aca="true">IF(E125="","",IF(OR(COUNTIFS(Clients!$C$2:$C$501,E125,Clients!$S$2:$S$501,"Paid")&gt;0,AND(I125&lt;&gt;"",COUNTIFS(Clients!$E$2:$E$501,I125,Clients!$S$2:$S$501,"Paid")&gt;0)),"⚠ Refunded before – no free video",IF(OR(AA125="Contract signed + paid",AA125="Closed – No response",AA125="Lost"),"",IF(AA125="","Set a stage",IF(AND(AA125="Proposal sent",COUNTA(Q125:V125)&lt;6),"Score this lead – proposal sent unscored",IF(N(AC125)&gt;=Settings!$S$3,"Close – 4 follow-ups sent",IF(AD125="",IF(AB125="","Make first contact",""),IF(TODAY()&gt;AD125,"OVERDUE follow-up",IF(TODAY()=AD125,"Follow up today","")))))))))</f>
        <v/>
      </c>
    </row>
    <row r="126" customFormat="false" ht="15" hidden="false" customHeight="false" outlineLevel="0" collapsed="false">
      <c r="A126" s="17"/>
      <c r="B126" s="40"/>
      <c r="C126" s="41"/>
      <c r="D126" s="17"/>
      <c r="E126" s="17"/>
      <c r="F126" s="17"/>
      <c r="G126" s="17"/>
      <c r="H126" s="17"/>
      <c r="I126" s="42"/>
      <c r="J126" s="17"/>
      <c r="K126" s="17"/>
      <c r="L126" s="17"/>
      <c r="M126" s="17"/>
      <c r="N126" s="40"/>
      <c r="O126" s="41"/>
      <c r="P126" s="43" t="str">
        <f aca="false">IF(OR(B126="",N126=""),"",ROUND(((N126+N(O126))-(B126+N(C126)))*24,1))</f>
        <v/>
      </c>
      <c r="Q126" s="17"/>
      <c r="R126" s="17"/>
      <c r="S126" s="17"/>
      <c r="T126" s="17"/>
      <c r="U126" s="17"/>
      <c r="V126" s="17"/>
      <c r="W126" s="44" t="str">
        <f aca="false">IF(OR(E126="",COUNTA(Q126:V126)=0),"",SUMIFS(Settings!$AA$2:$AA$21,Settings!$Y$2:$Y$21,"Budget AED 5k+/mo?",Settings!$Z$2:$Z$21,Q126)+SUMIFS(Settings!$AA$2:$AA$21,Settings!$Y$2:$Y$21,"Decision-maker?",Settings!$Z$2:$Z$21,R126)+SUMIFS(Settings!$AA$2:$AA$21,Settings!$Y$2:$Y$21,"Someone on camera?",Settings!$Z$2:$Z$21,S126)+SUMIFS(Settings!$AA$2:$AA$21,Settings!$Y$2:$Y$21,"OK with 3-month term?",Settings!$Z$2:$Z$21,T126)+SUMIFS(Settings!$AA$2:$AA$21,Settings!$Y$2:$Y$21,"Start timeline",Settings!$Z$2:$Z$21,U126)+SUMIFS(Settings!$AA$2:$AA$21,Settings!$Y$2:$Y$21,"Social media gap",Settings!$Z$2:$Z$21,V126)+IF(F126="",0,IF(COUNTIF(Settings!$AC$2:$AC$6,F126)&gt;0,Settings!$AA$20,Settings!$AA$21)))</f>
        <v/>
      </c>
      <c r="X126" s="44" t="str">
        <f aca="false">IF(E126="","",IF(COUNTA(Q126:V126)=0,"Not scored",IF(COUNTA(Q126:V126)&lt;6,"Partly scored ("&amp;COUNTA(Q126:V126)&amp;"/6)",IF(W126&gt;=Settings!$S$8,"Hot",IF(W126&gt;=Settings!$S$9,"Warm","Cold")))))</f>
        <v/>
      </c>
      <c r="Y126" s="44" t="str">
        <f aca="false">IF(E126="","",IF(AND(Q126="No",S126="No"),"🚩 Budget  ·  🚩 No one on camera",IF(Q126="No","🚩 Budget under AED 5k",IF(S126="No","🚩 No one on camera",""))))</f>
        <v/>
      </c>
      <c r="Z126" s="17"/>
      <c r="AA126" s="17"/>
      <c r="AB126" s="40"/>
      <c r="AC126" s="17"/>
      <c r="AD126" s="45" t="str">
        <f aca="false">IF(OR(E126="",AB126="",OR(AA126="Contract signed + paid",AA126="Closed – No response",AA126="Lost"),N(AC126)&gt;=Settings!$S$3),"",AB126+Settings!$S$2)</f>
        <v/>
      </c>
      <c r="AE126" s="40"/>
      <c r="AF126" s="41"/>
      <c r="AG126" s="17"/>
      <c r="AH126" s="17"/>
      <c r="AI126" s="17"/>
      <c r="AJ126" s="46" t="str">
        <f aca="true">IF(OR(E126="",B126=""),"",INT(TODAY()-B126))</f>
        <v/>
      </c>
      <c r="AK126" s="44" t="str">
        <f aca="true">IF(E126="","",IF(OR(COUNTIFS(Clients!$C$2:$C$501,E126,Clients!$S$2:$S$501,"Paid")&gt;0,AND(I126&lt;&gt;"",COUNTIFS(Clients!$E$2:$E$501,I126,Clients!$S$2:$S$501,"Paid")&gt;0)),"⚠ Refunded before – no free video",IF(OR(AA126="Contract signed + paid",AA126="Closed – No response",AA126="Lost"),"",IF(AA126="","Set a stage",IF(AND(AA126="Proposal sent",COUNTA(Q126:V126)&lt;6),"Score this lead – proposal sent unscored",IF(N(AC126)&gt;=Settings!$S$3,"Close – 4 follow-ups sent",IF(AD126="",IF(AB126="","Make first contact",""),IF(TODAY()&gt;AD126,"OVERDUE follow-up",IF(TODAY()=AD126,"Follow up today","")))))))))</f>
        <v/>
      </c>
    </row>
    <row r="127" customFormat="false" ht="15" hidden="false" customHeight="false" outlineLevel="0" collapsed="false">
      <c r="A127" s="17"/>
      <c r="B127" s="40"/>
      <c r="C127" s="41"/>
      <c r="D127" s="17"/>
      <c r="E127" s="17"/>
      <c r="F127" s="17"/>
      <c r="G127" s="17"/>
      <c r="H127" s="17"/>
      <c r="I127" s="42"/>
      <c r="J127" s="17"/>
      <c r="K127" s="17"/>
      <c r="L127" s="17"/>
      <c r="M127" s="17"/>
      <c r="N127" s="40"/>
      <c r="O127" s="41"/>
      <c r="P127" s="43" t="str">
        <f aca="false">IF(OR(B127="",N127=""),"",ROUND(((N127+N(O127))-(B127+N(C127)))*24,1))</f>
        <v/>
      </c>
      <c r="Q127" s="17"/>
      <c r="R127" s="17"/>
      <c r="S127" s="17"/>
      <c r="T127" s="17"/>
      <c r="U127" s="17"/>
      <c r="V127" s="17"/>
      <c r="W127" s="44" t="str">
        <f aca="false">IF(OR(E127="",COUNTA(Q127:V127)=0),"",SUMIFS(Settings!$AA$2:$AA$21,Settings!$Y$2:$Y$21,"Budget AED 5k+/mo?",Settings!$Z$2:$Z$21,Q127)+SUMIFS(Settings!$AA$2:$AA$21,Settings!$Y$2:$Y$21,"Decision-maker?",Settings!$Z$2:$Z$21,R127)+SUMIFS(Settings!$AA$2:$AA$21,Settings!$Y$2:$Y$21,"Someone on camera?",Settings!$Z$2:$Z$21,S127)+SUMIFS(Settings!$AA$2:$AA$21,Settings!$Y$2:$Y$21,"OK with 3-month term?",Settings!$Z$2:$Z$21,T127)+SUMIFS(Settings!$AA$2:$AA$21,Settings!$Y$2:$Y$21,"Start timeline",Settings!$Z$2:$Z$21,U127)+SUMIFS(Settings!$AA$2:$AA$21,Settings!$Y$2:$Y$21,"Social media gap",Settings!$Z$2:$Z$21,V127)+IF(F127="",0,IF(COUNTIF(Settings!$AC$2:$AC$6,F127)&gt;0,Settings!$AA$20,Settings!$AA$21)))</f>
        <v/>
      </c>
      <c r="X127" s="44" t="str">
        <f aca="false">IF(E127="","",IF(COUNTA(Q127:V127)=0,"Not scored",IF(COUNTA(Q127:V127)&lt;6,"Partly scored ("&amp;COUNTA(Q127:V127)&amp;"/6)",IF(W127&gt;=Settings!$S$8,"Hot",IF(W127&gt;=Settings!$S$9,"Warm","Cold")))))</f>
        <v/>
      </c>
      <c r="Y127" s="44" t="str">
        <f aca="false">IF(E127="","",IF(AND(Q127="No",S127="No"),"🚩 Budget  ·  🚩 No one on camera",IF(Q127="No","🚩 Budget under AED 5k",IF(S127="No","🚩 No one on camera",""))))</f>
        <v/>
      </c>
      <c r="Z127" s="17"/>
      <c r="AA127" s="17"/>
      <c r="AB127" s="40"/>
      <c r="AC127" s="17"/>
      <c r="AD127" s="45" t="str">
        <f aca="false">IF(OR(E127="",AB127="",OR(AA127="Contract signed + paid",AA127="Closed – No response",AA127="Lost"),N(AC127)&gt;=Settings!$S$3),"",AB127+Settings!$S$2)</f>
        <v/>
      </c>
      <c r="AE127" s="40"/>
      <c r="AF127" s="41"/>
      <c r="AG127" s="17"/>
      <c r="AH127" s="17"/>
      <c r="AI127" s="17"/>
      <c r="AJ127" s="46" t="str">
        <f aca="true">IF(OR(E127="",B127=""),"",INT(TODAY()-B127))</f>
        <v/>
      </c>
      <c r="AK127" s="44" t="str">
        <f aca="true">IF(E127="","",IF(OR(COUNTIFS(Clients!$C$2:$C$501,E127,Clients!$S$2:$S$501,"Paid")&gt;0,AND(I127&lt;&gt;"",COUNTIFS(Clients!$E$2:$E$501,I127,Clients!$S$2:$S$501,"Paid")&gt;0)),"⚠ Refunded before – no free video",IF(OR(AA127="Contract signed + paid",AA127="Closed – No response",AA127="Lost"),"",IF(AA127="","Set a stage",IF(AND(AA127="Proposal sent",COUNTA(Q127:V127)&lt;6),"Score this lead – proposal sent unscored",IF(N(AC127)&gt;=Settings!$S$3,"Close – 4 follow-ups sent",IF(AD127="",IF(AB127="","Make first contact",""),IF(TODAY()&gt;AD127,"OVERDUE follow-up",IF(TODAY()=AD127,"Follow up today","")))))))))</f>
        <v/>
      </c>
    </row>
    <row r="128" customFormat="false" ht="15" hidden="false" customHeight="false" outlineLevel="0" collapsed="false">
      <c r="A128" s="17"/>
      <c r="B128" s="40"/>
      <c r="C128" s="41"/>
      <c r="D128" s="17"/>
      <c r="E128" s="17"/>
      <c r="F128" s="17"/>
      <c r="G128" s="17"/>
      <c r="H128" s="17"/>
      <c r="I128" s="42"/>
      <c r="J128" s="17"/>
      <c r="K128" s="17"/>
      <c r="L128" s="17"/>
      <c r="M128" s="17"/>
      <c r="N128" s="40"/>
      <c r="O128" s="41"/>
      <c r="P128" s="43" t="str">
        <f aca="false">IF(OR(B128="",N128=""),"",ROUND(((N128+N(O128))-(B128+N(C128)))*24,1))</f>
        <v/>
      </c>
      <c r="Q128" s="17"/>
      <c r="R128" s="17"/>
      <c r="S128" s="17"/>
      <c r="T128" s="17"/>
      <c r="U128" s="17"/>
      <c r="V128" s="17"/>
      <c r="W128" s="44" t="str">
        <f aca="false">IF(OR(E128="",COUNTA(Q128:V128)=0),"",SUMIFS(Settings!$AA$2:$AA$21,Settings!$Y$2:$Y$21,"Budget AED 5k+/mo?",Settings!$Z$2:$Z$21,Q128)+SUMIFS(Settings!$AA$2:$AA$21,Settings!$Y$2:$Y$21,"Decision-maker?",Settings!$Z$2:$Z$21,R128)+SUMIFS(Settings!$AA$2:$AA$21,Settings!$Y$2:$Y$21,"Someone on camera?",Settings!$Z$2:$Z$21,S128)+SUMIFS(Settings!$AA$2:$AA$21,Settings!$Y$2:$Y$21,"OK with 3-month term?",Settings!$Z$2:$Z$21,T128)+SUMIFS(Settings!$AA$2:$AA$21,Settings!$Y$2:$Y$21,"Start timeline",Settings!$Z$2:$Z$21,U128)+SUMIFS(Settings!$AA$2:$AA$21,Settings!$Y$2:$Y$21,"Social media gap",Settings!$Z$2:$Z$21,V128)+IF(F128="",0,IF(COUNTIF(Settings!$AC$2:$AC$6,F128)&gt;0,Settings!$AA$20,Settings!$AA$21)))</f>
        <v/>
      </c>
      <c r="X128" s="44" t="str">
        <f aca="false">IF(E128="","",IF(COUNTA(Q128:V128)=0,"Not scored",IF(COUNTA(Q128:V128)&lt;6,"Partly scored ("&amp;COUNTA(Q128:V128)&amp;"/6)",IF(W128&gt;=Settings!$S$8,"Hot",IF(W128&gt;=Settings!$S$9,"Warm","Cold")))))</f>
        <v/>
      </c>
      <c r="Y128" s="44" t="str">
        <f aca="false">IF(E128="","",IF(AND(Q128="No",S128="No"),"🚩 Budget  ·  🚩 No one on camera",IF(Q128="No","🚩 Budget under AED 5k",IF(S128="No","🚩 No one on camera",""))))</f>
        <v/>
      </c>
      <c r="Z128" s="17"/>
      <c r="AA128" s="17"/>
      <c r="AB128" s="40"/>
      <c r="AC128" s="17"/>
      <c r="AD128" s="45" t="str">
        <f aca="false">IF(OR(E128="",AB128="",OR(AA128="Contract signed + paid",AA128="Closed – No response",AA128="Lost"),N(AC128)&gt;=Settings!$S$3),"",AB128+Settings!$S$2)</f>
        <v/>
      </c>
      <c r="AE128" s="40"/>
      <c r="AF128" s="41"/>
      <c r="AG128" s="17"/>
      <c r="AH128" s="17"/>
      <c r="AI128" s="17"/>
      <c r="AJ128" s="46" t="str">
        <f aca="true">IF(OR(E128="",B128=""),"",INT(TODAY()-B128))</f>
        <v/>
      </c>
      <c r="AK128" s="44" t="str">
        <f aca="true">IF(E128="","",IF(OR(COUNTIFS(Clients!$C$2:$C$501,E128,Clients!$S$2:$S$501,"Paid")&gt;0,AND(I128&lt;&gt;"",COUNTIFS(Clients!$E$2:$E$501,I128,Clients!$S$2:$S$501,"Paid")&gt;0)),"⚠ Refunded before – no free video",IF(OR(AA128="Contract signed + paid",AA128="Closed – No response",AA128="Lost"),"",IF(AA128="","Set a stage",IF(AND(AA128="Proposal sent",COUNTA(Q128:V128)&lt;6),"Score this lead – proposal sent unscored",IF(N(AC128)&gt;=Settings!$S$3,"Close – 4 follow-ups sent",IF(AD128="",IF(AB128="","Make first contact",""),IF(TODAY()&gt;AD128,"OVERDUE follow-up",IF(TODAY()=AD128,"Follow up today","")))))))))</f>
        <v/>
      </c>
    </row>
    <row r="129" customFormat="false" ht="15" hidden="false" customHeight="false" outlineLevel="0" collapsed="false">
      <c r="A129" s="17"/>
      <c r="B129" s="40"/>
      <c r="C129" s="41"/>
      <c r="D129" s="17"/>
      <c r="E129" s="17"/>
      <c r="F129" s="17"/>
      <c r="G129" s="17"/>
      <c r="H129" s="17"/>
      <c r="I129" s="42"/>
      <c r="J129" s="17"/>
      <c r="K129" s="17"/>
      <c r="L129" s="17"/>
      <c r="M129" s="17"/>
      <c r="N129" s="40"/>
      <c r="O129" s="41"/>
      <c r="P129" s="43" t="str">
        <f aca="false">IF(OR(B129="",N129=""),"",ROUND(((N129+N(O129))-(B129+N(C129)))*24,1))</f>
        <v/>
      </c>
      <c r="Q129" s="17"/>
      <c r="R129" s="17"/>
      <c r="S129" s="17"/>
      <c r="T129" s="17"/>
      <c r="U129" s="17"/>
      <c r="V129" s="17"/>
      <c r="W129" s="44" t="str">
        <f aca="false">IF(OR(E129="",COUNTA(Q129:V129)=0),"",SUMIFS(Settings!$AA$2:$AA$21,Settings!$Y$2:$Y$21,"Budget AED 5k+/mo?",Settings!$Z$2:$Z$21,Q129)+SUMIFS(Settings!$AA$2:$AA$21,Settings!$Y$2:$Y$21,"Decision-maker?",Settings!$Z$2:$Z$21,R129)+SUMIFS(Settings!$AA$2:$AA$21,Settings!$Y$2:$Y$21,"Someone on camera?",Settings!$Z$2:$Z$21,S129)+SUMIFS(Settings!$AA$2:$AA$21,Settings!$Y$2:$Y$21,"OK with 3-month term?",Settings!$Z$2:$Z$21,T129)+SUMIFS(Settings!$AA$2:$AA$21,Settings!$Y$2:$Y$21,"Start timeline",Settings!$Z$2:$Z$21,U129)+SUMIFS(Settings!$AA$2:$AA$21,Settings!$Y$2:$Y$21,"Social media gap",Settings!$Z$2:$Z$21,V129)+IF(F129="",0,IF(COUNTIF(Settings!$AC$2:$AC$6,F129)&gt;0,Settings!$AA$20,Settings!$AA$21)))</f>
        <v/>
      </c>
      <c r="X129" s="44" t="str">
        <f aca="false">IF(E129="","",IF(COUNTA(Q129:V129)=0,"Not scored",IF(COUNTA(Q129:V129)&lt;6,"Partly scored ("&amp;COUNTA(Q129:V129)&amp;"/6)",IF(W129&gt;=Settings!$S$8,"Hot",IF(W129&gt;=Settings!$S$9,"Warm","Cold")))))</f>
        <v/>
      </c>
      <c r="Y129" s="44" t="str">
        <f aca="false">IF(E129="","",IF(AND(Q129="No",S129="No"),"🚩 Budget  ·  🚩 No one on camera",IF(Q129="No","🚩 Budget under AED 5k",IF(S129="No","🚩 No one on camera",""))))</f>
        <v/>
      </c>
      <c r="Z129" s="17"/>
      <c r="AA129" s="17"/>
      <c r="AB129" s="40"/>
      <c r="AC129" s="17"/>
      <c r="AD129" s="45" t="str">
        <f aca="false">IF(OR(E129="",AB129="",OR(AA129="Contract signed + paid",AA129="Closed – No response",AA129="Lost"),N(AC129)&gt;=Settings!$S$3),"",AB129+Settings!$S$2)</f>
        <v/>
      </c>
      <c r="AE129" s="40"/>
      <c r="AF129" s="41"/>
      <c r="AG129" s="17"/>
      <c r="AH129" s="17"/>
      <c r="AI129" s="17"/>
      <c r="AJ129" s="46" t="str">
        <f aca="true">IF(OR(E129="",B129=""),"",INT(TODAY()-B129))</f>
        <v/>
      </c>
      <c r="AK129" s="44" t="str">
        <f aca="true">IF(E129="","",IF(OR(COUNTIFS(Clients!$C$2:$C$501,E129,Clients!$S$2:$S$501,"Paid")&gt;0,AND(I129&lt;&gt;"",COUNTIFS(Clients!$E$2:$E$501,I129,Clients!$S$2:$S$501,"Paid")&gt;0)),"⚠ Refunded before – no free video",IF(OR(AA129="Contract signed + paid",AA129="Closed – No response",AA129="Lost"),"",IF(AA129="","Set a stage",IF(AND(AA129="Proposal sent",COUNTA(Q129:V129)&lt;6),"Score this lead – proposal sent unscored",IF(N(AC129)&gt;=Settings!$S$3,"Close – 4 follow-ups sent",IF(AD129="",IF(AB129="","Make first contact",""),IF(TODAY()&gt;AD129,"OVERDUE follow-up",IF(TODAY()=AD129,"Follow up today","")))))))))</f>
        <v/>
      </c>
    </row>
    <row r="130" customFormat="false" ht="15" hidden="false" customHeight="false" outlineLevel="0" collapsed="false">
      <c r="A130" s="17"/>
      <c r="B130" s="40"/>
      <c r="C130" s="41"/>
      <c r="D130" s="17"/>
      <c r="E130" s="17"/>
      <c r="F130" s="17"/>
      <c r="G130" s="17"/>
      <c r="H130" s="17"/>
      <c r="I130" s="42"/>
      <c r="J130" s="17"/>
      <c r="K130" s="17"/>
      <c r="L130" s="17"/>
      <c r="M130" s="17"/>
      <c r="N130" s="40"/>
      <c r="O130" s="41"/>
      <c r="P130" s="43" t="str">
        <f aca="false">IF(OR(B130="",N130=""),"",ROUND(((N130+N(O130))-(B130+N(C130)))*24,1))</f>
        <v/>
      </c>
      <c r="Q130" s="17"/>
      <c r="R130" s="17"/>
      <c r="S130" s="17"/>
      <c r="T130" s="17"/>
      <c r="U130" s="17"/>
      <c r="V130" s="17"/>
      <c r="W130" s="44" t="str">
        <f aca="false">IF(OR(E130="",COUNTA(Q130:V130)=0),"",SUMIFS(Settings!$AA$2:$AA$21,Settings!$Y$2:$Y$21,"Budget AED 5k+/mo?",Settings!$Z$2:$Z$21,Q130)+SUMIFS(Settings!$AA$2:$AA$21,Settings!$Y$2:$Y$21,"Decision-maker?",Settings!$Z$2:$Z$21,R130)+SUMIFS(Settings!$AA$2:$AA$21,Settings!$Y$2:$Y$21,"Someone on camera?",Settings!$Z$2:$Z$21,S130)+SUMIFS(Settings!$AA$2:$AA$21,Settings!$Y$2:$Y$21,"OK with 3-month term?",Settings!$Z$2:$Z$21,T130)+SUMIFS(Settings!$AA$2:$AA$21,Settings!$Y$2:$Y$21,"Start timeline",Settings!$Z$2:$Z$21,U130)+SUMIFS(Settings!$AA$2:$AA$21,Settings!$Y$2:$Y$21,"Social media gap",Settings!$Z$2:$Z$21,V130)+IF(F130="",0,IF(COUNTIF(Settings!$AC$2:$AC$6,F130)&gt;0,Settings!$AA$20,Settings!$AA$21)))</f>
        <v/>
      </c>
      <c r="X130" s="44" t="str">
        <f aca="false">IF(E130="","",IF(COUNTA(Q130:V130)=0,"Not scored",IF(COUNTA(Q130:V130)&lt;6,"Partly scored ("&amp;COUNTA(Q130:V130)&amp;"/6)",IF(W130&gt;=Settings!$S$8,"Hot",IF(W130&gt;=Settings!$S$9,"Warm","Cold")))))</f>
        <v/>
      </c>
      <c r="Y130" s="44" t="str">
        <f aca="false">IF(E130="","",IF(AND(Q130="No",S130="No"),"🚩 Budget  ·  🚩 No one on camera",IF(Q130="No","🚩 Budget under AED 5k",IF(S130="No","🚩 No one on camera",""))))</f>
        <v/>
      </c>
      <c r="Z130" s="17"/>
      <c r="AA130" s="17"/>
      <c r="AB130" s="40"/>
      <c r="AC130" s="17"/>
      <c r="AD130" s="45" t="str">
        <f aca="false">IF(OR(E130="",AB130="",OR(AA130="Contract signed + paid",AA130="Closed – No response",AA130="Lost"),N(AC130)&gt;=Settings!$S$3),"",AB130+Settings!$S$2)</f>
        <v/>
      </c>
      <c r="AE130" s="40"/>
      <c r="AF130" s="41"/>
      <c r="AG130" s="17"/>
      <c r="AH130" s="17"/>
      <c r="AI130" s="17"/>
      <c r="AJ130" s="46" t="str">
        <f aca="true">IF(OR(E130="",B130=""),"",INT(TODAY()-B130))</f>
        <v/>
      </c>
      <c r="AK130" s="44" t="str">
        <f aca="true">IF(E130="","",IF(OR(COUNTIFS(Clients!$C$2:$C$501,E130,Clients!$S$2:$S$501,"Paid")&gt;0,AND(I130&lt;&gt;"",COUNTIFS(Clients!$E$2:$E$501,I130,Clients!$S$2:$S$501,"Paid")&gt;0)),"⚠ Refunded before – no free video",IF(OR(AA130="Contract signed + paid",AA130="Closed – No response",AA130="Lost"),"",IF(AA130="","Set a stage",IF(AND(AA130="Proposal sent",COUNTA(Q130:V130)&lt;6),"Score this lead – proposal sent unscored",IF(N(AC130)&gt;=Settings!$S$3,"Close – 4 follow-ups sent",IF(AD130="",IF(AB130="","Make first contact",""),IF(TODAY()&gt;AD130,"OVERDUE follow-up",IF(TODAY()=AD130,"Follow up today","")))))))))</f>
        <v/>
      </c>
    </row>
    <row r="131" customFormat="false" ht="15" hidden="false" customHeight="false" outlineLevel="0" collapsed="false">
      <c r="A131" s="17"/>
      <c r="B131" s="40"/>
      <c r="C131" s="41"/>
      <c r="D131" s="17"/>
      <c r="E131" s="17"/>
      <c r="F131" s="17"/>
      <c r="G131" s="17"/>
      <c r="H131" s="17"/>
      <c r="I131" s="42"/>
      <c r="J131" s="17"/>
      <c r="K131" s="17"/>
      <c r="L131" s="17"/>
      <c r="M131" s="17"/>
      <c r="N131" s="40"/>
      <c r="O131" s="41"/>
      <c r="P131" s="43" t="str">
        <f aca="false">IF(OR(B131="",N131=""),"",ROUND(((N131+N(O131))-(B131+N(C131)))*24,1))</f>
        <v/>
      </c>
      <c r="Q131" s="17"/>
      <c r="R131" s="17"/>
      <c r="S131" s="17"/>
      <c r="T131" s="17"/>
      <c r="U131" s="17"/>
      <c r="V131" s="17"/>
      <c r="W131" s="44" t="str">
        <f aca="false">IF(OR(E131="",COUNTA(Q131:V131)=0),"",SUMIFS(Settings!$AA$2:$AA$21,Settings!$Y$2:$Y$21,"Budget AED 5k+/mo?",Settings!$Z$2:$Z$21,Q131)+SUMIFS(Settings!$AA$2:$AA$21,Settings!$Y$2:$Y$21,"Decision-maker?",Settings!$Z$2:$Z$21,R131)+SUMIFS(Settings!$AA$2:$AA$21,Settings!$Y$2:$Y$21,"Someone on camera?",Settings!$Z$2:$Z$21,S131)+SUMIFS(Settings!$AA$2:$AA$21,Settings!$Y$2:$Y$21,"OK with 3-month term?",Settings!$Z$2:$Z$21,T131)+SUMIFS(Settings!$AA$2:$AA$21,Settings!$Y$2:$Y$21,"Start timeline",Settings!$Z$2:$Z$21,U131)+SUMIFS(Settings!$AA$2:$AA$21,Settings!$Y$2:$Y$21,"Social media gap",Settings!$Z$2:$Z$21,V131)+IF(F131="",0,IF(COUNTIF(Settings!$AC$2:$AC$6,F131)&gt;0,Settings!$AA$20,Settings!$AA$21)))</f>
        <v/>
      </c>
      <c r="X131" s="44" t="str">
        <f aca="false">IF(E131="","",IF(COUNTA(Q131:V131)=0,"Not scored",IF(COUNTA(Q131:V131)&lt;6,"Partly scored ("&amp;COUNTA(Q131:V131)&amp;"/6)",IF(W131&gt;=Settings!$S$8,"Hot",IF(W131&gt;=Settings!$S$9,"Warm","Cold")))))</f>
        <v/>
      </c>
      <c r="Y131" s="44" t="str">
        <f aca="false">IF(E131="","",IF(AND(Q131="No",S131="No"),"🚩 Budget  ·  🚩 No one on camera",IF(Q131="No","🚩 Budget under AED 5k",IF(S131="No","🚩 No one on camera",""))))</f>
        <v/>
      </c>
      <c r="Z131" s="17"/>
      <c r="AA131" s="17"/>
      <c r="AB131" s="40"/>
      <c r="AC131" s="17"/>
      <c r="AD131" s="45" t="str">
        <f aca="false">IF(OR(E131="",AB131="",OR(AA131="Contract signed + paid",AA131="Closed – No response",AA131="Lost"),N(AC131)&gt;=Settings!$S$3),"",AB131+Settings!$S$2)</f>
        <v/>
      </c>
      <c r="AE131" s="40"/>
      <c r="AF131" s="41"/>
      <c r="AG131" s="17"/>
      <c r="AH131" s="17"/>
      <c r="AI131" s="17"/>
      <c r="AJ131" s="46" t="str">
        <f aca="true">IF(OR(E131="",B131=""),"",INT(TODAY()-B131))</f>
        <v/>
      </c>
      <c r="AK131" s="44" t="str">
        <f aca="true">IF(E131="","",IF(OR(COUNTIFS(Clients!$C$2:$C$501,E131,Clients!$S$2:$S$501,"Paid")&gt;0,AND(I131&lt;&gt;"",COUNTIFS(Clients!$E$2:$E$501,I131,Clients!$S$2:$S$501,"Paid")&gt;0)),"⚠ Refunded before – no free video",IF(OR(AA131="Contract signed + paid",AA131="Closed – No response",AA131="Lost"),"",IF(AA131="","Set a stage",IF(AND(AA131="Proposal sent",COUNTA(Q131:V131)&lt;6),"Score this lead – proposal sent unscored",IF(N(AC131)&gt;=Settings!$S$3,"Close – 4 follow-ups sent",IF(AD131="",IF(AB131="","Make first contact",""),IF(TODAY()&gt;AD131,"OVERDUE follow-up",IF(TODAY()=AD131,"Follow up today","")))))))))</f>
        <v/>
      </c>
    </row>
    <row r="132" customFormat="false" ht="15" hidden="false" customHeight="false" outlineLevel="0" collapsed="false">
      <c r="A132" s="17"/>
      <c r="B132" s="40"/>
      <c r="C132" s="41"/>
      <c r="D132" s="17"/>
      <c r="E132" s="17"/>
      <c r="F132" s="17"/>
      <c r="G132" s="17"/>
      <c r="H132" s="17"/>
      <c r="I132" s="42"/>
      <c r="J132" s="17"/>
      <c r="K132" s="17"/>
      <c r="L132" s="17"/>
      <c r="M132" s="17"/>
      <c r="N132" s="40"/>
      <c r="O132" s="41"/>
      <c r="P132" s="43" t="str">
        <f aca="false">IF(OR(B132="",N132=""),"",ROUND(((N132+N(O132))-(B132+N(C132)))*24,1))</f>
        <v/>
      </c>
      <c r="Q132" s="17"/>
      <c r="R132" s="17"/>
      <c r="S132" s="17"/>
      <c r="T132" s="17"/>
      <c r="U132" s="17"/>
      <c r="V132" s="17"/>
      <c r="W132" s="44" t="str">
        <f aca="false">IF(OR(E132="",COUNTA(Q132:V132)=0),"",SUMIFS(Settings!$AA$2:$AA$21,Settings!$Y$2:$Y$21,"Budget AED 5k+/mo?",Settings!$Z$2:$Z$21,Q132)+SUMIFS(Settings!$AA$2:$AA$21,Settings!$Y$2:$Y$21,"Decision-maker?",Settings!$Z$2:$Z$21,R132)+SUMIFS(Settings!$AA$2:$AA$21,Settings!$Y$2:$Y$21,"Someone on camera?",Settings!$Z$2:$Z$21,S132)+SUMIFS(Settings!$AA$2:$AA$21,Settings!$Y$2:$Y$21,"OK with 3-month term?",Settings!$Z$2:$Z$21,T132)+SUMIFS(Settings!$AA$2:$AA$21,Settings!$Y$2:$Y$21,"Start timeline",Settings!$Z$2:$Z$21,U132)+SUMIFS(Settings!$AA$2:$AA$21,Settings!$Y$2:$Y$21,"Social media gap",Settings!$Z$2:$Z$21,V132)+IF(F132="",0,IF(COUNTIF(Settings!$AC$2:$AC$6,F132)&gt;0,Settings!$AA$20,Settings!$AA$21)))</f>
        <v/>
      </c>
      <c r="X132" s="44" t="str">
        <f aca="false">IF(E132="","",IF(COUNTA(Q132:V132)=0,"Not scored",IF(COUNTA(Q132:V132)&lt;6,"Partly scored ("&amp;COUNTA(Q132:V132)&amp;"/6)",IF(W132&gt;=Settings!$S$8,"Hot",IF(W132&gt;=Settings!$S$9,"Warm","Cold")))))</f>
        <v/>
      </c>
      <c r="Y132" s="44" t="str">
        <f aca="false">IF(E132="","",IF(AND(Q132="No",S132="No"),"🚩 Budget  ·  🚩 No one on camera",IF(Q132="No","🚩 Budget under AED 5k",IF(S132="No","🚩 No one on camera",""))))</f>
        <v/>
      </c>
      <c r="Z132" s="17"/>
      <c r="AA132" s="17"/>
      <c r="AB132" s="40"/>
      <c r="AC132" s="17"/>
      <c r="AD132" s="45" t="str">
        <f aca="false">IF(OR(E132="",AB132="",OR(AA132="Contract signed + paid",AA132="Closed – No response",AA132="Lost"),N(AC132)&gt;=Settings!$S$3),"",AB132+Settings!$S$2)</f>
        <v/>
      </c>
      <c r="AE132" s="40"/>
      <c r="AF132" s="41"/>
      <c r="AG132" s="17"/>
      <c r="AH132" s="17"/>
      <c r="AI132" s="17"/>
      <c r="AJ132" s="46" t="str">
        <f aca="true">IF(OR(E132="",B132=""),"",INT(TODAY()-B132))</f>
        <v/>
      </c>
      <c r="AK132" s="44" t="str">
        <f aca="true">IF(E132="","",IF(OR(COUNTIFS(Clients!$C$2:$C$501,E132,Clients!$S$2:$S$501,"Paid")&gt;0,AND(I132&lt;&gt;"",COUNTIFS(Clients!$E$2:$E$501,I132,Clients!$S$2:$S$501,"Paid")&gt;0)),"⚠ Refunded before – no free video",IF(OR(AA132="Contract signed + paid",AA132="Closed – No response",AA132="Lost"),"",IF(AA132="","Set a stage",IF(AND(AA132="Proposal sent",COUNTA(Q132:V132)&lt;6),"Score this lead – proposal sent unscored",IF(N(AC132)&gt;=Settings!$S$3,"Close – 4 follow-ups sent",IF(AD132="",IF(AB132="","Make first contact",""),IF(TODAY()&gt;AD132,"OVERDUE follow-up",IF(TODAY()=AD132,"Follow up today","")))))))))</f>
        <v/>
      </c>
    </row>
    <row r="133" customFormat="false" ht="15" hidden="false" customHeight="false" outlineLevel="0" collapsed="false">
      <c r="A133" s="17"/>
      <c r="B133" s="40"/>
      <c r="C133" s="41"/>
      <c r="D133" s="17"/>
      <c r="E133" s="17"/>
      <c r="F133" s="17"/>
      <c r="G133" s="17"/>
      <c r="H133" s="17"/>
      <c r="I133" s="42"/>
      <c r="J133" s="17"/>
      <c r="K133" s="17"/>
      <c r="L133" s="17"/>
      <c r="M133" s="17"/>
      <c r="N133" s="40"/>
      <c r="O133" s="41"/>
      <c r="P133" s="43" t="str">
        <f aca="false">IF(OR(B133="",N133=""),"",ROUND(((N133+N(O133))-(B133+N(C133)))*24,1))</f>
        <v/>
      </c>
      <c r="Q133" s="17"/>
      <c r="R133" s="17"/>
      <c r="S133" s="17"/>
      <c r="T133" s="17"/>
      <c r="U133" s="17"/>
      <c r="V133" s="17"/>
      <c r="W133" s="44" t="str">
        <f aca="false">IF(OR(E133="",COUNTA(Q133:V133)=0),"",SUMIFS(Settings!$AA$2:$AA$21,Settings!$Y$2:$Y$21,"Budget AED 5k+/mo?",Settings!$Z$2:$Z$21,Q133)+SUMIFS(Settings!$AA$2:$AA$21,Settings!$Y$2:$Y$21,"Decision-maker?",Settings!$Z$2:$Z$21,R133)+SUMIFS(Settings!$AA$2:$AA$21,Settings!$Y$2:$Y$21,"Someone on camera?",Settings!$Z$2:$Z$21,S133)+SUMIFS(Settings!$AA$2:$AA$21,Settings!$Y$2:$Y$21,"OK with 3-month term?",Settings!$Z$2:$Z$21,T133)+SUMIFS(Settings!$AA$2:$AA$21,Settings!$Y$2:$Y$21,"Start timeline",Settings!$Z$2:$Z$21,U133)+SUMIFS(Settings!$AA$2:$AA$21,Settings!$Y$2:$Y$21,"Social media gap",Settings!$Z$2:$Z$21,V133)+IF(F133="",0,IF(COUNTIF(Settings!$AC$2:$AC$6,F133)&gt;0,Settings!$AA$20,Settings!$AA$21)))</f>
        <v/>
      </c>
      <c r="X133" s="44" t="str">
        <f aca="false">IF(E133="","",IF(COUNTA(Q133:V133)=0,"Not scored",IF(COUNTA(Q133:V133)&lt;6,"Partly scored ("&amp;COUNTA(Q133:V133)&amp;"/6)",IF(W133&gt;=Settings!$S$8,"Hot",IF(W133&gt;=Settings!$S$9,"Warm","Cold")))))</f>
        <v/>
      </c>
      <c r="Y133" s="44" t="str">
        <f aca="false">IF(E133="","",IF(AND(Q133="No",S133="No"),"🚩 Budget  ·  🚩 No one on camera",IF(Q133="No","🚩 Budget under AED 5k",IF(S133="No","🚩 No one on camera",""))))</f>
        <v/>
      </c>
      <c r="Z133" s="17"/>
      <c r="AA133" s="17"/>
      <c r="AB133" s="40"/>
      <c r="AC133" s="17"/>
      <c r="AD133" s="45" t="str">
        <f aca="false">IF(OR(E133="",AB133="",OR(AA133="Contract signed + paid",AA133="Closed – No response",AA133="Lost"),N(AC133)&gt;=Settings!$S$3),"",AB133+Settings!$S$2)</f>
        <v/>
      </c>
      <c r="AE133" s="40"/>
      <c r="AF133" s="41"/>
      <c r="AG133" s="17"/>
      <c r="AH133" s="17"/>
      <c r="AI133" s="17"/>
      <c r="AJ133" s="46" t="str">
        <f aca="true">IF(OR(E133="",B133=""),"",INT(TODAY()-B133))</f>
        <v/>
      </c>
      <c r="AK133" s="44" t="str">
        <f aca="true">IF(E133="","",IF(OR(COUNTIFS(Clients!$C$2:$C$501,E133,Clients!$S$2:$S$501,"Paid")&gt;0,AND(I133&lt;&gt;"",COUNTIFS(Clients!$E$2:$E$501,I133,Clients!$S$2:$S$501,"Paid")&gt;0)),"⚠ Refunded before – no free video",IF(OR(AA133="Contract signed + paid",AA133="Closed – No response",AA133="Lost"),"",IF(AA133="","Set a stage",IF(AND(AA133="Proposal sent",COUNTA(Q133:V133)&lt;6),"Score this lead – proposal sent unscored",IF(N(AC133)&gt;=Settings!$S$3,"Close – 4 follow-ups sent",IF(AD133="",IF(AB133="","Make first contact",""),IF(TODAY()&gt;AD133,"OVERDUE follow-up",IF(TODAY()=AD133,"Follow up today","")))))))))</f>
        <v/>
      </c>
    </row>
    <row r="134" customFormat="false" ht="15" hidden="false" customHeight="false" outlineLevel="0" collapsed="false">
      <c r="A134" s="17"/>
      <c r="B134" s="40"/>
      <c r="C134" s="41"/>
      <c r="D134" s="17"/>
      <c r="E134" s="17"/>
      <c r="F134" s="17"/>
      <c r="G134" s="17"/>
      <c r="H134" s="17"/>
      <c r="I134" s="42"/>
      <c r="J134" s="17"/>
      <c r="K134" s="17"/>
      <c r="L134" s="17"/>
      <c r="M134" s="17"/>
      <c r="N134" s="40"/>
      <c r="O134" s="41"/>
      <c r="P134" s="43" t="str">
        <f aca="false">IF(OR(B134="",N134=""),"",ROUND(((N134+N(O134))-(B134+N(C134)))*24,1))</f>
        <v/>
      </c>
      <c r="Q134" s="17"/>
      <c r="R134" s="17"/>
      <c r="S134" s="17"/>
      <c r="T134" s="17"/>
      <c r="U134" s="17"/>
      <c r="V134" s="17"/>
      <c r="W134" s="44" t="str">
        <f aca="false">IF(OR(E134="",COUNTA(Q134:V134)=0),"",SUMIFS(Settings!$AA$2:$AA$21,Settings!$Y$2:$Y$21,"Budget AED 5k+/mo?",Settings!$Z$2:$Z$21,Q134)+SUMIFS(Settings!$AA$2:$AA$21,Settings!$Y$2:$Y$21,"Decision-maker?",Settings!$Z$2:$Z$21,R134)+SUMIFS(Settings!$AA$2:$AA$21,Settings!$Y$2:$Y$21,"Someone on camera?",Settings!$Z$2:$Z$21,S134)+SUMIFS(Settings!$AA$2:$AA$21,Settings!$Y$2:$Y$21,"OK with 3-month term?",Settings!$Z$2:$Z$21,T134)+SUMIFS(Settings!$AA$2:$AA$21,Settings!$Y$2:$Y$21,"Start timeline",Settings!$Z$2:$Z$21,U134)+SUMIFS(Settings!$AA$2:$AA$21,Settings!$Y$2:$Y$21,"Social media gap",Settings!$Z$2:$Z$21,V134)+IF(F134="",0,IF(COUNTIF(Settings!$AC$2:$AC$6,F134)&gt;0,Settings!$AA$20,Settings!$AA$21)))</f>
        <v/>
      </c>
      <c r="X134" s="44" t="str">
        <f aca="false">IF(E134="","",IF(COUNTA(Q134:V134)=0,"Not scored",IF(COUNTA(Q134:V134)&lt;6,"Partly scored ("&amp;COUNTA(Q134:V134)&amp;"/6)",IF(W134&gt;=Settings!$S$8,"Hot",IF(W134&gt;=Settings!$S$9,"Warm","Cold")))))</f>
        <v/>
      </c>
      <c r="Y134" s="44" t="str">
        <f aca="false">IF(E134="","",IF(AND(Q134="No",S134="No"),"🚩 Budget  ·  🚩 No one on camera",IF(Q134="No","🚩 Budget under AED 5k",IF(S134="No","🚩 No one on camera",""))))</f>
        <v/>
      </c>
      <c r="Z134" s="17"/>
      <c r="AA134" s="17"/>
      <c r="AB134" s="40"/>
      <c r="AC134" s="17"/>
      <c r="AD134" s="45" t="str">
        <f aca="false">IF(OR(E134="",AB134="",OR(AA134="Contract signed + paid",AA134="Closed – No response",AA134="Lost"),N(AC134)&gt;=Settings!$S$3),"",AB134+Settings!$S$2)</f>
        <v/>
      </c>
      <c r="AE134" s="40"/>
      <c r="AF134" s="41"/>
      <c r="AG134" s="17"/>
      <c r="AH134" s="17"/>
      <c r="AI134" s="17"/>
      <c r="AJ134" s="46" t="str">
        <f aca="true">IF(OR(E134="",B134=""),"",INT(TODAY()-B134))</f>
        <v/>
      </c>
      <c r="AK134" s="44" t="str">
        <f aca="true">IF(E134="","",IF(OR(COUNTIFS(Clients!$C$2:$C$501,E134,Clients!$S$2:$S$501,"Paid")&gt;0,AND(I134&lt;&gt;"",COUNTIFS(Clients!$E$2:$E$501,I134,Clients!$S$2:$S$501,"Paid")&gt;0)),"⚠ Refunded before – no free video",IF(OR(AA134="Contract signed + paid",AA134="Closed – No response",AA134="Lost"),"",IF(AA134="","Set a stage",IF(AND(AA134="Proposal sent",COUNTA(Q134:V134)&lt;6),"Score this lead – proposal sent unscored",IF(N(AC134)&gt;=Settings!$S$3,"Close – 4 follow-ups sent",IF(AD134="",IF(AB134="","Make first contact",""),IF(TODAY()&gt;AD134,"OVERDUE follow-up",IF(TODAY()=AD134,"Follow up today","")))))))))</f>
        <v/>
      </c>
    </row>
    <row r="135" customFormat="false" ht="15" hidden="false" customHeight="false" outlineLevel="0" collapsed="false">
      <c r="A135" s="17"/>
      <c r="B135" s="40"/>
      <c r="C135" s="41"/>
      <c r="D135" s="17"/>
      <c r="E135" s="17"/>
      <c r="F135" s="17"/>
      <c r="G135" s="17"/>
      <c r="H135" s="17"/>
      <c r="I135" s="42"/>
      <c r="J135" s="17"/>
      <c r="K135" s="17"/>
      <c r="L135" s="17"/>
      <c r="M135" s="17"/>
      <c r="N135" s="40"/>
      <c r="O135" s="41"/>
      <c r="P135" s="43" t="str">
        <f aca="false">IF(OR(B135="",N135=""),"",ROUND(((N135+N(O135))-(B135+N(C135)))*24,1))</f>
        <v/>
      </c>
      <c r="Q135" s="17"/>
      <c r="R135" s="17"/>
      <c r="S135" s="17"/>
      <c r="T135" s="17"/>
      <c r="U135" s="17"/>
      <c r="V135" s="17"/>
      <c r="W135" s="44" t="str">
        <f aca="false">IF(OR(E135="",COUNTA(Q135:V135)=0),"",SUMIFS(Settings!$AA$2:$AA$21,Settings!$Y$2:$Y$21,"Budget AED 5k+/mo?",Settings!$Z$2:$Z$21,Q135)+SUMIFS(Settings!$AA$2:$AA$21,Settings!$Y$2:$Y$21,"Decision-maker?",Settings!$Z$2:$Z$21,R135)+SUMIFS(Settings!$AA$2:$AA$21,Settings!$Y$2:$Y$21,"Someone on camera?",Settings!$Z$2:$Z$21,S135)+SUMIFS(Settings!$AA$2:$AA$21,Settings!$Y$2:$Y$21,"OK with 3-month term?",Settings!$Z$2:$Z$21,T135)+SUMIFS(Settings!$AA$2:$AA$21,Settings!$Y$2:$Y$21,"Start timeline",Settings!$Z$2:$Z$21,U135)+SUMIFS(Settings!$AA$2:$AA$21,Settings!$Y$2:$Y$21,"Social media gap",Settings!$Z$2:$Z$21,V135)+IF(F135="",0,IF(COUNTIF(Settings!$AC$2:$AC$6,F135)&gt;0,Settings!$AA$20,Settings!$AA$21)))</f>
        <v/>
      </c>
      <c r="X135" s="44" t="str">
        <f aca="false">IF(E135="","",IF(COUNTA(Q135:V135)=0,"Not scored",IF(COUNTA(Q135:V135)&lt;6,"Partly scored ("&amp;COUNTA(Q135:V135)&amp;"/6)",IF(W135&gt;=Settings!$S$8,"Hot",IF(W135&gt;=Settings!$S$9,"Warm","Cold")))))</f>
        <v/>
      </c>
      <c r="Y135" s="44" t="str">
        <f aca="false">IF(E135="","",IF(AND(Q135="No",S135="No"),"🚩 Budget  ·  🚩 No one on camera",IF(Q135="No","🚩 Budget under AED 5k",IF(S135="No","🚩 No one on camera",""))))</f>
        <v/>
      </c>
      <c r="Z135" s="17"/>
      <c r="AA135" s="17"/>
      <c r="AB135" s="40"/>
      <c r="AC135" s="17"/>
      <c r="AD135" s="45" t="str">
        <f aca="false">IF(OR(E135="",AB135="",OR(AA135="Contract signed + paid",AA135="Closed – No response",AA135="Lost"),N(AC135)&gt;=Settings!$S$3),"",AB135+Settings!$S$2)</f>
        <v/>
      </c>
      <c r="AE135" s="40"/>
      <c r="AF135" s="41"/>
      <c r="AG135" s="17"/>
      <c r="AH135" s="17"/>
      <c r="AI135" s="17"/>
      <c r="AJ135" s="46" t="str">
        <f aca="true">IF(OR(E135="",B135=""),"",INT(TODAY()-B135))</f>
        <v/>
      </c>
      <c r="AK135" s="44" t="str">
        <f aca="true">IF(E135="","",IF(OR(COUNTIFS(Clients!$C$2:$C$501,E135,Clients!$S$2:$S$501,"Paid")&gt;0,AND(I135&lt;&gt;"",COUNTIFS(Clients!$E$2:$E$501,I135,Clients!$S$2:$S$501,"Paid")&gt;0)),"⚠ Refunded before – no free video",IF(OR(AA135="Contract signed + paid",AA135="Closed – No response",AA135="Lost"),"",IF(AA135="","Set a stage",IF(AND(AA135="Proposal sent",COUNTA(Q135:V135)&lt;6),"Score this lead – proposal sent unscored",IF(N(AC135)&gt;=Settings!$S$3,"Close – 4 follow-ups sent",IF(AD135="",IF(AB135="","Make first contact",""),IF(TODAY()&gt;AD135,"OVERDUE follow-up",IF(TODAY()=AD135,"Follow up today","")))))))))</f>
        <v/>
      </c>
    </row>
    <row r="136" customFormat="false" ht="15" hidden="false" customHeight="false" outlineLevel="0" collapsed="false">
      <c r="A136" s="17"/>
      <c r="B136" s="40"/>
      <c r="C136" s="41"/>
      <c r="D136" s="17"/>
      <c r="E136" s="17"/>
      <c r="F136" s="17"/>
      <c r="G136" s="17"/>
      <c r="H136" s="17"/>
      <c r="I136" s="42"/>
      <c r="J136" s="17"/>
      <c r="K136" s="17"/>
      <c r="L136" s="17"/>
      <c r="M136" s="17"/>
      <c r="N136" s="40"/>
      <c r="O136" s="41"/>
      <c r="P136" s="43" t="str">
        <f aca="false">IF(OR(B136="",N136=""),"",ROUND(((N136+N(O136))-(B136+N(C136)))*24,1))</f>
        <v/>
      </c>
      <c r="Q136" s="17"/>
      <c r="R136" s="17"/>
      <c r="S136" s="17"/>
      <c r="T136" s="17"/>
      <c r="U136" s="17"/>
      <c r="V136" s="17"/>
      <c r="W136" s="44" t="str">
        <f aca="false">IF(OR(E136="",COUNTA(Q136:V136)=0),"",SUMIFS(Settings!$AA$2:$AA$21,Settings!$Y$2:$Y$21,"Budget AED 5k+/mo?",Settings!$Z$2:$Z$21,Q136)+SUMIFS(Settings!$AA$2:$AA$21,Settings!$Y$2:$Y$21,"Decision-maker?",Settings!$Z$2:$Z$21,R136)+SUMIFS(Settings!$AA$2:$AA$21,Settings!$Y$2:$Y$21,"Someone on camera?",Settings!$Z$2:$Z$21,S136)+SUMIFS(Settings!$AA$2:$AA$21,Settings!$Y$2:$Y$21,"OK with 3-month term?",Settings!$Z$2:$Z$21,T136)+SUMIFS(Settings!$AA$2:$AA$21,Settings!$Y$2:$Y$21,"Start timeline",Settings!$Z$2:$Z$21,U136)+SUMIFS(Settings!$AA$2:$AA$21,Settings!$Y$2:$Y$21,"Social media gap",Settings!$Z$2:$Z$21,V136)+IF(F136="",0,IF(COUNTIF(Settings!$AC$2:$AC$6,F136)&gt;0,Settings!$AA$20,Settings!$AA$21)))</f>
        <v/>
      </c>
      <c r="X136" s="44" t="str">
        <f aca="false">IF(E136="","",IF(COUNTA(Q136:V136)=0,"Not scored",IF(COUNTA(Q136:V136)&lt;6,"Partly scored ("&amp;COUNTA(Q136:V136)&amp;"/6)",IF(W136&gt;=Settings!$S$8,"Hot",IF(W136&gt;=Settings!$S$9,"Warm","Cold")))))</f>
        <v/>
      </c>
      <c r="Y136" s="44" t="str">
        <f aca="false">IF(E136="","",IF(AND(Q136="No",S136="No"),"🚩 Budget  ·  🚩 No one on camera",IF(Q136="No","🚩 Budget under AED 5k",IF(S136="No","🚩 No one on camera",""))))</f>
        <v/>
      </c>
      <c r="Z136" s="17"/>
      <c r="AA136" s="17"/>
      <c r="AB136" s="40"/>
      <c r="AC136" s="17"/>
      <c r="AD136" s="45" t="str">
        <f aca="false">IF(OR(E136="",AB136="",OR(AA136="Contract signed + paid",AA136="Closed – No response",AA136="Lost"),N(AC136)&gt;=Settings!$S$3),"",AB136+Settings!$S$2)</f>
        <v/>
      </c>
      <c r="AE136" s="40"/>
      <c r="AF136" s="41"/>
      <c r="AG136" s="17"/>
      <c r="AH136" s="17"/>
      <c r="AI136" s="17"/>
      <c r="AJ136" s="46" t="str">
        <f aca="true">IF(OR(E136="",B136=""),"",INT(TODAY()-B136))</f>
        <v/>
      </c>
      <c r="AK136" s="44" t="str">
        <f aca="true">IF(E136="","",IF(OR(COUNTIFS(Clients!$C$2:$C$501,E136,Clients!$S$2:$S$501,"Paid")&gt;0,AND(I136&lt;&gt;"",COUNTIFS(Clients!$E$2:$E$501,I136,Clients!$S$2:$S$501,"Paid")&gt;0)),"⚠ Refunded before – no free video",IF(OR(AA136="Contract signed + paid",AA136="Closed – No response",AA136="Lost"),"",IF(AA136="","Set a stage",IF(AND(AA136="Proposal sent",COUNTA(Q136:V136)&lt;6),"Score this lead – proposal sent unscored",IF(N(AC136)&gt;=Settings!$S$3,"Close – 4 follow-ups sent",IF(AD136="",IF(AB136="","Make first contact",""),IF(TODAY()&gt;AD136,"OVERDUE follow-up",IF(TODAY()=AD136,"Follow up today","")))))))))</f>
        <v/>
      </c>
    </row>
    <row r="137" customFormat="false" ht="15" hidden="false" customHeight="false" outlineLevel="0" collapsed="false">
      <c r="A137" s="17"/>
      <c r="B137" s="40"/>
      <c r="C137" s="41"/>
      <c r="D137" s="17"/>
      <c r="E137" s="17"/>
      <c r="F137" s="17"/>
      <c r="G137" s="17"/>
      <c r="H137" s="17"/>
      <c r="I137" s="42"/>
      <c r="J137" s="17"/>
      <c r="K137" s="17"/>
      <c r="L137" s="17"/>
      <c r="M137" s="17"/>
      <c r="N137" s="40"/>
      <c r="O137" s="41"/>
      <c r="P137" s="43" t="str">
        <f aca="false">IF(OR(B137="",N137=""),"",ROUND(((N137+N(O137))-(B137+N(C137)))*24,1))</f>
        <v/>
      </c>
      <c r="Q137" s="17"/>
      <c r="R137" s="17"/>
      <c r="S137" s="17"/>
      <c r="T137" s="17"/>
      <c r="U137" s="17"/>
      <c r="V137" s="17"/>
      <c r="W137" s="44" t="str">
        <f aca="false">IF(OR(E137="",COUNTA(Q137:V137)=0),"",SUMIFS(Settings!$AA$2:$AA$21,Settings!$Y$2:$Y$21,"Budget AED 5k+/mo?",Settings!$Z$2:$Z$21,Q137)+SUMIFS(Settings!$AA$2:$AA$21,Settings!$Y$2:$Y$21,"Decision-maker?",Settings!$Z$2:$Z$21,R137)+SUMIFS(Settings!$AA$2:$AA$21,Settings!$Y$2:$Y$21,"Someone on camera?",Settings!$Z$2:$Z$21,S137)+SUMIFS(Settings!$AA$2:$AA$21,Settings!$Y$2:$Y$21,"OK with 3-month term?",Settings!$Z$2:$Z$21,T137)+SUMIFS(Settings!$AA$2:$AA$21,Settings!$Y$2:$Y$21,"Start timeline",Settings!$Z$2:$Z$21,U137)+SUMIFS(Settings!$AA$2:$AA$21,Settings!$Y$2:$Y$21,"Social media gap",Settings!$Z$2:$Z$21,V137)+IF(F137="",0,IF(COUNTIF(Settings!$AC$2:$AC$6,F137)&gt;0,Settings!$AA$20,Settings!$AA$21)))</f>
        <v/>
      </c>
      <c r="X137" s="44" t="str">
        <f aca="false">IF(E137="","",IF(COUNTA(Q137:V137)=0,"Not scored",IF(COUNTA(Q137:V137)&lt;6,"Partly scored ("&amp;COUNTA(Q137:V137)&amp;"/6)",IF(W137&gt;=Settings!$S$8,"Hot",IF(W137&gt;=Settings!$S$9,"Warm","Cold")))))</f>
        <v/>
      </c>
      <c r="Y137" s="44" t="str">
        <f aca="false">IF(E137="","",IF(AND(Q137="No",S137="No"),"🚩 Budget  ·  🚩 No one on camera",IF(Q137="No","🚩 Budget under AED 5k",IF(S137="No","🚩 No one on camera",""))))</f>
        <v/>
      </c>
      <c r="Z137" s="17"/>
      <c r="AA137" s="17"/>
      <c r="AB137" s="40"/>
      <c r="AC137" s="17"/>
      <c r="AD137" s="45" t="str">
        <f aca="false">IF(OR(E137="",AB137="",OR(AA137="Contract signed + paid",AA137="Closed – No response",AA137="Lost"),N(AC137)&gt;=Settings!$S$3),"",AB137+Settings!$S$2)</f>
        <v/>
      </c>
      <c r="AE137" s="40"/>
      <c r="AF137" s="41"/>
      <c r="AG137" s="17"/>
      <c r="AH137" s="17"/>
      <c r="AI137" s="17"/>
      <c r="AJ137" s="46" t="str">
        <f aca="true">IF(OR(E137="",B137=""),"",INT(TODAY()-B137))</f>
        <v/>
      </c>
      <c r="AK137" s="44" t="str">
        <f aca="true">IF(E137="","",IF(OR(COUNTIFS(Clients!$C$2:$C$501,E137,Clients!$S$2:$S$501,"Paid")&gt;0,AND(I137&lt;&gt;"",COUNTIFS(Clients!$E$2:$E$501,I137,Clients!$S$2:$S$501,"Paid")&gt;0)),"⚠ Refunded before – no free video",IF(OR(AA137="Contract signed + paid",AA137="Closed – No response",AA137="Lost"),"",IF(AA137="","Set a stage",IF(AND(AA137="Proposal sent",COUNTA(Q137:V137)&lt;6),"Score this lead – proposal sent unscored",IF(N(AC137)&gt;=Settings!$S$3,"Close – 4 follow-ups sent",IF(AD137="",IF(AB137="","Make first contact",""),IF(TODAY()&gt;AD137,"OVERDUE follow-up",IF(TODAY()=AD137,"Follow up today","")))))))))</f>
        <v/>
      </c>
    </row>
    <row r="138" customFormat="false" ht="15" hidden="false" customHeight="false" outlineLevel="0" collapsed="false">
      <c r="A138" s="17"/>
      <c r="B138" s="40"/>
      <c r="C138" s="41"/>
      <c r="D138" s="17"/>
      <c r="E138" s="17"/>
      <c r="F138" s="17"/>
      <c r="G138" s="17"/>
      <c r="H138" s="17"/>
      <c r="I138" s="42"/>
      <c r="J138" s="17"/>
      <c r="K138" s="17"/>
      <c r="L138" s="17"/>
      <c r="M138" s="17"/>
      <c r="N138" s="40"/>
      <c r="O138" s="41"/>
      <c r="P138" s="43" t="str">
        <f aca="false">IF(OR(B138="",N138=""),"",ROUND(((N138+N(O138))-(B138+N(C138)))*24,1))</f>
        <v/>
      </c>
      <c r="Q138" s="17"/>
      <c r="R138" s="17"/>
      <c r="S138" s="17"/>
      <c r="T138" s="17"/>
      <c r="U138" s="17"/>
      <c r="V138" s="17"/>
      <c r="W138" s="44" t="str">
        <f aca="false">IF(OR(E138="",COUNTA(Q138:V138)=0),"",SUMIFS(Settings!$AA$2:$AA$21,Settings!$Y$2:$Y$21,"Budget AED 5k+/mo?",Settings!$Z$2:$Z$21,Q138)+SUMIFS(Settings!$AA$2:$AA$21,Settings!$Y$2:$Y$21,"Decision-maker?",Settings!$Z$2:$Z$21,R138)+SUMIFS(Settings!$AA$2:$AA$21,Settings!$Y$2:$Y$21,"Someone on camera?",Settings!$Z$2:$Z$21,S138)+SUMIFS(Settings!$AA$2:$AA$21,Settings!$Y$2:$Y$21,"OK with 3-month term?",Settings!$Z$2:$Z$21,T138)+SUMIFS(Settings!$AA$2:$AA$21,Settings!$Y$2:$Y$21,"Start timeline",Settings!$Z$2:$Z$21,U138)+SUMIFS(Settings!$AA$2:$AA$21,Settings!$Y$2:$Y$21,"Social media gap",Settings!$Z$2:$Z$21,V138)+IF(F138="",0,IF(COUNTIF(Settings!$AC$2:$AC$6,F138)&gt;0,Settings!$AA$20,Settings!$AA$21)))</f>
        <v/>
      </c>
      <c r="X138" s="44" t="str">
        <f aca="false">IF(E138="","",IF(COUNTA(Q138:V138)=0,"Not scored",IF(COUNTA(Q138:V138)&lt;6,"Partly scored ("&amp;COUNTA(Q138:V138)&amp;"/6)",IF(W138&gt;=Settings!$S$8,"Hot",IF(W138&gt;=Settings!$S$9,"Warm","Cold")))))</f>
        <v/>
      </c>
      <c r="Y138" s="44" t="str">
        <f aca="false">IF(E138="","",IF(AND(Q138="No",S138="No"),"🚩 Budget  ·  🚩 No one on camera",IF(Q138="No","🚩 Budget under AED 5k",IF(S138="No","🚩 No one on camera",""))))</f>
        <v/>
      </c>
      <c r="Z138" s="17"/>
      <c r="AA138" s="17"/>
      <c r="AB138" s="40"/>
      <c r="AC138" s="17"/>
      <c r="AD138" s="45" t="str">
        <f aca="false">IF(OR(E138="",AB138="",OR(AA138="Contract signed + paid",AA138="Closed – No response",AA138="Lost"),N(AC138)&gt;=Settings!$S$3),"",AB138+Settings!$S$2)</f>
        <v/>
      </c>
      <c r="AE138" s="40"/>
      <c r="AF138" s="41"/>
      <c r="AG138" s="17"/>
      <c r="AH138" s="17"/>
      <c r="AI138" s="17"/>
      <c r="AJ138" s="46" t="str">
        <f aca="true">IF(OR(E138="",B138=""),"",INT(TODAY()-B138))</f>
        <v/>
      </c>
      <c r="AK138" s="44" t="str">
        <f aca="true">IF(E138="","",IF(OR(COUNTIFS(Clients!$C$2:$C$501,E138,Clients!$S$2:$S$501,"Paid")&gt;0,AND(I138&lt;&gt;"",COUNTIFS(Clients!$E$2:$E$501,I138,Clients!$S$2:$S$501,"Paid")&gt;0)),"⚠ Refunded before – no free video",IF(OR(AA138="Contract signed + paid",AA138="Closed – No response",AA138="Lost"),"",IF(AA138="","Set a stage",IF(AND(AA138="Proposal sent",COUNTA(Q138:V138)&lt;6),"Score this lead – proposal sent unscored",IF(N(AC138)&gt;=Settings!$S$3,"Close – 4 follow-ups sent",IF(AD138="",IF(AB138="","Make first contact",""),IF(TODAY()&gt;AD138,"OVERDUE follow-up",IF(TODAY()=AD138,"Follow up today","")))))))))</f>
        <v/>
      </c>
    </row>
    <row r="139" customFormat="false" ht="15" hidden="false" customHeight="false" outlineLevel="0" collapsed="false">
      <c r="A139" s="17"/>
      <c r="B139" s="40"/>
      <c r="C139" s="41"/>
      <c r="D139" s="17"/>
      <c r="E139" s="17"/>
      <c r="F139" s="17"/>
      <c r="G139" s="17"/>
      <c r="H139" s="17"/>
      <c r="I139" s="42"/>
      <c r="J139" s="17"/>
      <c r="K139" s="17"/>
      <c r="L139" s="17"/>
      <c r="M139" s="17"/>
      <c r="N139" s="40"/>
      <c r="O139" s="41"/>
      <c r="P139" s="43" t="str">
        <f aca="false">IF(OR(B139="",N139=""),"",ROUND(((N139+N(O139))-(B139+N(C139)))*24,1))</f>
        <v/>
      </c>
      <c r="Q139" s="17"/>
      <c r="R139" s="17"/>
      <c r="S139" s="17"/>
      <c r="T139" s="17"/>
      <c r="U139" s="17"/>
      <c r="V139" s="17"/>
      <c r="W139" s="44" t="str">
        <f aca="false">IF(OR(E139="",COUNTA(Q139:V139)=0),"",SUMIFS(Settings!$AA$2:$AA$21,Settings!$Y$2:$Y$21,"Budget AED 5k+/mo?",Settings!$Z$2:$Z$21,Q139)+SUMIFS(Settings!$AA$2:$AA$21,Settings!$Y$2:$Y$21,"Decision-maker?",Settings!$Z$2:$Z$21,R139)+SUMIFS(Settings!$AA$2:$AA$21,Settings!$Y$2:$Y$21,"Someone on camera?",Settings!$Z$2:$Z$21,S139)+SUMIFS(Settings!$AA$2:$AA$21,Settings!$Y$2:$Y$21,"OK with 3-month term?",Settings!$Z$2:$Z$21,T139)+SUMIFS(Settings!$AA$2:$AA$21,Settings!$Y$2:$Y$21,"Start timeline",Settings!$Z$2:$Z$21,U139)+SUMIFS(Settings!$AA$2:$AA$21,Settings!$Y$2:$Y$21,"Social media gap",Settings!$Z$2:$Z$21,V139)+IF(F139="",0,IF(COUNTIF(Settings!$AC$2:$AC$6,F139)&gt;0,Settings!$AA$20,Settings!$AA$21)))</f>
        <v/>
      </c>
      <c r="X139" s="44" t="str">
        <f aca="false">IF(E139="","",IF(COUNTA(Q139:V139)=0,"Not scored",IF(COUNTA(Q139:V139)&lt;6,"Partly scored ("&amp;COUNTA(Q139:V139)&amp;"/6)",IF(W139&gt;=Settings!$S$8,"Hot",IF(W139&gt;=Settings!$S$9,"Warm","Cold")))))</f>
        <v/>
      </c>
      <c r="Y139" s="44" t="str">
        <f aca="false">IF(E139="","",IF(AND(Q139="No",S139="No"),"🚩 Budget  ·  🚩 No one on camera",IF(Q139="No","🚩 Budget under AED 5k",IF(S139="No","🚩 No one on camera",""))))</f>
        <v/>
      </c>
      <c r="Z139" s="17"/>
      <c r="AA139" s="17"/>
      <c r="AB139" s="40"/>
      <c r="AC139" s="17"/>
      <c r="AD139" s="45" t="str">
        <f aca="false">IF(OR(E139="",AB139="",OR(AA139="Contract signed + paid",AA139="Closed – No response",AA139="Lost"),N(AC139)&gt;=Settings!$S$3),"",AB139+Settings!$S$2)</f>
        <v/>
      </c>
      <c r="AE139" s="40"/>
      <c r="AF139" s="41"/>
      <c r="AG139" s="17"/>
      <c r="AH139" s="17"/>
      <c r="AI139" s="17"/>
      <c r="AJ139" s="46" t="str">
        <f aca="true">IF(OR(E139="",B139=""),"",INT(TODAY()-B139))</f>
        <v/>
      </c>
      <c r="AK139" s="44" t="str">
        <f aca="true">IF(E139="","",IF(OR(COUNTIFS(Clients!$C$2:$C$501,E139,Clients!$S$2:$S$501,"Paid")&gt;0,AND(I139&lt;&gt;"",COUNTIFS(Clients!$E$2:$E$501,I139,Clients!$S$2:$S$501,"Paid")&gt;0)),"⚠ Refunded before – no free video",IF(OR(AA139="Contract signed + paid",AA139="Closed – No response",AA139="Lost"),"",IF(AA139="","Set a stage",IF(AND(AA139="Proposal sent",COUNTA(Q139:V139)&lt;6),"Score this lead – proposal sent unscored",IF(N(AC139)&gt;=Settings!$S$3,"Close – 4 follow-ups sent",IF(AD139="",IF(AB139="","Make first contact",""),IF(TODAY()&gt;AD139,"OVERDUE follow-up",IF(TODAY()=AD139,"Follow up today","")))))))))</f>
        <v/>
      </c>
    </row>
    <row r="140" customFormat="false" ht="15" hidden="false" customHeight="false" outlineLevel="0" collapsed="false">
      <c r="A140" s="17"/>
      <c r="B140" s="40"/>
      <c r="C140" s="41"/>
      <c r="D140" s="17"/>
      <c r="E140" s="17"/>
      <c r="F140" s="17"/>
      <c r="G140" s="17"/>
      <c r="H140" s="17"/>
      <c r="I140" s="42"/>
      <c r="J140" s="17"/>
      <c r="K140" s="17"/>
      <c r="L140" s="17"/>
      <c r="M140" s="17"/>
      <c r="N140" s="40"/>
      <c r="O140" s="41"/>
      <c r="P140" s="43" t="str">
        <f aca="false">IF(OR(B140="",N140=""),"",ROUND(((N140+N(O140))-(B140+N(C140)))*24,1))</f>
        <v/>
      </c>
      <c r="Q140" s="17"/>
      <c r="R140" s="17"/>
      <c r="S140" s="17"/>
      <c r="T140" s="17"/>
      <c r="U140" s="17"/>
      <c r="V140" s="17"/>
      <c r="W140" s="44" t="str">
        <f aca="false">IF(OR(E140="",COUNTA(Q140:V140)=0),"",SUMIFS(Settings!$AA$2:$AA$21,Settings!$Y$2:$Y$21,"Budget AED 5k+/mo?",Settings!$Z$2:$Z$21,Q140)+SUMIFS(Settings!$AA$2:$AA$21,Settings!$Y$2:$Y$21,"Decision-maker?",Settings!$Z$2:$Z$21,R140)+SUMIFS(Settings!$AA$2:$AA$21,Settings!$Y$2:$Y$21,"Someone on camera?",Settings!$Z$2:$Z$21,S140)+SUMIFS(Settings!$AA$2:$AA$21,Settings!$Y$2:$Y$21,"OK with 3-month term?",Settings!$Z$2:$Z$21,T140)+SUMIFS(Settings!$AA$2:$AA$21,Settings!$Y$2:$Y$21,"Start timeline",Settings!$Z$2:$Z$21,U140)+SUMIFS(Settings!$AA$2:$AA$21,Settings!$Y$2:$Y$21,"Social media gap",Settings!$Z$2:$Z$21,V140)+IF(F140="",0,IF(COUNTIF(Settings!$AC$2:$AC$6,F140)&gt;0,Settings!$AA$20,Settings!$AA$21)))</f>
        <v/>
      </c>
      <c r="X140" s="44" t="str">
        <f aca="false">IF(E140="","",IF(COUNTA(Q140:V140)=0,"Not scored",IF(COUNTA(Q140:V140)&lt;6,"Partly scored ("&amp;COUNTA(Q140:V140)&amp;"/6)",IF(W140&gt;=Settings!$S$8,"Hot",IF(W140&gt;=Settings!$S$9,"Warm","Cold")))))</f>
        <v/>
      </c>
      <c r="Y140" s="44" t="str">
        <f aca="false">IF(E140="","",IF(AND(Q140="No",S140="No"),"🚩 Budget  ·  🚩 No one on camera",IF(Q140="No","🚩 Budget under AED 5k",IF(S140="No","🚩 No one on camera",""))))</f>
        <v/>
      </c>
      <c r="Z140" s="17"/>
      <c r="AA140" s="17"/>
      <c r="AB140" s="40"/>
      <c r="AC140" s="17"/>
      <c r="AD140" s="45" t="str">
        <f aca="false">IF(OR(E140="",AB140="",OR(AA140="Contract signed + paid",AA140="Closed – No response",AA140="Lost"),N(AC140)&gt;=Settings!$S$3),"",AB140+Settings!$S$2)</f>
        <v/>
      </c>
      <c r="AE140" s="40"/>
      <c r="AF140" s="41"/>
      <c r="AG140" s="17"/>
      <c r="AH140" s="17"/>
      <c r="AI140" s="17"/>
      <c r="AJ140" s="46" t="str">
        <f aca="true">IF(OR(E140="",B140=""),"",INT(TODAY()-B140))</f>
        <v/>
      </c>
      <c r="AK140" s="44" t="str">
        <f aca="true">IF(E140="","",IF(OR(COUNTIFS(Clients!$C$2:$C$501,E140,Clients!$S$2:$S$501,"Paid")&gt;0,AND(I140&lt;&gt;"",COUNTIFS(Clients!$E$2:$E$501,I140,Clients!$S$2:$S$501,"Paid")&gt;0)),"⚠ Refunded before – no free video",IF(OR(AA140="Contract signed + paid",AA140="Closed – No response",AA140="Lost"),"",IF(AA140="","Set a stage",IF(AND(AA140="Proposal sent",COUNTA(Q140:V140)&lt;6),"Score this lead – proposal sent unscored",IF(N(AC140)&gt;=Settings!$S$3,"Close – 4 follow-ups sent",IF(AD140="",IF(AB140="","Make first contact",""),IF(TODAY()&gt;AD140,"OVERDUE follow-up",IF(TODAY()=AD140,"Follow up today","")))))))))</f>
        <v/>
      </c>
    </row>
    <row r="141" customFormat="false" ht="15" hidden="false" customHeight="false" outlineLevel="0" collapsed="false">
      <c r="A141" s="17"/>
      <c r="B141" s="40"/>
      <c r="C141" s="41"/>
      <c r="D141" s="17"/>
      <c r="E141" s="17"/>
      <c r="F141" s="17"/>
      <c r="G141" s="17"/>
      <c r="H141" s="17"/>
      <c r="I141" s="42"/>
      <c r="J141" s="17"/>
      <c r="K141" s="17"/>
      <c r="L141" s="17"/>
      <c r="M141" s="17"/>
      <c r="N141" s="40"/>
      <c r="O141" s="41"/>
      <c r="P141" s="43" t="str">
        <f aca="false">IF(OR(B141="",N141=""),"",ROUND(((N141+N(O141))-(B141+N(C141)))*24,1))</f>
        <v/>
      </c>
      <c r="Q141" s="17"/>
      <c r="R141" s="17"/>
      <c r="S141" s="17"/>
      <c r="T141" s="17"/>
      <c r="U141" s="17"/>
      <c r="V141" s="17"/>
      <c r="W141" s="44" t="str">
        <f aca="false">IF(OR(E141="",COUNTA(Q141:V141)=0),"",SUMIFS(Settings!$AA$2:$AA$21,Settings!$Y$2:$Y$21,"Budget AED 5k+/mo?",Settings!$Z$2:$Z$21,Q141)+SUMIFS(Settings!$AA$2:$AA$21,Settings!$Y$2:$Y$21,"Decision-maker?",Settings!$Z$2:$Z$21,R141)+SUMIFS(Settings!$AA$2:$AA$21,Settings!$Y$2:$Y$21,"Someone on camera?",Settings!$Z$2:$Z$21,S141)+SUMIFS(Settings!$AA$2:$AA$21,Settings!$Y$2:$Y$21,"OK with 3-month term?",Settings!$Z$2:$Z$21,T141)+SUMIFS(Settings!$AA$2:$AA$21,Settings!$Y$2:$Y$21,"Start timeline",Settings!$Z$2:$Z$21,U141)+SUMIFS(Settings!$AA$2:$AA$21,Settings!$Y$2:$Y$21,"Social media gap",Settings!$Z$2:$Z$21,V141)+IF(F141="",0,IF(COUNTIF(Settings!$AC$2:$AC$6,F141)&gt;0,Settings!$AA$20,Settings!$AA$21)))</f>
        <v/>
      </c>
      <c r="X141" s="44" t="str">
        <f aca="false">IF(E141="","",IF(COUNTA(Q141:V141)=0,"Not scored",IF(COUNTA(Q141:V141)&lt;6,"Partly scored ("&amp;COUNTA(Q141:V141)&amp;"/6)",IF(W141&gt;=Settings!$S$8,"Hot",IF(W141&gt;=Settings!$S$9,"Warm","Cold")))))</f>
        <v/>
      </c>
      <c r="Y141" s="44" t="str">
        <f aca="false">IF(E141="","",IF(AND(Q141="No",S141="No"),"🚩 Budget  ·  🚩 No one on camera",IF(Q141="No","🚩 Budget under AED 5k",IF(S141="No","🚩 No one on camera",""))))</f>
        <v/>
      </c>
      <c r="Z141" s="17"/>
      <c r="AA141" s="17"/>
      <c r="AB141" s="40"/>
      <c r="AC141" s="17"/>
      <c r="AD141" s="45" t="str">
        <f aca="false">IF(OR(E141="",AB141="",OR(AA141="Contract signed + paid",AA141="Closed – No response",AA141="Lost"),N(AC141)&gt;=Settings!$S$3),"",AB141+Settings!$S$2)</f>
        <v/>
      </c>
      <c r="AE141" s="40"/>
      <c r="AF141" s="41"/>
      <c r="AG141" s="17"/>
      <c r="AH141" s="17"/>
      <c r="AI141" s="17"/>
      <c r="AJ141" s="46" t="str">
        <f aca="true">IF(OR(E141="",B141=""),"",INT(TODAY()-B141))</f>
        <v/>
      </c>
      <c r="AK141" s="44" t="str">
        <f aca="true">IF(E141="","",IF(OR(COUNTIFS(Clients!$C$2:$C$501,E141,Clients!$S$2:$S$501,"Paid")&gt;0,AND(I141&lt;&gt;"",COUNTIFS(Clients!$E$2:$E$501,I141,Clients!$S$2:$S$501,"Paid")&gt;0)),"⚠ Refunded before – no free video",IF(OR(AA141="Contract signed + paid",AA141="Closed – No response",AA141="Lost"),"",IF(AA141="","Set a stage",IF(AND(AA141="Proposal sent",COUNTA(Q141:V141)&lt;6),"Score this lead – proposal sent unscored",IF(N(AC141)&gt;=Settings!$S$3,"Close – 4 follow-ups sent",IF(AD141="",IF(AB141="","Make first contact",""),IF(TODAY()&gt;AD141,"OVERDUE follow-up",IF(TODAY()=AD141,"Follow up today","")))))))))</f>
        <v/>
      </c>
    </row>
    <row r="142" customFormat="false" ht="15" hidden="false" customHeight="false" outlineLevel="0" collapsed="false">
      <c r="A142" s="17"/>
      <c r="B142" s="40"/>
      <c r="C142" s="41"/>
      <c r="D142" s="17"/>
      <c r="E142" s="17"/>
      <c r="F142" s="17"/>
      <c r="G142" s="17"/>
      <c r="H142" s="17"/>
      <c r="I142" s="42"/>
      <c r="J142" s="17"/>
      <c r="K142" s="17"/>
      <c r="L142" s="17"/>
      <c r="M142" s="17"/>
      <c r="N142" s="40"/>
      <c r="O142" s="41"/>
      <c r="P142" s="43" t="str">
        <f aca="false">IF(OR(B142="",N142=""),"",ROUND(((N142+N(O142))-(B142+N(C142)))*24,1))</f>
        <v/>
      </c>
      <c r="Q142" s="17"/>
      <c r="R142" s="17"/>
      <c r="S142" s="17"/>
      <c r="T142" s="17"/>
      <c r="U142" s="17"/>
      <c r="V142" s="17"/>
      <c r="W142" s="44" t="str">
        <f aca="false">IF(OR(E142="",COUNTA(Q142:V142)=0),"",SUMIFS(Settings!$AA$2:$AA$21,Settings!$Y$2:$Y$21,"Budget AED 5k+/mo?",Settings!$Z$2:$Z$21,Q142)+SUMIFS(Settings!$AA$2:$AA$21,Settings!$Y$2:$Y$21,"Decision-maker?",Settings!$Z$2:$Z$21,R142)+SUMIFS(Settings!$AA$2:$AA$21,Settings!$Y$2:$Y$21,"Someone on camera?",Settings!$Z$2:$Z$21,S142)+SUMIFS(Settings!$AA$2:$AA$21,Settings!$Y$2:$Y$21,"OK with 3-month term?",Settings!$Z$2:$Z$21,T142)+SUMIFS(Settings!$AA$2:$AA$21,Settings!$Y$2:$Y$21,"Start timeline",Settings!$Z$2:$Z$21,U142)+SUMIFS(Settings!$AA$2:$AA$21,Settings!$Y$2:$Y$21,"Social media gap",Settings!$Z$2:$Z$21,V142)+IF(F142="",0,IF(COUNTIF(Settings!$AC$2:$AC$6,F142)&gt;0,Settings!$AA$20,Settings!$AA$21)))</f>
        <v/>
      </c>
      <c r="X142" s="44" t="str">
        <f aca="false">IF(E142="","",IF(COUNTA(Q142:V142)=0,"Not scored",IF(COUNTA(Q142:V142)&lt;6,"Partly scored ("&amp;COUNTA(Q142:V142)&amp;"/6)",IF(W142&gt;=Settings!$S$8,"Hot",IF(W142&gt;=Settings!$S$9,"Warm","Cold")))))</f>
        <v/>
      </c>
      <c r="Y142" s="44" t="str">
        <f aca="false">IF(E142="","",IF(AND(Q142="No",S142="No"),"🚩 Budget  ·  🚩 No one on camera",IF(Q142="No","🚩 Budget under AED 5k",IF(S142="No","🚩 No one on camera",""))))</f>
        <v/>
      </c>
      <c r="Z142" s="17"/>
      <c r="AA142" s="17"/>
      <c r="AB142" s="40"/>
      <c r="AC142" s="17"/>
      <c r="AD142" s="45" t="str">
        <f aca="false">IF(OR(E142="",AB142="",OR(AA142="Contract signed + paid",AA142="Closed – No response",AA142="Lost"),N(AC142)&gt;=Settings!$S$3),"",AB142+Settings!$S$2)</f>
        <v/>
      </c>
      <c r="AE142" s="40"/>
      <c r="AF142" s="41"/>
      <c r="AG142" s="17"/>
      <c r="AH142" s="17"/>
      <c r="AI142" s="17"/>
      <c r="AJ142" s="46" t="str">
        <f aca="true">IF(OR(E142="",B142=""),"",INT(TODAY()-B142))</f>
        <v/>
      </c>
      <c r="AK142" s="44" t="str">
        <f aca="true">IF(E142="","",IF(OR(COUNTIFS(Clients!$C$2:$C$501,E142,Clients!$S$2:$S$501,"Paid")&gt;0,AND(I142&lt;&gt;"",COUNTIFS(Clients!$E$2:$E$501,I142,Clients!$S$2:$S$501,"Paid")&gt;0)),"⚠ Refunded before – no free video",IF(OR(AA142="Contract signed + paid",AA142="Closed – No response",AA142="Lost"),"",IF(AA142="","Set a stage",IF(AND(AA142="Proposal sent",COUNTA(Q142:V142)&lt;6),"Score this lead – proposal sent unscored",IF(N(AC142)&gt;=Settings!$S$3,"Close – 4 follow-ups sent",IF(AD142="",IF(AB142="","Make first contact",""),IF(TODAY()&gt;AD142,"OVERDUE follow-up",IF(TODAY()=AD142,"Follow up today","")))))))))</f>
        <v/>
      </c>
    </row>
    <row r="143" customFormat="false" ht="15" hidden="false" customHeight="false" outlineLevel="0" collapsed="false">
      <c r="A143" s="17"/>
      <c r="B143" s="40"/>
      <c r="C143" s="41"/>
      <c r="D143" s="17"/>
      <c r="E143" s="17"/>
      <c r="F143" s="17"/>
      <c r="G143" s="17"/>
      <c r="H143" s="17"/>
      <c r="I143" s="42"/>
      <c r="J143" s="17"/>
      <c r="K143" s="17"/>
      <c r="L143" s="17"/>
      <c r="M143" s="17"/>
      <c r="N143" s="40"/>
      <c r="O143" s="41"/>
      <c r="P143" s="43" t="str">
        <f aca="false">IF(OR(B143="",N143=""),"",ROUND(((N143+N(O143))-(B143+N(C143)))*24,1))</f>
        <v/>
      </c>
      <c r="Q143" s="17"/>
      <c r="R143" s="17"/>
      <c r="S143" s="17"/>
      <c r="T143" s="17"/>
      <c r="U143" s="17"/>
      <c r="V143" s="17"/>
      <c r="W143" s="44" t="str">
        <f aca="false">IF(OR(E143="",COUNTA(Q143:V143)=0),"",SUMIFS(Settings!$AA$2:$AA$21,Settings!$Y$2:$Y$21,"Budget AED 5k+/mo?",Settings!$Z$2:$Z$21,Q143)+SUMIFS(Settings!$AA$2:$AA$21,Settings!$Y$2:$Y$21,"Decision-maker?",Settings!$Z$2:$Z$21,R143)+SUMIFS(Settings!$AA$2:$AA$21,Settings!$Y$2:$Y$21,"Someone on camera?",Settings!$Z$2:$Z$21,S143)+SUMIFS(Settings!$AA$2:$AA$21,Settings!$Y$2:$Y$21,"OK with 3-month term?",Settings!$Z$2:$Z$21,T143)+SUMIFS(Settings!$AA$2:$AA$21,Settings!$Y$2:$Y$21,"Start timeline",Settings!$Z$2:$Z$21,U143)+SUMIFS(Settings!$AA$2:$AA$21,Settings!$Y$2:$Y$21,"Social media gap",Settings!$Z$2:$Z$21,V143)+IF(F143="",0,IF(COUNTIF(Settings!$AC$2:$AC$6,F143)&gt;0,Settings!$AA$20,Settings!$AA$21)))</f>
        <v/>
      </c>
      <c r="X143" s="44" t="str">
        <f aca="false">IF(E143="","",IF(COUNTA(Q143:V143)=0,"Not scored",IF(COUNTA(Q143:V143)&lt;6,"Partly scored ("&amp;COUNTA(Q143:V143)&amp;"/6)",IF(W143&gt;=Settings!$S$8,"Hot",IF(W143&gt;=Settings!$S$9,"Warm","Cold")))))</f>
        <v/>
      </c>
      <c r="Y143" s="44" t="str">
        <f aca="false">IF(E143="","",IF(AND(Q143="No",S143="No"),"🚩 Budget  ·  🚩 No one on camera",IF(Q143="No","🚩 Budget under AED 5k",IF(S143="No","🚩 No one on camera",""))))</f>
        <v/>
      </c>
      <c r="Z143" s="17"/>
      <c r="AA143" s="17"/>
      <c r="AB143" s="40"/>
      <c r="AC143" s="17"/>
      <c r="AD143" s="45" t="str">
        <f aca="false">IF(OR(E143="",AB143="",OR(AA143="Contract signed + paid",AA143="Closed – No response",AA143="Lost"),N(AC143)&gt;=Settings!$S$3),"",AB143+Settings!$S$2)</f>
        <v/>
      </c>
      <c r="AE143" s="40"/>
      <c r="AF143" s="41"/>
      <c r="AG143" s="17"/>
      <c r="AH143" s="17"/>
      <c r="AI143" s="17"/>
      <c r="AJ143" s="46" t="str">
        <f aca="true">IF(OR(E143="",B143=""),"",INT(TODAY()-B143))</f>
        <v/>
      </c>
      <c r="AK143" s="44" t="str">
        <f aca="true">IF(E143="","",IF(OR(COUNTIFS(Clients!$C$2:$C$501,E143,Clients!$S$2:$S$501,"Paid")&gt;0,AND(I143&lt;&gt;"",COUNTIFS(Clients!$E$2:$E$501,I143,Clients!$S$2:$S$501,"Paid")&gt;0)),"⚠ Refunded before – no free video",IF(OR(AA143="Contract signed + paid",AA143="Closed – No response",AA143="Lost"),"",IF(AA143="","Set a stage",IF(AND(AA143="Proposal sent",COUNTA(Q143:V143)&lt;6),"Score this lead – proposal sent unscored",IF(N(AC143)&gt;=Settings!$S$3,"Close – 4 follow-ups sent",IF(AD143="",IF(AB143="","Make first contact",""),IF(TODAY()&gt;AD143,"OVERDUE follow-up",IF(TODAY()=AD143,"Follow up today","")))))))))</f>
        <v/>
      </c>
    </row>
    <row r="144" customFormat="false" ht="15" hidden="false" customHeight="false" outlineLevel="0" collapsed="false">
      <c r="A144" s="17"/>
      <c r="B144" s="40"/>
      <c r="C144" s="41"/>
      <c r="D144" s="17"/>
      <c r="E144" s="17"/>
      <c r="F144" s="17"/>
      <c r="G144" s="17"/>
      <c r="H144" s="17"/>
      <c r="I144" s="42"/>
      <c r="J144" s="17"/>
      <c r="K144" s="17"/>
      <c r="L144" s="17"/>
      <c r="M144" s="17"/>
      <c r="N144" s="40"/>
      <c r="O144" s="41"/>
      <c r="P144" s="43" t="str">
        <f aca="false">IF(OR(B144="",N144=""),"",ROUND(((N144+N(O144))-(B144+N(C144)))*24,1))</f>
        <v/>
      </c>
      <c r="Q144" s="17"/>
      <c r="R144" s="17"/>
      <c r="S144" s="17"/>
      <c r="T144" s="17"/>
      <c r="U144" s="17"/>
      <c r="V144" s="17"/>
      <c r="W144" s="44" t="str">
        <f aca="false">IF(OR(E144="",COUNTA(Q144:V144)=0),"",SUMIFS(Settings!$AA$2:$AA$21,Settings!$Y$2:$Y$21,"Budget AED 5k+/mo?",Settings!$Z$2:$Z$21,Q144)+SUMIFS(Settings!$AA$2:$AA$21,Settings!$Y$2:$Y$21,"Decision-maker?",Settings!$Z$2:$Z$21,R144)+SUMIFS(Settings!$AA$2:$AA$21,Settings!$Y$2:$Y$21,"Someone on camera?",Settings!$Z$2:$Z$21,S144)+SUMIFS(Settings!$AA$2:$AA$21,Settings!$Y$2:$Y$21,"OK with 3-month term?",Settings!$Z$2:$Z$21,T144)+SUMIFS(Settings!$AA$2:$AA$21,Settings!$Y$2:$Y$21,"Start timeline",Settings!$Z$2:$Z$21,U144)+SUMIFS(Settings!$AA$2:$AA$21,Settings!$Y$2:$Y$21,"Social media gap",Settings!$Z$2:$Z$21,V144)+IF(F144="",0,IF(COUNTIF(Settings!$AC$2:$AC$6,F144)&gt;0,Settings!$AA$20,Settings!$AA$21)))</f>
        <v/>
      </c>
      <c r="X144" s="44" t="str">
        <f aca="false">IF(E144="","",IF(COUNTA(Q144:V144)=0,"Not scored",IF(COUNTA(Q144:V144)&lt;6,"Partly scored ("&amp;COUNTA(Q144:V144)&amp;"/6)",IF(W144&gt;=Settings!$S$8,"Hot",IF(W144&gt;=Settings!$S$9,"Warm","Cold")))))</f>
        <v/>
      </c>
      <c r="Y144" s="44" t="str">
        <f aca="false">IF(E144="","",IF(AND(Q144="No",S144="No"),"🚩 Budget  ·  🚩 No one on camera",IF(Q144="No","🚩 Budget under AED 5k",IF(S144="No","🚩 No one on camera",""))))</f>
        <v/>
      </c>
      <c r="Z144" s="17"/>
      <c r="AA144" s="17"/>
      <c r="AB144" s="40"/>
      <c r="AC144" s="17"/>
      <c r="AD144" s="45" t="str">
        <f aca="false">IF(OR(E144="",AB144="",OR(AA144="Contract signed + paid",AA144="Closed – No response",AA144="Lost"),N(AC144)&gt;=Settings!$S$3),"",AB144+Settings!$S$2)</f>
        <v/>
      </c>
      <c r="AE144" s="40"/>
      <c r="AF144" s="41"/>
      <c r="AG144" s="17"/>
      <c r="AH144" s="17"/>
      <c r="AI144" s="17"/>
      <c r="AJ144" s="46" t="str">
        <f aca="true">IF(OR(E144="",B144=""),"",INT(TODAY()-B144))</f>
        <v/>
      </c>
      <c r="AK144" s="44" t="str">
        <f aca="true">IF(E144="","",IF(OR(COUNTIFS(Clients!$C$2:$C$501,E144,Clients!$S$2:$S$501,"Paid")&gt;0,AND(I144&lt;&gt;"",COUNTIFS(Clients!$E$2:$E$501,I144,Clients!$S$2:$S$501,"Paid")&gt;0)),"⚠ Refunded before – no free video",IF(OR(AA144="Contract signed + paid",AA144="Closed – No response",AA144="Lost"),"",IF(AA144="","Set a stage",IF(AND(AA144="Proposal sent",COUNTA(Q144:V144)&lt;6),"Score this lead – proposal sent unscored",IF(N(AC144)&gt;=Settings!$S$3,"Close – 4 follow-ups sent",IF(AD144="",IF(AB144="","Make first contact",""),IF(TODAY()&gt;AD144,"OVERDUE follow-up",IF(TODAY()=AD144,"Follow up today","")))))))))</f>
        <v/>
      </c>
    </row>
    <row r="145" customFormat="false" ht="15" hidden="false" customHeight="false" outlineLevel="0" collapsed="false">
      <c r="A145" s="17"/>
      <c r="B145" s="40"/>
      <c r="C145" s="41"/>
      <c r="D145" s="17"/>
      <c r="E145" s="17"/>
      <c r="F145" s="17"/>
      <c r="G145" s="17"/>
      <c r="H145" s="17"/>
      <c r="I145" s="42"/>
      <c r="J145" s="17"/>
      <c r="K145" s="17"/>
      <c r="L145" s="17"/>
      <c r="M145" s="17"/>
      <c r="N145" s="40"/>
      <c r="O145" s="41"/>
      <c r="P145" s="43" t="str">
        <f aca="false">IF(OR(B145="",N145=""),"",ROUND(((N145+N(O145))-(B145+N(C145)))*24,1))</f>
        <v/>
      </c>
      <c r="Q145" s="17"/>
      <c r="R145" s="17"/>
      <c r="S145" s="17"/>
      <c r="T145" s="17"/>
      <c r="U145" s="17"/>
      <c r="V145" s="17"/>
      <c r="W145" s="44" t="str">
        <f aca="false">IF(OR(E145="",COUNTA(Q145:V145)=0),"",SUMIFS(Settings!$AA$2:$AA$21,Settings!$Y$2:$Y$21,"Budget AED 5k+/mo?",Settings!$Z$2:$Z$21,Q145)+SUMIFS(Settings!$AA$2:$AA$21,Settings!$Y$2:$Y$21,"Decision-maker?",Settings!$Z$2:$Z$21,R145)+SUMIFS(Settings!$AA$2:$AA$21,Settings!$Y$2:$Y$21,"Someone on camera?",Settings!$Z$2:$Z$21,S145)+SUMIFS(Settings!$AA$2:$AA$21,Settings!$Y$2:$Y$21,"OK with 3-month term?",Settings!$Z$2:$Z$21,T145)+SUMIFS(Settings!$AA$2:$AA$21,Settings!$Y$2:$Y$21,"Start timeline",Settings!$Z$2:$Z$21,U145)+SUMIFS(Settings!$AA$2:$AA$21,Settings!$Y$2:$Y$21,"Social media gap",Settings!$Z$2:$Z$21,V145)+IF(F145="",0,IF(COUNTIF(Settings!$AC$2:$AC$6,F145)&gt;0,Settings!$AA$20,Settings!$AA$21)))</f>
        <v/>
      </c>
      <c r="X145" s="44" t="str">
        <f aca="false">IF(E145="","",IF(COUNTA(Q145:V145)=0,"Not scored",IF(COUNTA(Q145:V145)&lt;6,"Partly scored ("&amp;COUNTA(Q145:V145)&amp;"/6)",IF(W145&gt;=Settings!$S$8,"Hot",IF(W145&gt;=Settings!$S$9,"Warm","Cold")))))</f>
        <v/>
      </c>
      <c r="Y145" s="44" t="str">
        <f aca="false">IF(E145="","",IF(AND(Q145="No",S145="No"),"🚩 Budget  ·  🚩 No one on camera",IF(Q145="No","🚩 Budget under AED 5k",IF(S145="No","🚩 No one on camera",""))))</f>
        <v/>
      </c>
      <c r="Z145" s="17"/>
      <c r="AA145" s="17"/>
      <c r="AB145" s="40"/>
      <c r="AC145" s="17"/>
      <c r="AD145" s="45" t="str">
        <f aca="false">IF(OR(E145="",AB145="",OR(AA145="Contract signed + paid",AA145="Closed – No response",AA145="Lost"),N(AC145)&gt;=Settings!$S$3),"",AB145+Settings!$S$2)</f>
        <v/>
      </c>
      <c r="AE145" s="40"/>
      <c r="AF145" s="41"/>
      <c r="AG145" s="17"/>
      <c r="AH145" s="17"/>
      <c r="AI145" s="17"/>
      <c r="AJ145" s="46" t="str">
        <f aca="true">IF(OR(E145="",B145=""),"",INT(TODAY()-B145))</f>
        <v/>
      </c>
      <c r="AK145" s="44" t="str">
        <f aca="true">IF(E145="","",IF(OR(COUNTIFS(Clients!$C$2:$C$501,E145,Clients!$S$2:$S$501,"Paid")&gt;0,AND(I145&lt;&gt;"",COUNTIFS(Clients!$E$2:$E$501,I145,Clients!$S$2:$S$501,"Paid")&gt;0)),"⚠ Refunded before – no free video",IF(OR(AA145="Contract signed + paid",AA145="Closed – No response",AA145="Lost"),"",IF(AA145="","Set a stage",IF(AND(AA145="Proposal sent",COUNTA(Q145:V145)&lt;6),"Score this lead – proposal sent unscored",IF(N(AC145)&gt;=Settings!$S$3,"Close – 4 follow-ups sent",IF(AD145="",IF(AB145="","Make first contact",""),IF(TODAY()&gt;AD145,"OVERDUE follow-up",IF(TODAY()=AD145,"Follow up today","")))))))))</f>
        <v/>
      </c>
    </row>
    <row r="146" customFormat="false" ht="15" hidden="false" customHeight="false" outlineLevel="0" collapsed="false">
      <c r="A146" s="17"/>
      <c r="B146" s="40"/>
      <c r="C146" s="41"/>
      <c r="D146" s="17"/>
      <c r="E146" s="17"/>
      <c r="F146" s="17"/>
      <c r="G146" s="17"/>
      <c r="H146" s="17"/>
      <c r="I146" s="42"/>
      <c r="J146" s="17"/>
      <c r="K146" s="17"/>
      <c r="L146" s="17"/>
      <c r="M146" s="17"/>
      <c r="N146" s="40"/>
      <c r="O146" s="41"/>
      <c r="P146" s="43" t="str">
        <f aca="false">IF(OR(B146="",N146=""),"",ROUND(((N146+N(O146))-(B146+N(C146)))*24,1))</f>
        <v/>
      </c>
      <c r="Q146" s="17"/>
      <c r="R146" s="17"/>
      <c r="S146" s="17"/>
      <c r="T146" s="17"/>
      <c r="U146" s="17"/>
      <c r="V146" s="17"/>
      <c r="W146" s="44" t="str">
        <f aca="false">IF(OR(E146="",COUNTA(Q146:V146)=0),"",SUMIFS(Settings!$AA$2:$AA$21,Settings!$Y$2:$Y$21,"Budget AED 5k+/mo?",Settings!$Z$2:$Z$21,Q146)+SUMIFS(Settings!$AA$2:$AA$21,Settings!$Y$2:$Y$21,"Decision-maker?",Settings!$Z$2:$Z$21,R146)+SUMIFS(Settings!$AA$2:$AA$21,Settings!$Y$2:$Y$21,"Someone on camera?",Settings!$Z$2:$Z$21,S146)+SUMIFS(Settings!$AA$2:$AA$21,Settings!$Y$2:$Y$21,"OK with 3-month term?",Settings!$Z$2:$Z$21,T146)+SUMIFS(Settings!$AA$2:$AA$21,Settings!$Y$2:$Y$21,"Start timeline",Settings!$Z$2:$Z$21,U146)+SUMIFS(Settings!$AA$2:$AA$21,Settings!$Y$2:$Y$21,"Social media gap",Settings!$Z$2:$Z$21,V146)+IF(F146="",0,IF(COUNTIF(Settings!$AC$2:$AC$6,F146)&gt;0,Settings!$AA$20,Settings!$AA$21)))</f>
        <v/>
      </c>
      <c r="X146" s="44" t="str">
        <f aca="false">IF(E146="","",IF(COUNTA(Q146:V146)=0,"Not scored",IF(COUNTA(Q146:V146)&lt;6,"Partly scored ("&amp;COUNTA(Q146:V146)&amp;"/6)",IF(W146&gt;=Settings!$S$8,"Hot",IF(W146&gt;=Settings!$S$9,"Warm","Cold")))))</f>
        <v/>
      </c>
      <c r="Y146" s="44" t="str">
        <f aca="false">IF(E146="","",IF(AND(Q146="No",S146="No"),"🚩 Budget  ·  🚩 No one on camera",IF(Q146="No","🚩 Budget under AED 5k",IF(S146="No","🚩 No one on camera",""))))</f>
        <v/>
      </c>
      <c r="Z146" s="17"/>
      <c r="AA146" s="17"/>
      <c r="AB146" s="40"/>
      <c r="AC146" s="17"/>
      <c r="AD146" s="45" t="str">
        <f aca="false">IF(OR(E146="",AB146="",OR(AA146="Contract signed + paid",AA146="Closed – No response",AA146="Lost"),N(AC146)&gt;=Settings!$S$3),"",AB146+Settings!$S$2)</f>
        <v/>
      </c>
      <c r="AE146" s="40"/>
      <c r="AF146" s="41"/>
      <c r="AG146" s="17"/>
      <c r="AH146" s="17"/>
      <c r="AI146" s="17"/>
      <c r="AJ146" s="46" t="str">
        <f aca="true">IF(OR(E146="",B146=""),"",INT(TODAY()-B146))</f>
        <v/>
      </c>
      <c r="AK146" s="44" t="str">
        <f aca="true">IF(E146="","",IF(OR(COUNTIFS(Clients!$C$2:$C$501,E146,Clients!$S$2:$S$501,"Paid")&gt;0,AND(I146&lt;&gt;"",COUNTIFS(Clients!$E$2:$E$501,I146,Clients!$S$2:$S$501,"Paid")&gt;0)),"⚠ Refunded before – no free video",IF(OR(AA146="Contract signed + paid",AA146="Closed – No response",AA146="Lost"),"",IF(AA146="","Set a stage",IF(AND(AA146="Proposal sent",COUNTA(Q146:V146)&lt;6),"Score this lead – proposal sent unscored",IF(N(AC146)&gt;=Settings!$S$3,"Close – 4 follow-ups sent",IF(AD146="",IF(AB146="","Make first contact",""),IF(TODAY()&gt;AD146,"OVERDUE follow-up",IF(TODAY()=AD146,"Follow up today","")))))))))</f>
        <v/>
      </c>
    </row>
    <row r="147" customFormat="false" ht="15" hidden="false" customHeight="false" outlineLevel="0" collapsed="false">
      <c r="A147" s="17"/>
      <c r="B147" s="40"/>
      <c r="C147" s="41"/>
      <c r="D147" s="17"/>
      <c r="E147" s="17"/>
      <c r="F147" s="17"/>
      <c r="G147" s="17"/>
      <c r="H147" s="17"/>
      <c r="I147" s="42"/>
      <c r="J147" s="17"/>
      <c r="K147" s="17"/>
      <c r="L147" s="17"/>
      <c r="M147" s="17"/>
      <c r="N147" s="40"/>
      <c r="O147" s="41"/>
      <c r="P147" s="43" t="str">
        <f aca="false">IF(OR(B147="",N147=""),"",ROUND(((N147+N(O147))-(B147+N(C147)))*24,1))</f>
        <v/>
      </c>
      <c r="Q147" s="17"/>
      <c r="R147" s="17"/>
      <c r="S147" s="17"/>
      <c r="T147" s="17"/>
      <c r="U147" s="17"/>
      <c r="V147" s="17"/>
      <c r="W147" s="44" t="str">
        <f aca="false">IF(OR(E147="",COUNTA(Q147:V147)=0),"",SUMIFS(Settings!$AA$2:$AA$21,Settings!$Y$2:$Y$21,"Budget AED 5k+/mo?",Settings!$Z$2:$Z$21,Q147)+SUMIFS(Settings!$AA$2:$AA$21,Settings!$Y$2:$Y$21,"Decision-maker?",Settings!$Z$2:$Z$21,R147)+SUMIFS(Settings!$AA$2:$AA$21,Settings!$Y$2:$Y$21,"Someone on camera?",Settings!$Z$2:$Z$21,S147)+SUMIFS(Settings!$AA$2:$AA$21,Settings!$Y$2:$Y$21,"OK with 3-month term?",Settings!$Z$2:$Z$21,T147)+SUMIFS(Settings!$AA$2:$AA$21,Settings!$Y$2:$Y$21,"Start timeline",Settings!$Z$2:$Z$21,U147)+SUMIFS(Settings!$AA$2:$AA$21,Settings!$Y$2:$Y$21,"Social media gap",Settings!$Z$2:$Z$21,V147)+IF(F147="",0,IF(COUNTIF(Settings!$AC$2:$AC$6,F147)&gt;0,Settings!$AA$20,Settings!$AA$21)))</f>
        <v/>
      </c>
      <c r="X147" s="44" t="str">
        <f aca="false">IF(E147="","",IF(COUNTA(Q147:V147)=0,"Not scored",IF(COUNTA(Q147:V147)&lt;6,"Partly scored ("&amp;COUNTA(Q147:V147)&amp;"/6)",IF(W147&gt;=Settings!$S$8,"Hot",IF(W147&gt;=Settings!$S$9,"Warm","Cold")))))</f>
        <v/>
      </c>
      <c r="Y147" s="44" t="str">
        <f aca="false">IF(E147="","",IF(AND(Q147="No",S147="No"),"🚩 Budget  ·  🚩 No one on camera",IF(Q147="No","🚩 Budget under AED 5k",IF(S147="No","🚩 No one on camera",""))))</f>
        <v/>
      </c>
      <c r="Z147" s="17"/>
      <c r="AA147" s="17"/>
      <c r="AB147" s="40"/>
      <c r="AC147" s="17"/>
      <c r="AD147" s="45" t="str">
        <f aca="false">IF(OR(E147="",AB147="",OR(AA147="Contract signed + paid",AA147="Closed – No response",AA147="Lost"),N(AC147)&gt;=Settings!$S$3),"",AB147+Settings!$S$2)</f>
        <v/>
      </c>
      <c r="AE147" s="40"/>
      <c r="AF147" s="41"/>
      <c r="AG147" s="17"/>
      <c r="AH147" s="17"/>
      <c r="AI147" s="17"/>
      <c r="AJ147" s="46" t="str">
        <f aca="true">IF(OR(E147="",B147=""),"",INT(TODAY()-B147))</f>
        <v/>
      </c>
      <c r="AK147" s="44" t="str">
        <f aca="true">IF(E147="","",IF(OR(COUNTIFS(Clients!$C$2:$C$501,E147,Clients!$S$2:$S$501,"Paid")&gt;0,AND(I147&lt;&gt;"",COUNTIFS(Clients!$E$2:$E$501,I147,Clients!$S$2:$S$501,"Paid")&gt;0)),"⚠ Refunded before – no free video",IF(OR(AA147="Contract signed + paid",AA147="Closed – No response",AA147="Lost"),"",IF(AA147="","Set a stage",IF(AND(AA147="Proposal sent",COUNTA(Q147:V147)&lt;6),"Score this lead – proposal sent unscored",IF(N(AC147)&gt;=Settings!$S$3,"Close – 4 follow-ups sent",IF(AD147="",IF(AB147="","Make first contact",""),IF(TODAY()&gt;AD147,"OVERDUE follow-up",IF(TODAY()=AD147,"Follow up today","")))))))))</f>
        <v/>
      </c>
    </row>
    <row r="148" customFormat="false" ht="15" hidden="false" customHeight="false" outlineLevel="0" collapsed="false">
      <c r="A148" s="17"/>
      <c r="B148" s="40"/>
      <c r="C148" s="41"/>
      <c r="D148" s="17"/>
      <c r="E148" s="17"/>
      <c r="F148" s="17"/>
      <c r="G148" s="17"/>
      <c r="H148" s="17"/>
      <c r="I148" s="42"/>
      <c r="J148" s="17"/>
      <c r="K148" s="17"/>
      <c r="L148" s="17"/>
      <c r="M148" s="17"/>
      <c r="N148" s="40"/>
      <c r="O148" s="41"/>
      <c r="P148" s="43" t="str">
        <f aca="false">IF(OR(B148="",N148=""),"",ROUND(((N148+N(O148))-(B148+N(C148)))*24,1))</f>
        <v/>
      </c>
      <c r="Q148" s="17"/>
      <c r="R148" s="17"/>
      <c r="S148" s="17"/>
      <c r="T148" s="17"/>
      <c r="U148" s="17"/>
      <c r="V148" s="17"/>
      <c r="W148" s="44" t="str">
        <f aca="false">IF(OR(E148="",COUNTA(Q148:V148)=0),"",SUMIFS(Settings!$AA$2:$AA$21,Settings!$Y$2:$Y$21,"Budget AED 5k+/mo?",Settings!$Z$2:$Z$21,Q148)+SUMIFS(Settings!$AA$2:$AA$21,Settings!$Y$2:$Y$21,"Decision-maker?",Settings!$Z$2:$Z$21,R148)+SUMIFS(Settings!$AA$2:$AA$21,Settings!$Y$2:$Y$21,"Someone on camera?",Settings!$Z$2:$Z$21,S148)+SUMIFS(Settings!$AA$2:$AA$21,Settings!$Y$2:$Y$21,"OK with 3-month term?",Settings!$Z$2:$Z$21,T148)+SUMIFS(Settings!$AA$2:$AA$21,Settings!$Y$2:$Y$21,"Start timeline",Settings!$Z$2:$Z$21,U148)+SUMIFS(Settings!$AA$2:$AA$21,Settings!$Y$2:$Y$21,"Social media gap",Settings!$Z$2:$Z$21,V148)+IF(F148="",0,IF(COUNTIF(Settings!$AC$2:$AC$6,F148)&gt;0,Settings!$AA$20,Settings!$AA$21)))</f>
        <v/>
      </c>
      <c r="X148" s="44" t="str">
        <f aca="false">IF(E148="","",IF(COUNTA(Q148:V148)=0,"Not scored",IF(COUNTA(Q148:V148)&lt;6,"Partly scored ("&amp;COUNTA(Q148:V148)&amp;"/6)",IF(W148&gt;=Settings!$S$8,"Hot",IF(W148&gt;=Settings!$S$9,"Warm","Cold")))))</f>
        <v/>
      </c>
      <c r="Y148" s="44" t="str">
        <f aca="false">IF(E148="","",IF(AND(Q148="No",S148="No"),"🚩 Budget  ·  🚩 No one on camera",IF(Q148="No","🚩 Budget under AED 5k",IF(S148="No","🚩 No one on camera",""))))</f>
        <v/>
      </c>
      <c r="Z148" s="17"/>
      <c r="AA148" s="17"/>
      <c r="AB148" s="40"/>
      <c r="AC148" s="17"/>
      <c r="AD148" s="45" t="str">
        <f aca="false">IF(OR(E148="",AB148="",OR(AA148="Contract signed + paid",AA148="Closed – No response",AA148="Lost"),N(AC148)&gt;=Settings!$S$3),"",AB148+Settings!$S$2)</f>
        <v/>
      </c>
      <c r="AE148" s="40"/>
      <c r="AF148" s="41"/>
      <c r="AG148" s="17"/>
      <c r="AH148" s="17"/>
      <c r="AI148" s="17"/>
      <c r="AJ148" s="46" t="str">
        <f aca="true">IF(OR(E148="",B148=""),"",INT(TODAY()-B148))</f>
        <v/>
      </c>
      <c r="AK148" s="44" t="str">
        <f aca="true">IF(E148="","",IF(OR(COUNTIFS(Clients!$C$2:$C$501,E148,Clients!$S$2:$S$501,"Paid")&gt;0,AND(I148&lt;&gt;"",COUNTIFS(Clients!$E$2:$E$501,I148,Clients!$S$2:$S$501,"Paid")&gt;0)),"⚠ Refunded before – no free video",IF(OR(AA148="Contract signed + paid",AA148="Closed – No response",AA148="Lost"),"",IF(AA148="","Set a stage",IF(AND(AA148="Proposal sent",COUNTA(Q148:V148)&lt;6),"Score this lead – proposal sent unscored",IF(N(AC148)&gt;=Settings!$S$3,"Close – 4 follow-ups sent",IF(AD148="",IF(AB148="","Make first contact",""),IF(TODAY()&gt;AD148,"OVERDUE follow-up",IF(TODAY()=AD148,"Follow up today","")))))))))</f>
        <v/>
      </c>
    </row>
    <row r="149" customFormat="false" ht="15" hidden="false" customHeight="false" outlineLevel="0" collapsed="false">
      <c r="A149" s="17"/>
      <c r="B149" s="40"/>
      <c r="C149" s="41"/>
      <c r="D149" s="17"/>
      <c r="E149" s="17"/>
      <c r="F149" s="17"/>
      <c r="G149" s="17"/>
      <c r="H149" s="17"/>
      <c r="I149" s="42"/>
      <c r="J149" s="17"/>
      <c r="K149" s="17"/>
      <c r="L149" s="17"/>
      <c r="M149" s="17"/>
      <c r="N149" s="40"/>
      <c r="O149" s="41"/>
      <c r="P149" s="43" t="str">
        <f aca="false">IF(OR(B149="",N149=""),"",ROUND(((N149+N(O149))-(B149+N(C149)))*24,1))</f>
        <v/>
      </c>
      <c r="Q149" s="17"/>
      <c r="R149" s="17"/>
      <c r="S149" s="17"/>
      <c r="T149" s="17"/>
      <c r="U149" s="17"/>
      <c r="V149" s="17"/>
      <c r="W149" s="44" t="str">
        <f aca="false">IF(OR(E149="",COUNTA(Q149:V149)=0),"",SUMIFS(Settings!$AA$2:$AA$21,Settings!$Y$2:$Y$21,"Budget AED 5k+/mo?",Settings!$Z$2:$Z$21,Q149)+SUMIFS(Settings!$AA$2:$AA$21,Settings!$Y$2:$Y$21,"Decision-maker?",Settings!$Z$2:$Z$21,R149)+SUMIFS(Settings!$AA$2:$AA$21,Settings!$Y$2:$Y$21,"Someone on camera?",Settings!$Z$2:$Z$21,S149)+SUMIFS(Settings!$AA$2:$AA$21,Settings!$Y$2:$Y$21,"OK with 3-month term?",Settings!$Z$2:$Z$21,T149)+SUMIFS(Settings!$AA$2:$AA$21,Settings!$Y$2:$Y$21,"Start timeline",Settings!$Z$2:$Z$21,U149)+SUMIFS(Settings!$AA$2:$AA$21,Settings!$Y$2:$Y$21,"Social media gap",Settings!$Z$2:$Z$21,V149)+IF(F149="",0,IF(COUNTIF(Settings!$AC$2:$AC$6,F149)&gt;0,Settings!$AA$20,Settings!$AA$21)))</f>
        <v/>
      </c>
      <c r="X149" s="44" t="str">
        <f aca="false">IF(E149="","",IF(COUNTA(Q149:V149)=0,"Not scored",IF(COUNTA(Q149:V149)&lt;6,"Partly scored ("&amp;COUNTA(Q149:V149)&amp;"/6)",IF(W149&gt;=Settings!$S$8,"Hot",IF(W149&gt;=Settings!$S$9,"Warm","Cold")))))</f>
        <v/>
      </c>
      <c r="Y149" s="44" t="str">
        <f aca="false">IF(E149="","",IF(AND(Q149="No",S149="No"),"🚩 Budget  ·  🚩 No one on camera",IF(Q149="No","🚩 Budget under AED 5k",IF(S149="No","🚩 No one on camera",""))))</f>
        <v/>
      </c>
      <c r="Z149" s="17"/>
      <c r="AA149" s="17"/>
      <c r="AB149" s="40"/>
      <c r="AC149" s="17"/>
      <c r="AD149" s="45" t="str">
        <f aca="false">IF(OR(E149="",AB149="",OR(AA149="Contract signed + paid",AA149="Closed – No response",AA149="Lost"),N(AC149)&gt;=Settings!$S$3),"",AB149+Settings!$S$2)</f>
        <v/>
      </c>
      <c r="AE149" s="40"/>
      <c r="AF149" s="41"/>
      <c r="AG149" s="17"/>
      <c r="AH149" s="17"/>
      <c r="AI149" s="17"/>
      <c r="AJ149" s="46" t="str">
        <f aca="true">IF(OR(E149="",B149=""),"",INT(TODAY()-B149))</f>
        <v/>
      </c>
      <c r="AK149" s="44" t="str">
        <f aca="true">IF(E149="","",IF(OR(COUNTIFS(Clients!$C$2:$C$501,E149,Clients!$S$2:$S$501,"Paid")&gt;0,AND(I149&lt;&gt;"",COUNTIFS(Clients!$E$2:$E$501,I149,Clients!$S$2:$S$501,"Paid")&gt;0)),"⚠ Refunded before – no free video",IF(OR(AA149="Contract signed + paid",AA149="Closed – No response",AA149="Lost"),"",IF(AA149="","Set a stage",IF(AND(AA149="Proposal sent",COUNTA(Q149:V149)&lt;6),"Score this lead – proposal sent unscored",IF(N(AC149)&gt;=Settings!$S$3,"Close – 4 follow-ups sent",IF(AD149="",IF(AB149="","Make first contact",""),IF(TODAY()&gt;AD149,"OVERDUE follow-up",IF(TODAY()=AD149,"Follow up today","")))))))))</f>
        <v/>
      </c>
    </row>
    <row r="150" customFormat="false" ht="15" hidden="false" customHeight="false" outlineLevel="0" collapsed="false">
      <c r="A150" s="17"/>
      <c r="B150" s="40"/>
      <c r="C150" s="41"/>
      <c r="D150" s="17"/>
      <c r="E150" s="17"/>
      <c r="F150" s="17"/>
      <c r="G150" s="17"/>
      <c r="H150" s="17"/>
      <c r="I150" s="42"/>
      <c r="J150" s="17"/>
      <c r="K150" s="17"/>
      <c r="L150" s="17"/>
      <c r="M150" s="17"/>
      <c r="N150" s="40"/>
      <c r="O150" s="41"/>
      <c r="P150" s="43" t="str">
        <f aca="false">IF(OR(B150="",N150=""),"",ROUND(((N150+N(O150))-(B150+N(C150)))*24,1))</f>
        <v/>
      </c>
      <c r="Q150" s="17"/>
      <c r="R150" s="17"/>
      <c r="S150" s="17"/>
      <c r="T150" s="17"/>
      <c r="U150" s="17"/>
      <c r="V150" s="17"/>
      <c r="W150" s="44" t="str">
        <f aca="false">IF(OR(E150="",COUNTA(Q150:V150)=0),"",SUMIFS(Settings!$AA$2:$AA$21,Settings!$Y$2:$Y$21,"Budget AED 5k+/mo?",Settings!$Z$2:$Z$21,Q150)+SUMIFS(Settings!$AA$2:$AA$21,Settings!$Y$2:$Y$21,"Decision-maker?",Settings!$Z$2:$Z$21,R150)+SUMIFS(Settings!$AA$2:$AA$21,Settings!$Y$2:$Y$21,"Someone on camera?",Settings!$Z$2:$Z$21,S150)+SUMIFS(Settings!$AA$2:$AA$21,Settings!$Y$2:$Y$21,"OK with 3-month term?",Settings!$Z$2:$Z$21,T150)+SUMIFS(Settings!$AA$2:$AA$21,Settings!$Y$2:$Y$21,"Start timeline",Settings!$Z$2:$Z$21,U150)+SUMIFS(Settings!$AA$2:$AA$21,Settings!$Y$2:$Y$21,"Social media gap",Settings!$Z$2:$Z$21,V150)+IF(F150="",0,IF(COUNTIF(Settings!$AC$2:$AC$6,F150)&gt;0,Settings!$AA$20,Settings!$AA$21)))</f>
        <v/>
      </c>
      <c r="X150" s="44" t="str">
        <f aca="false">IF(E150="","",IF(COUNTA(Q150:V150)=0,"Not scored",IF(COUNTA(Q150:V150)&lt;6,"Partly scored ("&amp;COUNTA(Q150:V150)&amp;"/6)",IF(W150&gt;=Settings!$S$8,"Hot",IF(W150&gt;=Settings!$S$9,"Warm","Cold")))))</f>
        <v/>
      </c>
      <c r="Y150" s="44" t="str">
        <f aca="false">IF(E150="","",IF(AND(Q150="No",S150="No"),"🚩 Budget  ·  🚩 No one on camera",IF(Q150="No","🚩 Budget under AED 5k",IF(S150="No","🚩 No one on camera",""))))</f>
        <v/>
      </c>
      <c r="Z150" s="17"/>
      <c r="AA150" s="17"/>
      <c r="AB150" s="40"/>
      <c r="AC150" s="17"/>
      <c r="AD150" s="45" t="str">
        <f aca="false">IF(OR(E150="",AB150="",OR(AA150="Contract signed + paid",AA150="Closed – No response",AA150="Lost"),N(AC150)&gt;=Settings!$S$3),"",AB150+Settings!$S$2)</f>
        <v/>
      </c>
      <c r="AE150" s="40"/>
      <c r="AF150" s="41"/>
      <c r="AG150" s="17"/>
      <c r="AH150" s="17"/>
      <c r="AI150" s="17"/>
      <c r="AJ150" s="46" t="str">
        <f aca="true">IF(OR(E150="",B150=""),"",INT(TODAY()-B150))</f>
        <v/>
      </c>
      <c r="AK150" s="44" t="str">
        <f aca="true">IF(E150="","",IF(OR(COUNTIFS(Clients!$C$2:$C$501,E150,Clients!$S$2:$S$501,"Paid")&gt;0,AND(I150&lt;&gt;"",COUNTIFS(Clients!$E$2:$E$501,I150,Clients!$S$2:$S$501,"Paid")&gt;0)),"⚠ Refunded before – no free video",IF(OR(AA150="Contract signed + paid",AA150="Closed – No response",AA150="Lost"),"",IF(AA150="","Set a stage",IF(AND(AA150="Proposal sent",COUNTA(Q150:V150)&lt;6),"Score this lead – proposal sent unscored",IF(N(AC150)&gt;=Settings!$S$3,"Close – 4 follow-ups sent",IF(AD150="",IF(AB150="","Make first contact",""),IF(TODAY()&gt;AD150,"OVERDUE follow-up",IF(TODAY()=AD150,"Follow up today","")))))))))</f>
        <v/>
      </c>
    </row>
    <row r="151" customFormat="false" ht="15" hidden="false" customHeight="false" outlineLevel="0" collapsed="false">
      <c r="A151" s="17"/>
      <c r="B151" s="40"/>
      <c r="C151" s="41"/>
      <c r="D151" s="17"/>
      <c r="E151" s="17"/>
      <c r="F151" s="17"/>
      <c r="G151" s="17"/>
      <c r="H151" s="17"/>
      <c r="I151" s="42"/>
      <c r="J151" s="17"/>
      <c r="K151" s="17"/>
      <c r="L151" s="17"/>
      <c r="M151" s="17"/>
      <c r="N151" s="40"/>
      <c r="O151" s="41"/>
      <c r="P151" s="43" t="str">
        <f aca="false">IF(OR(B151="",N151=""),"",ROUND(((N151+N(O151))-(B151+N(C151)))*24,1))</f>
        <v/>
      </c>
      <c r="Q151" s="17"/>
      <c r="R151" s="17"/>
      <c r="S151" s="17"/>
      <c r="T151" s="17"/>
      <c r="U151" s="17"/>
      <c r="V151" s="17"/>
      <c r="W151" s="44" t="str">
        <f aca="false">IF(OR(E151="",COUNTA(Q151:V151)=0),"",SUMIFS(Settings!$AA$2:$AA$21,Settings!$Y$2:$Y$21,"Budget AED 5k+/mo?",Settings!$Z$2:$Z$21,Q151)+SUMIFS(Settings!$AA$2:$AA$21,Settings!$Y$2:$Y$21,"Decision-maker?",Settings!$Z$2:$Z$21,R151)+SUMIFS(Settings!$AA$2:$AA$21,Settings!$Y$2:$Y$21,"Someone on camera?",Settings!$Z$2:$Z$21,S151)+SUMIFS(Settings!$AA$2:$AA$21,Settings!$Y$2:$Y$21,"OK with 3-month term?",Settings!$Z$2:$Z$21,T151)+SUMIFS(Settings!$AA$2:$AA$21,Settings!$Y$2:$Y$21,"Start timeline",Settings!$Z$2:$Z$21,U151)+SUMIFS(Settings!$AA$2:$AA$21,Settings!$Y$2:$Y$21,"Social media gap",Settings!$Z$2:$Z$21,V151)+IF(F151="",0,IF(COUNTIF(Settings!$AC$2:$AC$6,F151)&gt;0,Settings!$AA$20,Settings!$AA$21)))</f>
        <v/>
      </c>
      <c r="X151" s="44" t="str">
        <f aca="false">IF(E151="","",IF(COUNTA(Q151:V151)=0,"Not scored",IF(COUNTA(Q151:V151)&lt;6,"Partly scored ("&amp;COUNTA(Q151:V151)&amp;"/6)",IF(W151&gt;=Settings!$S$8,"Hot",IF(W151&gt;=Settings!$S$9,"Warm","Cold")))))</f>
        <v/>
      </c>
      <c r="Y151" s="44" t="str">
        <f aca="false">IF(E151="","",IF(AND(Q151="No",S151="No"),"🚩 Budget  ·  🚩 No one on camera",IF(Q151="No","🚩 Budget under AED 5k",IF(S151="No","🚩 No one on camera",""))))</f>
        <v/>
      </c>
      <c r="Z151" s="17"/>
      <c r="AA151" s="17"/>
      <c r="AB151" s="40"/>
      <c r="AC151" s="17"/>
      <c r="AD151" s="45" t="str">
        <f aca="false">IF(OR(E151="",AB151="",OR(AA151="Contract signed + paid",AA151="Closed – No response",AA151="Lost"),N(AC151)&gt;=Settings!$S$3),"",AB151+Settings!$S$2)</f>
        <v/>
      </c>
      <c r="AE151" s="40"/>
      <c r="AF151" s="41"/>
      <c r="AG151" s="17"/>
      <c r="AH151" s="17"/>
      <c r="AI151" s="17"/>
      <c r="AJ151" s="46" t="str">
        <f aca="true">IF(OR(E151="",B151=""),"",INT(TODAY()-B151))</f>
        <v/>
      </c>
      <c r="AK151" s="44" t="str">
        <f aca="true">IF(E151="","",IF(OR(COUNTIFS(Clients!$C$2:$C$501,E151,Clients!$S$2:$S$501,"Paid")&gt;0,AND(I151&lt;&gt;"",COUNTIFS(Clients!$E$2:$E$501,I151,Clients!$S$2:$S$501,"Paid")&gt;0)),"⚠ Refunded before – no free video",IF(OR(AA151="Contract signed + paid",AA151="Closed – No response",AA151="Lost"),"",IF(AA151="","Set a stage",IF(AND(AA151="Proposal sent",COUNTA(Q151:V151)&lt;6),"Score this lead – proposal sent unscored",IF(N(AC151)&gt;=Settings!$S$3,"Close – 4 follow-ups sent",IF(AD151="",IF(AB151="","Make first contact",""),IF(TODAY()&gt;AD151,"OVERDUE follow-up",IF(TODAY()=AD151,"Follow up today","")))))))))</f>
        <v/>
      </c>
    </row>
    <row r="152" customFormat="false" ht="15" hidden="false" customHeight="false" outlineLevel="0" collapsed="false">
      <c r="A152" s="17"/>
      <c r="B152" s="40"/>
      <c r="C152" s="41"/>
      <c r="D152" s="17"/>
      <c r="E152" s="17"/>
      <c r="F152" s="17"/>
      <c r="G152" s="17"/>
      <c r="H152" s="17"/>
      <c r="I152" s="42"/>
      <c r="J152" s="17"/>
      <c r="K152" s="17"/>
      <c r="L152" s="17"/>
      <c r="M152" s="17"/>
      <c r="N152" s="40"/>
      <c r="O152" s="41"/>
      <c r="P152" s="43" t="str">
        <f aca="false">IF(OR(B152="",N152=""),"",ROUND(((N152+N(O152))-(B152+N(C152)))*24,1))</f>
        <v/>
      </c>
      <c r="Q152" s="17"/>
      <c r="R152" s="17"/>
      <c r="S152" s="17"/>
      <c r="T152" s="17"/>
      <c r="U152" s="17"/>
      <c r="V152" s="17"/>
      <c r="W152" s="44" t="str">
        <f aca="false">IF(OR(E152="",COUNTA(Q152:V152)=0),"",SUMIFS(Settings!$AA$2:$AA$21,Settings!$Y$2:$Y$21,"Budget AED 5k+/mo?",Settings!$Z$2:$Z$21,Q152)+SUMIFS(Settings!$AA$2:$AA$21,Settings!$Y$2:$Y$21,"Decision-maker?",Settings!$Z$2:$Z$21,R152)+SUMIFS(Settings!$AA$2:$AA$21,Settings!$Y$2:$Y$21,"Someone on camera?",Settings!$Z$2:$Z$21,S152)+SUMIFS(Settings!$AA$2:$AA$21,Settings!$Y$2:$Y$21,"OK with 3-month term?",Settings!$Z$2:$Z$21,T152)+SUMIFS(Settings!$AA$2:$AA$21,Settings!$Y$2:$Y$21,"Start timeline",Settings!$Z$2:$Z$21,U152)+SUMIFS(Settings!$AA$2:$AA$21,Settings!$Y$2:$Y$21,"Social media gap",Settings!$Z$2:$Z$21,V152)+IF(F152="",0,IF(COUNTIF(Settings!$AC$2:$AC$6,F152)&gt;0,Settings!$AA$20,Settings!$AA$21)))</f>
        <v/>
      </c>
      <c r="X152" s="44" t="str">
        <f aca="false">IF(E152="","",IF(COUNTA(Q152:V152)=0,"Not scored",IF(COUNTA(Q152:V152)&lt;6,"Partly scored ("&amp;COUNTA(Q152:V152)&amp;"/6)",IF(W152&gt;=Settings!$S$8,"Hot",IF(W152&gt;=Settings!$S$9,"Warm","Cold")))))</f>
        <v/>
      </c>
      <c r="Y152" s="44" t="str">
        <f aca="false">IF(E152="","",IF(AND(Q152="No",S152="No"),"🚩 Budget  ·  🚩 No one on camera",IF(Q152="No","🚩 Budget under AED 5k",IF(S152="No","🚩 No one on camera",""))))</f>
        <v/>
      </c>
      <c r="Z152" s="17"/>
      <c r="AA152" s="17"/>
      <c r="AB152" s="40"/>
      <c r="AC152" s="17"/>
      <c r="AD152" s="45" t="str">
        <f aca="false">IF(OR(E152="",AB152="",OR(AA152="Contract signed + paid",AA152="Closed – No response",AA152="Lost"),N(AC152)&gt;=Settings!$S$3),"",AB152+Settings!$S$2)</f>
        <v/>
      </c>
      <c r="AE152" s="40"/>
      <c r="AF152" s="41"/>
      <c r="AG152" s="17"/>
      <c r="AH152" s="17"/>
      <c r="AI152" s="17"/>
      <c r="AJ152" s="46" t="str">
        <f aca="true">IF(OR(E152="",B152=""),"",INT(TODAY()-B152))</f>
        <v/>
      </c>
      <c r="AK152" s="44" t="str">
        <f aca="true">IF(E152="","",IF(OR(COUNTIFS(Clients!$C$2:$C$501,E152,Clients!$S$2:$S$501,"Paid")&gt;0,AND(I152&lt;&gt;"",COUNTIFS(Clients!$E$2:$E$501,I152,Clients!$S$2:$S$501,"Paid")&gt;0)),"⚠ Refunded before – no free video",IF(OR(AA152="Contract signed + paid",AA152="Closed – No response",AA152="Lost"),"",IF(AA152="","Set a stage",IF(AND(AA152="Proposal sent",COUNTA(Q152:V152)&lt;6),"Score this lead – proposal sent unscored",IF(N(AC152)&gt;=Settings!$S$3,"Close – 4 follow-ups sent",IF(AD152="",IF(AB152="","Make first contact",""),IF(TODAY()&gt;AD152,"OVERDUE follow-up",IF(TODAY()=AD152,"Follow up today","")))))))))</f>
        <v/>
      </c>
    </row>
    <row r="153" customFormat="false" ht="15" hidden="false" customHeight="false" outlineLevel="0" collapsed="false">
      <c r="A153" s="17"/>
      <c r="B153" s="40"/>
      <c r="C153" s="41"/>
      <c r="D153" s="17"/>
      <c r="E153" s="17"/>
      <c r="F153" s="17"/>
      <c r="G153" s="17"/>
      <c r="H153" s="17"/>
      <c r="I153" s="42"/>
      <c r="J153" s="17"/>
      <c r="K153" s="17"/>
      <c r="L153" s="17"/>
      <c r="M153" s="17"/>
      <c r="N153" s="40"/>
      <c r="O153" s="41"/>
      <c r="P153" s="43" t="str">
        <f aca="false">IF(OR(B153="",N153=""),"",ROUND(((N153+N(O153))-(B153+N(C153)))*24,1))</f>
        <v/>
      </c>
      <c r="Q153" s="17"/>
      <c r="R153" s="17"/>
      <c r="S153" s="17"/>
      <c r="T153" s="17"/>
      <c r="U153" s="17"/>
      <c r="V153" s="17"/>
      <c r="W153" s="44" t="str">
        <f aca="false">IF(OR(E153="",COUNTA(Q153:V153)=0),"",SUMIFS(Settings!$AA$2:$AA$21,Settings!$Y$2:$Y$21,"Budget AED 5k+/mo?",Settings!$Z$2:$Z$21,Q153)+SUMIFS(Settings!$AA$2:$AA$21,Settings!$Y$2:$Y$21,"Decision-maker?",Settings!$Z$2:$Z$21,R153)+SUMIFS(Settings!$AA$2:$AA$21,Settings!$Y$2:$Y$21,"Someone on camera?",Settings!$Z$2:$Z$21,S153)+SUMIFS(Settings!$AA$2:$AA$21,Settings!$Y$2:$Y$21,"OK with 3-month term?",Settings!$Z$2:$Z$21,T153)+SUMIFS(Settings!$AA$2:$AA$21,Settings!$Y$2:$Y$21,"Start timeline",Settings!$Z$2:$Z$21,U153)+SUMIFS(Settings!$AA$2:$AA$21,Settings!$Y$2:$Y$21,"Social media gap",Settings!$Z$2:$Z$21,V153)+IF(F153="",0,IF(COUNTIF(Settings!$AC$2:$AC$6,F153)&gt;0,Settings!$AA$20,Settings!$AA$21)))</f>
        <v/>
      </c>
      <c r="X153" s="44" t="str">
        <f aca="false">IF(E153="","",IF(COUNTA(Q153:V153)=0,"Not scored",IF(COUNTA(Q153:V153)&lt;6,"Partly scored ("&amp;COUNTA(Q153:V153)&amp;"/6)",IF(W153&gt;=Settings!$S$8,"Hot",IF(W153&gt;=Settings!$S$9,"Warm","Cold")))))</f>
        <v/>
      </c>
      <c r="Y153" s="44" t="str">
        <f aca="false">IF(E153="","",IF(AND(Q153="No",S153="No"),"🚩 Budget  ·  🚩 No one on camera",IF(Q153="No","🚩 Budget under AED 5k",IF(S153="No","🚩 No one on camera",""))))</f>
        <v/>
      </c>
      <c r="Z153" s="17"/>
      <c r="AA153" s="17"/>
      <c r="AB153" s="40"/>
      <c r="AC153" s="17"/>
      <c r="AD153" s="45" t="str">
        <f aca="false">IF(OR(E153="",AB153="",OR(AA153="Contract signed + paid",AA153="Closed – No response",AA153="Lost"),N(AC153)&gt;=Settings!$S$3),"",AB153+Settings!$S$2)</f>
        <v/>
      </c>
      <c r="AE153" s="40"/>
      <c r="AF153" s="41"/>
      <c r="AG153" s="17"/>
      <c r="AH153" s="17"/>
      <c r="AI153" s="17"/>
      <c r="AJ153" s="46" t="str">
        <f aca="true">IF(OR(E153="",B153=""),"",INT(TODAY()-B153))</f>
        <v/>
      </c>
      <c r="AK153" s="44" t="str">
        <f aca="true">IF(E153="","",IF(OR(COUNTIFS(Clients!$C$2:$C$501,E153,Clients!$S$2:$S$501,"Paid")&gt;0,AND(I153&lt;&gt;"",COUNTIFS(Clients!$E$2:$E$501,I153,Clients!$S$2:$S$501,"Paid")&gt;0)),"⚠ Refunded before – no free video",IF(OR(AA153="Contract signed + paid",AA153="Closed – No response",AA153="Lost"),"",IF(AA153="","Set a stage",IF(AND(AA153="Proposal sent",COUNTA(Q153:V153)&lt;6),"Score this lead – proposal sent unscored",IF(N(AC153)&gt;=Settings!$S$3,"Close – 4 follow-ups sent",IF(AD153="",IF(AB153="","Make first contact",""),IF(TODAY()&gt;AD153,"OVERDUE follow-up",IF(TODAY()=AD153,"Follow up today","")))))))))</f>
        <v/>
      </c>
    </row>
    <row r="154" customFormat="false" ht="15" hidden="false" customHeight="false" outlineLevel="0" collapsed="false">
      <c r="A154" s="17"/>
      <c r="B154" s="40"/>
      <c r="C154" s="41"/>
      <c r="D154" s="17"/>
      <c r="E154" s="17"/>
      <c r="F154" s="17"/>
      <c r="G154" s="17"/>
      <c r="H154" s="17"/>
      <c r="I154" s="42"/>
      <c r="J154" s="17"/>
      <c r="K154" s="17"/>
      <c r="L154" s="17"/>
      <c r="M154" s="17"/>
      <c r="N154" s="40"/>
      <c r="O154" s="41"/>
      <c r="P154" s="43" t="str">
        <f aca="false">IF(OR(B154="",N154=""),"",ROUND(((N154+N(O154))-(B154+N(C154)))*24,1))</f>
        <v/>
      </c>
      <c r="Q154" s="17"/>
      <c r="R154" s="17"/>
      <c r="S154" s="17"/>
      <c r="T154" s="17"/>
      <c r="U154" s="17"/>
      <c r="V154" s="17"/>
      <c r="W154" s="44" t="str">
        <f aca="false">IF(OR(E154="",COUNTA(Q154:V154)=0),"",SUMIFS(Settings!$AA$2:$AA$21,Settings!$Y$2:$Y$21,"Budget AED 5k+/mo?",Settings!$Z$2:$Z$21,Q154)+SUMIFS(Settings!$AA$2:$AA$21,Settings!$Y$2:$Y$21,"Decision-maker?",Settings!$Z$2:$Z$21,R154)+SUMIFS(Settings!$AA$2:$AA$21,Settings!$Y$2:$Y$21,"Someone on camera?",Settings!$Z$2:$Z$21,S154)+SUMIFS(Settings!$AA$2:$AA$21,Settings!$Y$2:$Y$21,"OK with 3-month term?",Settings!$Z$2:$Z$21,T154)+SUMIFS(Settings!$AA$2:$AA$21,Settings!$Y$2:$Y$21,"Start timeline",Settings!$Z$2:$Z$21,U154)+SUMIFS(Settings!$AA$2:$AA$21,Settings!$Y$2:$Y$21,"Social media gap",Settings!$Z$2:$Z$21,V154)+IF(F154="",0,IF(COUNTIF(Settings!$AC$2:$AC$6,F154)&gt;0,Settings!$AA$20,Settings!$AA$21)))</f>
        <v/>
      </c>
      <c r="X154" s="44" t="str">
        <f aca="false">IF(E154="","",IF(COUNTA(Q154:V154)=0,"Not scored",IF(COUNTA(Q154:V154)&lt;6,"Partly scored ("&amp;COUNTA(Q154:V154)&amp;"/6)",IF(W154&gt;=Settings!$S$8,"Hot",IF(W154&gt;=Settings!$S$9,"Warm","Cold")))))</f>
        <v/>
      </c>
      <c r="Y154" s="44" t="str">
        <f aca="false">IF(E154="","",IF(AND(Q154="No",S154="No"),"🚩 Budget  ·  🚩 No one on camera",IF(Q154="No","🚩 Budget under AED 5k",IF(S154="No","🚩 No one on camera",""))))</f>
        <v/>
      </c>
      <c r="Z154" s="17"/>
      <c r="AA154" s="17"/>
      <c r="AB154" s="40"/>
      <c r="AC154" s="17"/>
      <c r="AD154" s="45" t="str">
        <f aca="false">IF(OR(E154="",AB154="",OR(AA154="Contract signed + paid",AA154="Closed – No response",AA154="Lost"),N(AC154)&gt;=Settings!$S$3),"",AB154+Settings!$S$2)</f>
        <v/>
      </c>
      <c r="AE154" s="40"/>
      <c r="AF154" s="41"/>
      <c r="AG154" s="17"/>
      <c r="AH154" s="17"/>
      <c r="AI154" s="17"/>
      <c r="AJ154" s="46" t="str">
        <f aca="true">IF(OR(E154="",B154=""),"",INT(TODAY()-B154))</f>
        <v/>
      </c>
      <c r="AK154" s="44" t="str">
        <f aca="true">IF(E154="","",IF(OR(COUNTIFS(Clients!$C$2:$C$501,E154,Clients!$S$2:$S$501,"Paid")&gt;0,AND(I154&lt;&gt;"",COUNTIFS(Clients!$E$2:$E$501,I154,Clients!$S$2:$S$501,"Paid")&gt;0)),"⚠ Refunded before – no free video",IF(OR(AA154="Contract signed + paid",AA154="Closed – No response",AA154="Lost"),"",IF(AA154="","Set a stage",IF(AND(AA154="Proposal sent",COUNTA(Q154:V154)&lt;6),"Score this lead – proposal sent unscored",IF(N(AC154)&gt;=Settings!$S$3,"Close – 4 follow-ups sent",IF(AD154="",IF(AB154="","Make first contact",""),IF(TODAY()&gt;AD154,"OVERDUE follow-up",IF(TODAY()=AD154,"Follow up today","")))))))))</f>
        <v/>
      </c>
    </row>
    <row r="155" customFormat="false" ht="15" hidden="false" customHeight="false" outlineLevel="0" collapsed="false">
      <c r="A155" s="17"/>
      <c r="B155" s="40"/>
      <c r="C155" s="41"/>
      <c r="D155" s="17"/>
      <c r="E155" s="17"/>
      <c r="F155" s="17"/>
      <c r="G155" s="17"/>
      <c r="H155" s="17"/>
      <c r="I155" s="42"/>
      <c r="J155" s="17"/>
      <c r="K155" s="17"/>
      <c r="L155" s="17"/>
      <c r="M155" s="17"/>
      <c r="N155" s="40"/>
      <c r="O155" s="41"/>
      <c r="P155" s="43" t="str">
        <f aca="false">IF(OR(B155="",N155=""),"",ROUND(((N155+N(O155))-(B155+N(C155)))*24,1))</f>
        <v/>
      </c>
      <c r="Q155" s="17"/>
      <c r="R155" s="17"/>
      <c r="S155" s="17"/>
      <c r="T155" s="17"/>
      <c r="U155" s="17"/>
      <c r="V155" s="17"/>
      <c r="W155" s="44" t="str">
        <f aca="false">IF(OR(E155="",COUNTA(Q155:V155)=0),"",SUMIFS(Settings!$AA$2:$AA$21,Settings!$Y$2:$Y$21,"Budget AED 5k+/mo?",Settings!$Z$2:$Z$21,Q155)+SUMIFS(Settings!$AA$2:$AA$21,Settings!$Y$2:$Y$21,"Decision-maker?",Settings!$Z$2:$Z$21,R155)+SUMIFS(Settings!$AA$2:$AA$21,Settings!$Y$2:$Y$21,"Someone on camera?",Settings!$Z$2:$Z$21,S155)+SUMIFS(Settings!$AA$2:$AA$21,Settings!$Y$2:$Y$21,"OK with 3-month term?",Settings!$Z$2:$Z$21,T155)+SUMIFS(Settings!$AA$2:$AA$21,Settings!$Y$2:$Y$21,"Start timeline",Settings!$Z$2:$Z$21,U155)+SUMIFS(Settings!$AA$2:$AA$21,Settings!$Y$2:$Y$21,"Social media gap",Settings!$Z$2:$Z$21,V155)+IF(F155="",0,IF(COUNTIF(Settings!$AC$2:$AC$6,F155)&gt;0,Settings!$AA$20,Settings!$AA$21)))</f>
        <v/>
      </c>
      <c r="X155" s="44" t="str">
        <f aca="false">IF(E155="","",IF(COUNTA(Q155:V155)=0,"Not scored",IF(COUNTA(Q155:V155)&lt;6,"Partly scored ("&amp;COUNTA(Q155:V155)&amp;"/6)",IF(W155&gt;=Settings!$S$8,"Hot",IF(W155&gt;=Settings!$S$9,"Warm","Cold")))))</f>
        <v/>
      </c>
      <c r="Y155" s="44" t="str">
        <f aca="false">IF(E155="","",IF(AND(Q155="No",S155="No"),"🚩 Budget  ·  🚩 No one on camera",IF(Q155="No","🚩 Budget under AED 5k",IF(S155="No","🚩 No one on camera",""))))</f>
        <v/>
      </c>
      <c r="Z155" s="17"/>
      <c r="AA155" s="17"/>
      <c r="AB155" s="40"/>
      <c r="AC155" s="17"/>
      <c r="AD155" s="45" t="str">
        <f aca="false">IF(OR(E155="",AB155="",OR(AA155="Contract signed + paid",AA155="Closed – No response",AA155="Lost"),N(AC155)&gt;=Settings!$S$3),"",AB155+Settings!$S$2)</f>
        <v/>
      </c>
      <c r="AE155" s="40"/>
      <c r="AF155" s="41"/>
      <c r="AG155" s="17"/>
      <c r="AH155" s="17"/>
      <c r="AI155" s="17"/>
      <c r="AJ155" s="46" t="str">
        <f aca="true">IF(OR(E155="",B155=""),"",INT(TODAY()-B155))</f>
        <v/>
      </c>
      <c r="AK155" s="44" t="str">
        <f aca="true">IF(E155="","",IF(OR(COUNTIFS(Clients!$C$2:$C$501,E155,Clients!$S$2:$S$501,"Paid")&gt;0,AND(I155&lt;&gt;"",COUNTIFS(Clients!$E$2:$E$501,I155,Clients!$S$2:$S$501,"Paid")&gt;0)),"⚠ Refunded before – no free video",IF(OR(AA155="Contract signed + paid",AA155="Closed – No response",AA155="Lost"),"",IF(AA155="","Set a stage",IF(AND(AA155="Proposal sent",COUNTA(Q155:V155)&lt;6),"Score this lead – proposal sent unscored",IF(N(AC155)&gt;=Settings!$S$3,"Close – 4 follow-ups sent",IF(AD155="",IF(AB155="","Make first contact",""),IF(TODAY()&gt;AD155,"OVERDUE follow-up",IF(TODAY()=AD155,"Follow up today","")))))))))</f>
        <v/>
      </c>
    </row>
    <row r="156" customFormat="false" ht="15" hidden="false" customHeight="false" outlineLevel="0" collapsed="false">
      <c r="A156" s="17"/>
      <c r="B156" s="40"/>
      <c r="C156" s="41"/>
      <c r="D156" s="17"/>
      <c r="E156" s="17"/>
      <c r="F156" s="17"/>
      <c r="G156" s="17"/>
      <c r="H156" s="17"/>
      <c r="I156" s="42"/>
      <c r="J156" s="17"/>
      <c r="K156" s="17"/>
      <c r="L156" s="17"/>
      <c r="M156" s="17"/>
      <c r="N156" s="40"/>
      <c r="O156" s="41"/>
      <c r="P156" s="43" t="str">
        <f aca="false">IF(OR(B156="",N156=""),"",ROUND(((N156+N(O156))-(B156+N(C156)))*24,1))</f>
        <v/>
      </c>
      <c r="Q156" s="17"/>
      <c r="R156" s="17"/>
      <c r="S156" s="17"/>
      <c r="T156" s="17"/>
      <c r="U156" s="17"/>
      <c r="V156" s="17"/>
      <c r="W156" s="44" t="str">
        <f aca="false">IF(OR(E156="",COUNTA(Q156:V156)=0),"",SUMIFS(Settings!$AA$2:$AA$21,Settings!$Y$2:$Y$21,"Budget AED 5k+/mo?",Settings!$Z$2:$Z$21,Q156)+SUMIFS(Settings!$AA$2:$AA$21,Settings!$Y$2:$Y$21,"Decision-maker?",Settings!$Z$2:$Z$21,R156)+SUMIFS(Settings!$AA$2:$AA$21,Settings!$Y$2:$Y$21,"Someone on camera?",Settings!$Z$2:$Z$21,S156)+SUMIFS(Settings!$AA$2:$AA$21,Settings!$Y$2:$Y$21,"OK with 3-month term?",Settings!$Z$2:$Z$21,T156)+SUMIFS(Settings!$AA$2:$AA$21,Settings!$Y$2:$Y$21,"Start timeline",Settings!$Z$2:$Z$21,U156)+SUMIFS(Settings!$AA$2:$AA$21,Settings!$Y$2:$Y$21,"Social media gap",Settings!$Z$2:$Z$21,V156)+IF(F156="",0,IF(COUNTIF(Settings!$AC$2:$AC$6,F156)&gt;0,Settings!$AA$20,Settings!$AA$21)))</f>
        <v/>
      </c>
      <c r="X156" s="44" t="str">
        <f aca="false">IF(E156="","",IF(COUNTA(Q156:V156)=0,"Not scored",IF(COUNTA(Q156:V156)&lt;6,"Partly scored ("&amp;COUNTA(Q156:V156)&amp;"/6)",IF(W156&gt;=Settings!$S$8,"Hot",IF(W156&gt;=Settings!$S$9,"Warm","Cold")))))</f>
        <v/>
      </c>
      <c r="Y156" s="44" t="str">
        <f aca="false">IF(E156="","",IF(AND(Q156="No",S156="No"),"🚩 Budget  ·  🚩 No one on camera",IF(Q156="No","🚩 Budget under AED 5k",IF(S156="No","🚩 No one on camera",""))))</f>
        <v/>
      </c>
      <c r="Z156" s="17"/>
      <c r="AA156" s="17"/>
      <c r="AB156" s="40"/>
      <c r="AC156" s="17"/>
      <c r="AD156" s="45" t="str">
        <f aca="false">IF(OR(E156="",AB156="",OR(AA156="Contract signed + paid",AA156="Closed – No response",AA156="Lost"),N(AC156)&gt;=Settings!$S$3),"",AB156+Settings!$S$2)</f>
        <v/>
      </c>
      <c r="AE156" s="40"/>
      <c r="AF156" s="41"/>
      <c r="AG156" s="17"/>
      <c r="AH156" s="17"/>
      <c r="AI156" s="17"/>
      <c r="AJ156" s="46" t="str">
        <f aca="true">IF(OR(E156="",B156=""),"",INT(TODAY()-B156))</f>
        <v/>
      </c>
      <c r="AK156" s="44" t="str">
        <f aca="true">IF(E156="","",IF(OR(COUNTIFS(Clients!$C$2:$C$501,E156,Clients!$S$2:$S$501,"Paid")&gt;0,AND(I156&lt;&gt;"",COUNTIFS(Clients!$E$2:$E$501,I156,Clients!$S$2:$S$501,"Paid")&gt;0)),"⚠ Refunded before – no free video",IF(OR(AA156="Contract signed + paid",AA156="Closed – No response",AA156="Lost"),"",IF(AA156="","Set a stage",IF(AND(AA156="Proposal sent",COUNTA(Q156:V156)&lt;6),"Score this lead – proposal sent unscored",IF(N(AC156)&gt;=Settings!$S$3,"Close – 4 follow-ups sent",IF(AD156="",IF(AB156="","Make first contact",""),IF(TODAY()&gt;AD156,"OVERDUE follow-up",IF(TODAY()=AD156,"Follow up today","")))))))))</f>
        <v/>
      </c>
    </row>
    <row r="157" customFormat="false" ht="15" hidden="false" customHeight="false" outlineLevel="0" collapsed="false">
      <c r="A157" s="17"/>
      <c r="B157" s="40"/>
      <c r="C157" s="41"/>
      <c r="D157" s="17"/>
      <c r="E157" s="17"/>
      <c r="F157" s="17"/>
      <c r="G157" s="17"/>
      <c r="H157" s="17"/>
      <c r="I157" s="42"/>
      <c r="J157" s="17"/>
      <c r="K157" s="17"/>
      <c r="L157" s="17"/>
      <c r="M157" s="17"/>
      <c r="N157" s="40"/>
      <c r="O157" s="41"/>
      <c r="P157" s="43" t="str">
        <f aca="false">IF(OR(B157="",N157=""),"",ROUND(((N157+N(O157))-(B157+N(C157)))*24,1))</f>
        <v/>
      </c>
      <c r="Q157" s="17"/>
      <c r="R157" s="17"/>
      <c r="S157" s="17"/>
      <c r="T157" s="17"/>
      <c r="U157" s="17"/>
      <c r="V157" s="17"/>
      <c r="W157" s="44" t="str">
        <f aca="false">IF(OR(E157="",COUNTA(Q157:V157)=0),"",SUMIFS(Settings!$AA$2:$AA$21,Settings!$Y$2:$Y$21,"Budget AED 5k+/mo?",Settings!$Z$2:$Z$21,Q157)+SUMIFS(Settings!$AA$2:$AA$21,Settings!$Y$2:$Y$21,"Decision-maker?",Settings!$Z$2:$Z$21,R157)+SUMIFS(Settings!$AA$2:$AA$21,Settings!$Y$2:$Y$21,"Someone on camera?",Settings!$Z$2:$Z$21,S157)+SUMIFS(Settings!$AA$2:$AA$21,Settings!$Y$2:$Y$21,"OK with 3-month term?",Settings!$Z$2:$Z$21,T157)+SUMIFS(Settings!$AA$2:$AA$21,Settings!$Y$2:$Y$21,"Start timeline",Settings!$Z$2:$Z$21,U157)+SUMIFS(Settings!$AA$2:$AA$21,Settings!$Y$2:$Y$21,"Social media gap",Settings!$Z$2:$Z$21,V157)+IF(F157="",0,IF(COUNTIF(Settings!$AC$2:$AC$6,F157)&gt;0,Settings!$AA$20,Settings!$AA$21)))</f>
        <v/>
      </c>
      <c r="X157" s="44" t="str">
        <f aca="false">IF(E157="","",IF(COUNTA(Q157:V157)=0,"Not scored",IF(COUNTA(Q157:V157)&lt;6,"Partly scored ("&amp;COUNTA(Q157:V157)&amp;"/6)",IF(W157&gt;=Settings!$S$8,"Hot",IF(W157&gt;=Settings!$S$9,"Warm","Cold")))))</f>
        <v/>
      </c>
      <c r="Y157" s="44" t="str">
        <f aca="false">IF(E157="","",IF(AND(Q157="No",S157="No"),"🚩 Budget  ·  🚩 No one on camera",IF(Q157="No","🚩 Budget under AED 5k",IF(S157="No","🚩 No one on camera",""))))</f>
        <v/>
      </c>
      <c r="Z157" s="17"/>
      <c r="AA157" s="17"/>
      <c r="AB157" s="40"/>
      <c r="AC157" s="17"/>
      <c r="AD157" s="45" t="str">
        <f aca="false">IF(OR(E157="",AB157="",OR(AA157="Contract signed + paid",AA157="Closed – No response",AA157="Lost"),N(AC157)&gt;=Settings!$S$3),"",AB157+Settings!$S$2)</f>
        <v/>
      </c>
      <c r="AE157" s="40"/>
      <c r="AF157" s="41"/>
      <c r="AG157" s="17"/>
      <c r="AH157" s="17"/>
      <c r="AI157" s="17"/>
      <c r="AJ157" s="46" t="str">
        <f aca="true">IF(OR(E157="",B157=""),"",INT(TODAY()-B157))</f>
        <v/>
      </c>
      <c r="AK157" s="44" t="str">
        <f aca="true">IF(E157="","",IF(OR(COUNTIFS(Clients!$C$2:$C$501,E157,Clients!$S$2:$S$501,"Paid")&gt;0,AND(I157&lt;&gt;"",COUNTIFS(Clients!$E$2:$E$501,I157,Clients!$S$2:$S$501,"Paid")&gt;0)),"⚠ Refunded before – no free video",IF(OR(AA157="Contract signed + paid",AA157="Closed – No response",AA157="Lost"),"",IF(AA157="","Set a stage",IF(AND(AA157="Proposal sent",COUNTA(Q157:V157)&lt;6),"Score this lead – proposal sent unscored",IF(N(AC157)&gt;=Settings!$S$3,"Close – 4 follow-ups sent",IF(AD157="",IF(AB157="","Make first contact",""),IF(TODAY()&gt;AD157,"OVERDUE follow-up",IF(TODAY()=AD157,"Follow up today","")))))))))</f>
        <v/>
      </c>
    </row>
    <row r="158" customFormat="false" ht="15" hidden="false" customHeight="false" outlineLevel="0" collapsed="false">
      <c r="A158" s="17"/>
      <c r="B158" s="40"/>
      <c r="C158" s="41"/>
      <c r="D158" s="17"/>
      <c r="E158" s="17"/>
      <c r="F158" s="17"/>
      <c r="G158" s="17"/>
      <c r="H158" s="17"/>
      <c r="I158" s="42"/>
      <c r="J158" s="17"/>
      <c r="K158" s="17"/>
      <c r="L158" s="17"/>
      <c r="M158" s="17"/>
      <c r="N158" s="40"/>
      <c r="O158" s="41"/>
      <c r="P158" s="43" t="str">
        <f aca="false">IF(OR(B158="",N158=""),"",ROUND(((N158+N(O158))-(B158+N(C158)))*24,1))</f>
        <v/>
      </c>
      <c r="Q158" s="17"/>
      <c r="R158" s="17"/>
      <c r="S158" s="17"/>
      <c r="T158" s="17"/>
      <c r="U158" s="17"/>
      <c r="V158" s="17"/>
      <c r="W158" s="44" t="str">
        <f aca="false">IF(OR(E158="",COUNTA(Q158:V158)=0),"",SUMIFS(Settings!$AA$2:$AA$21,Settings!$Y$2:$Y$21,"Budget AED 5k+/mo?",Settings!$Z$2:$Z$21,Q158)+SUMIFS(Settings!$AA$2:$AA$21,Settings!$Y$2:$Y$21,"Decision-maker?",Settings!$Z$2:$Z$21,R158)+SUMIFS(Settings!$AA$2:$AA$21,Settings!$Y$2:$Y$21,"Someone on camera?",Settings!$Z$2:$Z$21,S158)+SUMIFS(Settings!$AA$2:$AA$21,Settings!$Y$2:$Y$21,"OK with 3-month term?",Settings!$Z$2:$Z$21,T158)+SUMIFS(Settings!$AA$2:$AA$21,Settings!$Y$2:$Y$21,"Start timeline",Settings!$Z$2:$Z$21,U158)+SUMIFS(Settings!$AA$2:$AA$21,Settings!$Y$2:$Y$21,"Social media gap",Settings!$Z$2:$Z$21,V158)+IF(F158="",0,IF(COUNTIF(Settings!$AC$2:$AC$6,F158)&gt;0,Settings!$AA$20,Settings!$AA$21)))</f>
        <v/>
      </c>
      <c r="X158" s="44" t="str">
        <f aca="false">IF(E158="","",IF(COUNTA(Q158:V158)=0,"Not scored",IF(COUNTA(Q158:V158)&lt;6,"Partly scored ("&amp;COUNTA(Q158:V158)&amp;"/6)",IF(W158&gt;=Settings!$S$8,"Hot",IF(W158&gt;=Settings!$S$9,"Warm","Cold")))))</f>
        <v/>
      </c>
      <c r="Y158" s="44" t="str">
        <f aca="false">IF(E158="","",IF(AND(Q158="No",S158="No"),"🚩 Budget  ·  🚩 No one on camera",IF(Q158="No","🚩 Budget under AED 5k",IF(S158="No","🚩 No one on camera",""))))</f>
        <v/>
      </c>
      <c r="Z158" s="17"/>
      <c r="AA158" s="17"/>
      <c r="AB158" s="40"/>
      <c r="AC158" s="17"/>
      <c r="AD158" s="45" t="str">
        <f aca="false">IF(OR(E158="",AB158="",OR(AA158="Contract signed + paid",AA158="Closed – No response",AA158="Lost"),N(AC158)&gt;=Settings!$S$3),"",AB158+Settings!$S$2)</f>
        <v/>
      </c>
      <c r="AE158" s="40"/>
      <c r="AF158" s="41"/>
      <c r="AG158" s="17"/>
      <c r="AH158" s="17"/>
      <c r="AI158" s="17"/>
      <c r="AJ158" s="46" t="str">
        <f aca="true">IF(OR(E158="",B158=""),"",INT(TODAY()-B158))</f>
        <v/>
      </c>
      <c r="AK158" s="44" t="str">
        <f aca="true">IF(E158="","",IF(OR(COUNTIFS(Clients!$C$2:$C$501,E158,Clients!$S$2:$S$501,"Paid")&gt;0,AND(I158&lt;&gt;"",COUNTIFS(Clients!$E$2:$E$501,I158,Clients!$S$2:$S$501,"Paid")&gt;0)),"⚠ Refunded before – no free video",IF(OR(AA158="Contract signed + paid",AA158="Closed – No response",AA158="Lost"),"",IF(AA158="","Set a stage",IF(AND(AA158="Proposal sent",COUNTA(Q158:V158)&lt;6),"Score this lead – proposal sent unscored",IF(N(AC158)&gt;=Settings!$S$3,"Close – 4 follow-ups sent",IF(AD158="",IF(AB158="","Make first contact",""),IF(TODAY()&gt;AD158,"OVERDUE follow-up",IF(TODAY()=AD158,"Follow up today","")))))))))</f>
        <v/>
      </c>
    </row>
    <row r="159" customFormat="false" ht="15" hidden="false" customHeight="false" outlineLevel="0" collapsed="false">
      <c r="A159" s="17"/>
      <c r="B159" s="40"/>
      <c r="C159" s="41"/>
      <c r="D159" s="17"/>
      <c r="E159" s="17"/>
      <c r="F159" s="17"/>
      <c r="G159" s="17"/>
      <c r="H159" s="17"/>
      <c r="I159" s="42"/>
      <c r="J159" s="17"/>
      <c r="K159" s="17"/>
      <c r="L159" s="17"/>
      <c r="M159" s="17"/>
      <c r="N159" s="40"/>
      <c r="O159" s="41"/>
      <c r="P159" s="43" t="str">
        <f aca="false">IF(OR(B159="",N159=""),"",ROUND(((N159+N(O159))-(B159+N(C159)))*24,1))</f>
        <v/>
      </c>
      <c r="Q159" s="17"/>
      <c r="R159" s="17"/>
      <c r="S159" s="17"/>
      <c r="T159" s="17"/>
      <c r="U159" s="17"/>
      <c r="V159" s="17"/>
      <c r="W159" s="44" t="str">
        <f aca="false">IF(OR(E159="",COUNTA(Q159:V159)=0),"",SUMIFS(Settings!$AA$2:$AA$21,Settings!$Y$2:$Y$21,"Budget AED 5k+/mo?",Settings!$Z$2:$Z$21,Q159)+SUMIFS(Settings!$AA$2:$AA$21,Settings!$Y$2:$Y$21,"Decision-maker?",Settings!$Z$2:$Z$21,R159)+SUMIFS(Settings!$AA$2:$AA$21,Settings!$Y$2:$Y$21,"Someone on camera?",Settings!$Z$2:$Z$21,S159)+SUMIFS(Settings!$AA$2:$AA$21,Settings!$Y$2:$Y$21,"OK with 3-month term?",Settings!$Z$2:$Z$21,T159)+SUMIFS(Settings!$AA$2:$AA$21,Settings!$Y$2:$Y$21,"Start timeline",Settings!$Z$2:$Z$21,U159)+SUMIFS(Settings!$AA$2:$AA$21,Settings!$Y$2:$Y$21,"Social media gap",Settings!$Z$2:$Z$21,V159)+IF(F159="",0,IF(COUNTIF(Settings!$AC$2:$AC$6,F159)&gt;0,Settings!$AA$20,Settings!$AA$21)))</f>
        <v/>
      </c>
      <c r="X159" s="44" t="str">
        <f aca="false">IF(E159="","",IF(COUNTA(Q159:V159)=0,"Not scored",IF(COUNTA(Q159:V159)&lt;6,"Partly scored ("&amp;COUNTA(Q159:V159)&amp;"/6)",IF(W159&gt;=Settings!$S$8,"Hot",IF(W159&gt;=Settings!$S$9,"Warm","Cold")))))</f>
        <v/>
      </c>
      <c r="Y159" s="44" t="str">
        <f aca="false">IF(E159="","",IF(AND(Q159="No",S159="No"),"🚩 Budget  ·  🚩 No one on camera",IF(Q159="No","🚩 Budget under AED 5k",IF(S159="No","🚩 No one on camera",""))))</f>
        <v/>
      </c>
      <c r="Z159" s="17"/>
      <c r="AA159" s="17"/>
      <c r="AB159" s="40"/>
      <c r="AC159" s="17"/>
      <c r="AD159" s="45" t="str">
        <f aca="false">IF(OR(E159="",AB159="",OR(AA159="Contract signed + paid",AA159="Closed – No response",AA159="Lost"),N(AC159)&gt;=Settings!$S$3),"",AB159+Settings!$S$2)</f>
        <v/>
      </c>
      <c r="AE159" s="40"/>
      <c r="AF159" s="41"/>
      <c r="AG159" s="17"/>
      <c r="AH159" s="17"/>
      <c r="AI159" s="17"/>
      <c r="AJ159" s="46" t="str">
        <f aca="true">IF(OR(E159="",B159=""),"",INT(TODAY()-B159))</f>
        <v/>
      </c>
      <c r="AK159" s="44" t="str">
        <f aca="true">IF(E159="","",IF(OR(COUNTIFS(Clients!$C$2:$C$501,E159,Clients!$S$2:$S$501,"Paid")&gt;0,AND(I159&lt;&gt;"",COUNTIFS(Clients!$E$2:$E$501,I159,Clients!$S$2:$S$501,"Paid")&gt;0)),"⚠ Refunded before – no free video",IF(OR(AA159="Contract signed + paid",AA159="Closed – No response",AA159="Lost"),"",IF(AA159="","Set a stage",IF(AND(AA159="Proposal sent",COUNTA(Q159:V159)&lt;6),"Score this lead – proposal sent unscored",IF(N(AC159)&gt;=Settings!$S$3,"Close – 4 follow-ups sent",IF(AD159="",IF(AB159="","Make first contact",""),IF(TODAY()&gt;AD159,"OVERDUE follow-up",IF(TODAY()=AD159,"Follow up today","")))))))))</f>
        <v/>
      </c>
    </row>
    <row r="160" customFormat="false" ht="15" hidden="false" customHeight="false" outlineLevel="0" collapsed="false">
      <c r="A160" s="17"/>
      <c r="B160" s="40"/>
      <c r="C160" s="41"/>
      <c r="D160" s="17"/>
      <c r="E160" s="17"/>
      <c r="F160" s="17"/>
      <c r="G160" s="17"/>
      <c r="H160" s="17"/>
      <c r="I160" s="42"/>
      <c r="J160" s="17"/>
      <c r="K160" s="17"/>
      <c r="L160" s="17"/>
      <c r="M160" s="17"/>
      <c r="N160" s="40"/>
      <c r="O160" s="41"/>
      <c r="P160" s="43" t="str">
        <f aca="false">IF(OR(B160="",N160=""),"",ROUND(((N160+N(O160))-(B160+N(C160)))*24,1))</f>
        <v/>
      </c>
      <c r="Q160" s="17"/>
      <c r="R160" s="17"/>
      <c r="S160" s="17"/>
      <c r="T160" s="17"/>
      <c r="U160" s="17"/>
      <c r="V160" s="17"/>
      <c r="W160" s="44" t="str">
        <f aca="false">IF(OR(E160="",COUNTA(Q160:V160)=0),"",SUMIFS(Settings!$AA$2:$AA$21,Settings!$Y$2:$Y$21,"Budget AED 5k+/mo?",Settings!$Z$2:$Z$21,Q160)+SUMIFS(Settings!$AA$2:$AA$21,Settings!$Y$2:$Y$21,"Decision-maker?",Settings!$Z$2:$Z$21,R160)+SUMIFS(Settings!$AA$2:$AA$21,Settings!$Y$2:$Y$21,"Someone on camera?",Settings!$Z$2:$Z$21,S160)+SUMIFS(Settings!$AA$2:$AA$21,Settings!$Y$2:$Y$21,"OK with 3-month term?",Settings!$Z$2:$Z$21,T160)+SUMIFS(Settings!$AA$2:$AA$21,Settings!$Y$2:$Y$21,"Start timeline",Settings!$Z$2:$Z$21,U160)+SUMIFS(Settings!$AA$2:$AA$21,Settings!$Y$2:$Y$21,"Social media gap",Settings!$Z$2:$Z$21,V160)+IF(F160="",0,IF(COUNTIF(Settings!$AC$2:$AC$6,F160)&gt;0,Settings!$AA$20,Settings!$AA$21)))</f>
        <v/>
      </c>
      <c r="X160" s="44" t="str">
        <f aca="false">IF(E160="","",IF(COUNTA(Q160:V160)=0,"Not scored",IF(COUNTA(Q160:V160)&lt;6,"Partly scored ("&amp;COUNTA(Q160:V160)&amp;"/6)",IF(W160&gt;=Settings!$S$8,"Hot",IF(W160&gt;=Settings!$S$9,"Warm","Cold")))))</f>
        <v/>
      </c>
      <c r="Y160" s="44" t="str">
        <f aca="false">IF(E160="","",IF(AND(Q160="No",S160="No"),"🚩 Budget  ·  🚩 No one on camera",IF(Q160="No","🚩 Budget under AED 5k",IF(S160="No","🚩 No one on camera",""))))</f>
        <v/>
      </c>
      <c r="Z160" s="17"/>
      <c r="AA160" s="17"/>
      <c r="AB160" s="40"/>
      <c r="AC160" s="17"/>
      <c r="AD160" s="45" t="str">
        <f aca="false">IF(OR(E160="",AB160="",OR(AA160="Contract signed + paid",AA160="Closed – No response",AA160="Lost"),N(AC160)&gt;=Settings!$S$3),"",AB160+Settings!$S$2)</f>
        <v/>
      </c>
      <c r="AE160" s="40"/>
      <c r="AF160" s="41"/>
      <c r="AG160" s="17"/>
      <c r="AH160" s="17"/>
      <c r="AI160" s="17"/>
      <c r="AJ160" s="46" t="str">
        <f aca="true">IF(OR(E160="",B160=""),"",INT(TODAY()-B160))</f>
        <v/>
      </c>
      <c r="AK160" s="44" t="str">
        <f aca="true">IF(E160="","",IF(OR(COUNTIFS(Clients!$C$2:$C$501,E160,Clients!$S$2:$S$501,"Paid")&gt;0,AND(I160&lt;&gt;"",COUNTIFS(Clients!$E$2:$E$501,I160,Clients!$S$2:$S$501,"Paid")&gt;0)),"⚠ Refunded before – no free video",IF(OR(AA160="Contract signed + paid",AA160="Closed – No response",AA160="Lost"),"",IF(AA160="","Set a stage",IF(AND(AA160="Proposal sent",COUNTA(Q160:V160)&lt;6),"Score this lead – proposal sent unscored",IF(N(AC160)&gt;=Settings!$S$3,"Close – 4 follow-ups sent",IF(AD160="",IF(AB160="","Make first contact",""),IF(TODAY()&gt;AD160,"OVERDUE follow-up",IF(TODAY()=AD160,"Follow up today","")))))))))</f>
        <v/>
      </c>
    </row>
    <row r="161" customFormat="false" ht="15" hidden="false" customHeight="false" outlineLevel="0" collapsed="false">
      <c r="A161" s="17"/>
      <c r="B161" s="40"/>
      <c r="C161" s="41"/>
      <c r="D161" s="17"/>
      <c r="E161" s="17"/>
      <c r="F161" s="17"/>
      <c r="G161" s="17"/>
      <c r="H161" s="17"/>
      <c r="I161" s="42"/>
      <c r="J161" s="17"/>
      <c r="K161" s="17"/>
      <c r="L161" s="17"/>
      <c r="M161" s="17"/>
      <c r="N161" s="40"/>
      <c r="O161" s="41"/>
      <c r="P161" s="43" t="str">
        <f aca="false">IF(OR(B161="",N161=""),"",ROUND(((N161+N(O161))-(B161+N(C161)))*24,1))</f>
        <v/>
      </c>
      <c r="Q161" s="17"/>
      <c r="R161" s="17"/>
      <c r="S161" s="17"/>
      <c r="T161" s="17"/>
      <c r="U161" s="17"/>
      <c r="V161" s="17"/>
      <c r="W161" s="44" t="str">
        <f aca="false">IF(OR(E161="",COUNTA(Q161:V161)=0),"",SUMIFS(Settings!$AA$2:$AA$21,Settings!$Y$2:$Y$21,"Budget AED 5k+/mo?",Settings!$Z$2:$Z$21,Q161)+SUMIFS(Settings!$AA$2:$AA$21,Settings!$Y$2:$Y$21,"Decision-maker?",Settings!$Z$2:$Z$21,R161)+SUMIFS(Settings!$AA$2:$AA$21,Settings!$Y$2:$Y$21,"Someone on camera?",Settings!$Z$2:$Z$21,S161)+SUMIFS(Settings!$AA$2:$AA$21,Settings!$Y$2:$Y$21,"OK with 3-month term?",Settings!$Z$2:$Z$21,T161)+SUMIFS(Settings!$AA$2:$AA$21,Settings!$Y$2:$Y$21,"Start timeline",Settings!$Z$2:$Z$21,U161)+SUMIFS(Settings!$AA$2:$AA$21,Settings!$Y$2:$Y$21,"Social media gap",Settings!$Z$2:$Z$21,V161)+IF(F161="",0,IF(COUNTIF(Settings!$AC$2:$AC$6,F161)&gt;0,Settings!$AA$20,Settings!$AA$21)))</f>
        <v/>
      </c>
      <c r="X161" s="44" t="str">
        <f aca="false">IF(E161="","",IF(COUNTA(Q161:V161)=0,"Not scored",IF(COUNTA(Q161:V161)&lt;6,"Partly scored ("&amp;COUNTA(Q161:V161)&amp;"/6)",IF(W161&gt;=Settings!$S$8,"Hot",IF(W161&gt;=Settings!$S$9,"Warm","Cold")))))</f>
        <v/>
      </c>
      <c r="Y161" s="44" t="str">
        <f aca="false">IF(E161="","",IF(AND(Q161="No",S161="No"),"🚩 Budget  ·  🚩 No one on camera",IF(Q161="No","🚩 Budget under AED 5k",IF(S161="No","🚩 No one on camera",""))))</f>
        <v/>
      </c>
      <c r="Z161" s="17"/>
      <c r="AA161" s="17"/>
      <c r="AB161" s="40"/>
      <c r="AC161" s="17"/>
      <c r="AD161" s="45" t="str">
        <f aca="false">IF(OR(E161="",AB161="",OR(AA161="Contract signed + paid",AA161="Closed – No response",AA161="Lost"),N(AC161)&gt;=Settings!$S$3),"",AB161+Settings!$S$2)</f>
        <v/>
      </c>
      <c r="AE161" s="40"/>
      <c r="AF161" s="41"/>
      <c r="AG161" s="17"/>
      <c r="AH161" s="17"/>
      <c r="AI161" s="17"/>
      <c r="AJ161" s="46" t="str">
        <f aca="true">IF(OR(E161="",B161=""),"",INT(TODAY()-B161))</f>
        <v/>
      </c>
      <c r="AK161" s="44" t="str">
        <f aca="true">IF(E161="","",IF(OR(COUNTIFS(Clients!$C$2:$C$501,E161,Clients!$S$2:$S$501,"Paid")&gt;0,AND(I161&lt;&gt;"",COUNTIFS(Clients!$E$2:$E$501,I161,Clients!$S$2:$S$501,"Paid")&gt;0)),"⚠ Refunded before – no free video",IF(OR(AA161="Contract signed + paid",AA161="Closed – No response",AA161="Lost"),"",IF(AA161="","Set a stage",IF(AND(AA161="Proposal sent",COUNTA(Q161:V161)&lt;6),"Score this lead – proposal sent unscored",IF(N(AC161)&gt;=Settings!$S$3,"Close – 4 follow-ups sent",IF(AD161="",IF(AB161="","Make first contact",""),IF(TODAY()&gt;AD161,"OVERDUE follow-up",IF(TODAY()=AD161,"Follow up today","")))))))))</f>
        <v/>
      </c>
    </row>
    <row r="162" customFormat="false" ht="15" hidden="false" customHeight="false" outlineLevel="0" collapsed="false">
      <c r="A162" s="17"/>
      <c r="B162" s="40"/>
      <c r="C162" s="41"/>
      <c r="D162" s="17"/>
      <c r="E162" s="17"/>
      <c r="F162" s="17"/>
      <c r="G162" s="17"/>
      <c r="H162" s="17"/>
      <c r="I162" s="42"/>
      <c r="J162" s="17"/>
      <c r="K162" s="17"/>
      <c r="L162" s="17"/>
      <c r="M162" s="17"/>
      <c r="N162" s="40"/>
      <c r="O162" s="41"/>
      <c r="P162" s="43" t="str">
        <f aca="false">IF(OR(B162="",N162=""),"",ROUND(((N162+N(O162))-(B162+N(C162)))*24,1))</f>
        <v/>
      </c>
      <c r="Q162" s="17"/>
      <c r="R162" s="17"/>
      <c r="S162" s="17"/>
      <c r="T162" s="17"/>
      <c r="U162" s="17"/>
      <c r="V162" s="17"/>
      <c r="W162" s="44" t="str">
        <f aca="false">IF(OR(E162="",COUNTA(Q162:V162)=0),"",SUMIFS(Settings!$AA$2:$AA$21,Settings!$Y$2:$Y$21,"Budget AED 5k+/mo?",Settings!$Z$2:$Z$21,Q162)+SUMIFS(Settings!$AA$2:$AA$21,Settings!$Y$2:$Y$21,"Decision-maker?",Settings!$Z$2:$Z$21,R162)+SUMIFS(Settings!$AA$2:$AA$21,Settings!$Y$2:$Y$21,"Someone on camera?",Settings!$Z$2:$Z$21,S162)+SUMIFS(Settings!$AA$2:$AA$21,Settings!$Y$2:$Y$21,"OK with 3-month term?",Settings!$Z$2:$Z$21,T162)+SUMIFS(Settings!$AA$2:$AA$21,Settings!$Y$2:$Y$21,"Start timeline",Settings!$Z$2:$Z$21,U162)+SUMIFS(Settings!$AA$2:$AA$21,Settings!$Y$2:$Y$21,"Social media gap",Settings!$Z$2:$Z$21,V162)+IF(F162="",0,IF(COUNTIF(Settings!$AC$2:$AC$6,F162)&gt;0,Settings!$AA$20,Settings!$AA$21)))</f>
        <v/>
      </c>
      <c r="X162" s="44" t="str">
        <f aca="false">IF(E162="","",IF(COUNTA(Q162:V162)=0,"Not scored",IF(COUNTA(Q162:V162)&lt;6,"Partly scored ("&amp;COUNTA(Q162:V162)&amp;"/6)",IF(W162&gt;=Settings!$S$8,"Hot",IF(W162&gt;=Settings!$S$9,"Warm","Cold")))))</f>
        <v/>
      </c>
      <c r="Y162" s="44" t="str">
        <f aca="false">IF(E162="","",IF(AND(Q162="No",S162="No"),"🚩 Budget  ·  🚩 No one on camera",IF(Q162="No","🚩 Budget under AED 5k",IF(S162="No","🚩 No one on camera",""))))</f>
        <v/>
      </c>
      <c r="Z162" s="17"/>
      <c r="AA162" s="17"/>
      <c r="AB162" s="40"/>
      <c r="AC162" s="17"/>
      <c r="AD162" s="45" t="str">
        <f aca="false">IF(OR(E162="",AB162="",OR(AA162="Contract signed + paid",AA162="Closed – No response",AA162="Lost"),N(AC162)&gt;=Settings!$S$3),"",AB162+Settings!$S$2)</f>
        <v/>
      </c>
      <c r="AE162" s="40"/>
      <c r="AF162" s="41"/>
      <c r="AG162" s="17"/>
      <c r="AH162" s="17"/>
      <c r="AI162" s="17"/>
      <c r="AJ162" s="46" t="str">
        <f aca="true">IF(OR(E162="",B162=""),"",INT(TODAY()-B162))</f>
        <v/>
      </c>
      <c r="AK162" s="44" t="str">
        <f aca="true">IF(E162="","",IF(OR(COUNTIFS(Clients!$C$2:$C$501,E162,Clients!$S$2:$S$501,"Paid")&gt;0,AND(I162&lt;&gt;"",COUNTIFS(Clients!$E$2:$E$501,I162,Clients!$S$2:$S$501,"Paid")&gt;0)),"⚠ Refunded before – no free video",IF(OR(AA162="Contract signed + paid",AA162="Closed – No response",AA162="Lost"),"",IF(AA162="","Set a stage",IF(AND(AA162="Proposal sent",COUNTA(Q162:V162)&lt;6),"Score this lead – proposal sent unscored",IF(N(AC162)&gt;=Settings!$S$3,"Close – 4 follow-ups sent",IF(AD162="",IF(AB162="","Make first contact",""),IF(TODAY()&gt;AD162,"OVERDUE follow-up",IF(TODAY()=AD162,"Follow up today","")))))))))</f>
        <v/>
      </c>
    </row>
    <row r="163" customFormat="false" ht="15" hidden="false" customHeight="false" outlineLevel="0" collapsed="false">
      <c r="A163" s="17"/>
      <c r="B163" s="40"/>
      <c r="C163" s="41"/>
      <c r="D163" s="17"/>
      <c r="E163" s="17"/>
      <c r="F163" s="17"/>
      <c r="G163" s="17"/>
      <c r="H163" s="17"/>
      <c r="I163" s="42"/>
      <c r="J163" s="17"/>
      <c r="K163" s="17"/>
      <c r="L163" s="17"/>
      <c r="M163" s="17"/>
      <c r="N163" s="40"/>
      <c r="O163" s="41"/>
      <c r="P163" s="43" t="str">
        <f aca="false">IF(OR(B163="",N163=""),"",ROUND(((N163+N(O163))-(B163+N(C163)))*24,1))</f>
        <v/>
      </c>
      <c r="Q163" s="17"/>
      <c r="R163" s="17"/>
      <c r="S163" s="17"/>
      <c r="T163" s="17"/>
      <c r="U163" s="17"/>
      <c r="V163" s="17"/>
      <c r="W163" s="44" t="str">
        <f aca="false">IF(OR(E163="",COUNTA(Q163:V163)=0),"",SUMIFS(Settings!$AA$2:$AA$21,Settings!$Y$2:$Y$21,"Budget AED 5k+/mo?",Settings!$Z$2:$Z$21,Q163)+SUMIFS(Settings!$AA$2:$AA$21,Settings!$Y$2:$Y$21,"Decision-maker?",Settings!$Z$2:$Z$21,R163)+SUMIFS(Settings!$AA$2:$AA$21,Settings!$Y$2:$Y$21,"Someone on camera?",Settings!$Z$2:$Z$21,S163)+SUMIFS(Settings!$AA$2:$AA$21,Settings!$Y$2:$Y$21,"OK with 3-month term?",Settings!$Z$2:$Z$21,T163)+SUMIFS(Settings!$AA$2:$AA$21,Settings!$Y$2:$Y$21,"Start timeline",Settings!$Z$2:$Z$21,U163)+SUMIFS(Settings!$AA$2:$AA$21,Settings!$Y$2:$Y$21,"Social media gap",Settings!$Z$2:$Z$21,V163)+IF(F163="",0,IF(COUNTIF(Settings!$AC$2:$AC$6,F163)&gt;0,Settings!$AA$20,Settings!$AA$21)))</f>
        <v/>
      </c>
      <c r="X163" s="44" t="str">
        <f aca="false">IF(E163="","",IF(COUNTA(Q163:V163)=0,"Not scored",IF(COUNTA(Q163:V163)&lt;6,"Partly scored ("&amp;COUNTA(Q163:V163)&amp;"/6)",IF(W163&gt;=Settings!$S$8,"Hot",IF(W163&gt;=Settings!$S$9,"Warm","Cold")))))</f>
        <v/>
      </c>
      <c r="Y163" s="44" t="str">
        <f aca="false">IF(E163="","",IF(AND(Q163="No",S163="No"),"🚩 Budget  ·  🚩 No one on camera",IF(Q163="No","🚩 Budget under AED 5k",IF(S163="No","🚩 No one on camera",""))))</f>
        <v/>
      </c>
      <c r="Z163" s="17"/>
      <c r="AA163" s="17"/>
      <c r="AB163" s="40"/>
      <c r="AC163" s="17"/>
      <c r="AD163" s="45" t="str">
        <f aca="false">IF(OR(E163="",AB163="",OR(AA163="Contract signed + paid",AA163="Closed – No response",AA163="Lost"),N(AC163)&gt;=Settings!$S$3),"",AB163+Settings!$S$2)</f>
        <v/>
      </c>
      <c r="AE163" s="40"/>
      <c r="AF163" s="41"/>
      <c r="AG163" s="17"/>
      <c r="AH163" s="17"/>
      <c r="AI163" s="17"/>
      <c r="AJ163" s="46" t="str">
        <f aca="true">IF(OR(E163="",B163=""),"",INT(TODAY()-B163))</f>
        <v/>
      </c>
      <c r="AK163" s="44" t="str">
        <f aca="true">IF(E163="","",IF(OR(COUNTIFS(Clients!$C$2:$C$501,E163,Clients!$S$2:$S$501,"Paid")&gt;0,AND(I163&lt;&gt;"",COUNTIFS(Clients!$E$2:$E$501,I163,Clients!$S$2:$S$501,"Paid")&gt;0)),"⚠ Refunded before – no free video",IF(OR(AA163="Contract signed + paid",AA163="Closed – No response",AA163="Lost"),"",IF(AA163="","Set a stage",IF(AND(AA163="Proposal sent",COUNTA(Q163:V163)&lt;6),"Score this lead – proposal sent unscored",IF(N(AC163)&gt;=Settings!$S$3,"Close – 4 follow-ups sent",IF(AD163="",IF(AB163="","Make first contact",""),IF(TODAY()&gt;AD163,"OVERDUE follow-up",IF(TODAY()=AD163,"Follow up today","")))))))))</f>
        <v/>
      </c>
    </row>
    <row r="164" customFormat="false" ht="15" hidden="false" customHeight="false" outlineLevel="0" collapsed="false">
      <c r="A164" s="17"/>
      <c r="B164" s="40"/>
      <c r="C164" s="41"/>
      <c r="D164" s="17"/>
      <c r="E164" s="17"/>
      <c r="F164" s="17"/>
      <c r="G164" s="17"/>
      <c r="H164" s="17"/>
      <c r="I164" s="42"/>
      <c r="J164" s="17"/>
      <c r="K164" s="17"/>
      <c r="L164" s="17"/>
      <c r="M164" s="17"/>
      <c r="N164" s="40"/>
      <c r="O164" s="41"/>
      <c r="P164" s="43" t="str">
        <f aca="false">IF(OR(B164="",N164=""),"",ROUND(((N164+N(O164))-(B164+N(C164)))*24,1))</f>
        <v/>
      </c>
      <c r="Q164" s="17"/>
      <c r="R164" s="17"/>
      <c r="S164" s="17"/>
      <c r="T164" s="17"/>
      <c r="U164" s="17"/>
      <c r="V164" s="17"/>
      <c r="W164" s="44" t="str">
        <f aca="false">IF(OR(E164="",COUNTA(Q164:V164)=0),"",SUMIFS(Settings!$AA$2:$AA$21,Settings!$Y$2:$Y$21,"Budget AED 5k+/mo?",Settings!$Z$2:$Z$21,Q164)+SUMIFS(Settings!$AA$2:$AA$21,Settings!$Y$2:$Y$21,"Decision-maker?",Settings!$Z$2:$Z$21,R164)+SUMIFS(Settings!$AA$2:$AA$21,Settings!$Y$2:$Y$21,"Someone on camera?",Settings!$Z$2:$Z$21,S164)+SUMIFS(Settings!$AA$2:$AA$21,Settings!$Y$2:$Y$21,"OK with 3-month term?",Settings!$Z$2:$Z$21,T164)+SUMIFS(Settings!$AA$2:$AA$21,Settings!$Y$2:$Y$21,"Start timeline",Settings!$Z$2:$Z$21,U164)+SUMIFS(Settings!$AA$2:$AA$21,Settings!$Y$2:$Y$21,"Social media gap",Settings!$Z$2:$Z$21,V164)+IF(F164="",0,IF(COUNTIF(Settings!$AC$2:$AC$6,F164)&gt;0,Settings!$AA$20,Settings!$AA$21)))</f>
        <v/>
      </c>
      <c r="X164" s="44" t="str">
        <f aca="false">IF(E164="","",IF(COUNTA(Q164:V164)=0,"Not scored",IF(COUNTA(Q164:V164)&lt;6,"Partly scored ("&amp;COUNTA(Q164:V164)&amp;"/6)",IF(W164&gt;=Settings!$S$8,"Hot",IF(W164&gt;=Settings!$S$9,"Warm","Cold")))))</f>
        <v/>
      </c>
      <c r="Y164" s="44" t="str">
        <f aca="false">IF(E164="","",IF(AND(Q164="No",S164="No"),"🚩 Budget  ·  🚩 No one on camera",IF(Q164="No","🚩 Budget under AED 5k",IF(S164="No","🚩 No one on camera",""))))</f>
        <v/>
      </c>
      <c r="Z164" s="17"/>
      <c r="AA164" s="17"/>
      <c r="AB164" s="40"/>
      <c r="AC164" s="17"/>
      <c r="AD164" s="45" t="str">
        <f aca="false">IF(OR(E164="",AB164="",OR(AA164="Contract signed + paid",AA164="Closed – No response",AA164="Lost"),N(AC164)&gt;=Settings!$S$3),"",AB164+Settings!$S$2)</f>
        <v/>
      </c>
      <c r="AE164" s="40"/>
      <c r="AF164" s="41"/>
      <c r="AG164" s="17"/>
      <c r="AH164" s="17"/>
      <c r="AI164" s="17"/>
      <c r="AJ164" s="46" t="str">
        <f aca="true">IF(OR(E164="",B164=""),"",INT(TODAY()-B164))</f>
        <v/>
      </c>
      <c r="AK164" s="44" t="str">
        <f aca="true">IF(E164="","",IF(OR(COUNTIFS(Clients!$C$2:$C$501,E164,Clients!$S$2:$S$501,"Paid")&gt;0,AND(I164&lt;&gt;"",COUNTIFS(Clients!$E$2:$E$501,I164,Clients!$S$2:$S$501,"Paid")&gt;0)),"⚠ Refunded before – no free video",IF(OR(AA164="Contract signed + paid",AA164="Closed – No response",AA164="Lost"),"",IF(AA164="","Set a stage",IF(AND(AA164="Proposal sent",COUNTA(Q164:V164)&lt;6),"Score this lead – proposal sent unscored",IF(N(AC164)&gt;=Settings!$S$3,"Close – 4 follow-ups sent",IF(AD164="",IF(AB164="","Make first contact",""),IF(TODAY()&gt;AD164,"OVERDUE follow-up",IF(TODAY()=AD164,"Follow up today","")))))))))</f>
        <v/>
      </c>
    </row>
    <row r="165" customFormat="false" ht="15" hidden="false" customHeight="false" outlineLevel="0" collapsed="false">
      <c r="A165" s="17"/>
      <c r="B165" s="40"/>
      <c r="C165" s="41"/>
      <c r="D165" s="17"/>
      <c r="E165" s="17"/>
      <c r="F165" s="17"/>
      <c r="G165" s="17"/>
      <c r="H165" s="17"/>
      <c r="I165" s="42"/>
      <c r="J165" s="17"/>
      <c r="K165" s="17"/>
      <c r="L165" s="17"/>
      <c r="M165" s="17"/>
      <c r="N165" s="40"/>
      <c r="O165" s="41"/>
      <c r="P165" s="43" t="str">
        <f aca="false">IF(OR(B165="",N165=""),"",ROUND(((N165+N(O165))-(B165+N(C165)))*24,1))</f>
        <v/>
      </c>
      <c r="Q165" s="17"/>
      <c r="R165" s="17"/>
      <c r="S165" s="17"/>
      <c r="T165" s="17"/>
      <c r="U165" s="17"/>
      <c r="V165" s="17"/>
      <c r="W165" s="44" t="str">
        <f aca="false">IF(OR(E165="",COUNTA(Q165:V165)=0),"",SUMIFS(Settings!$AA$2:$AA$21,Settings!$Y$2:$Y$21,"Budget AED 5k+/mo?",Settings!$Z$2:$Z$21,Q165)+SUMIFS(Settings!$AA$2:$AA$21,Settings!$Y$2:$Y$21,"Decision-maker?",Settings!$Z$2:$Z$21,R165)+SUMIFS(Settings!$AA$2:$AA$21,Settings!$Y$2:$Y$21,"Someone on camera?",Settings!$Z$2:$Z$21,S165)+SUMIFS(Settings!$AA$2:$AA$21,Settings!$Y$2:$Y$21,"OK with 3-month term?",Settings!$Z$2:$Z$21,T165)+SUMIFS(Settings!$AA$2:$AA$21,Settings!$Y$2:$Y$21,"Start timeline",Settings!$Z$2:$Z$21,U165)+SUMIFS(Settings!$AA$2:$AA$21,Settings!$Y$2:$Y$21,"Social media gap",Settings!$Z$2:$Z$21,V165)+IF(F165="",0,IF(COUNTIF(Settings!$AC$2:$AC$6,F165)&gt;0,Settings!$AA$20,Settings!$AA$21)))</f>
        <v/>
      </c>
      <c r="X165" s="44" t="str">
        <f aca="false">IF(E165="","",IF(COUNTA(Q165:V165)=0,"Not scored",IF(COUNTA(Q165:V165)&lt;6,"Partly scored ("&amp;COUNTA(Q165:V165)&amp;"/6)",IF(W165&gt;=Settings!$S$8,"Hot",IF(W165&gt;=Settings!$S$9,"Warm","Cold")))))</f>
        <v/>
      </c>
      <c r="Y165" s="44" t="str">
        <f aca="false">IF(E165="","",IF(AND(Q165="No",S165="No"),"🚩 Budget  ·  🚩 No one on camera",IF(Q165="No","🚩 Budget under AED 5k",IF(S165="No","🚩 No one on camera",""))))</f>
        <v/>
      </c>
      <c r="Z165" s="17"/>
      <c r="AA165" s="17"/>
      <c r="AB165" s="40"/>
      <c r="AC165" s="17"/>
      <c r="AD165" s="45" t="str">
        <f aca="false">IF(OR(E165="",AB165="",OR(AA165="Contract signed + paid",AA165="Closed – No response",AA165="Lost"),N(AC165)&gt;=Settings!$S$3),"",AB165+Settings!$S$2)</f>
        <v/>
      </c>
      <c r="AE165" s="40"/>
      <c r="AF165" s="41"/>
      <c r="AG165" s="17"/>
      <c r="AH165" s="17"/>
      <c r="AI165" s="17"/>
      <c r="AJ165" s="46" t="str">
        <f aca="true">IF(OR(E165="",B165=""),"",INT(TODAY()-B165))</f>
        <v/>
      </c>
      <c r="AK165" s="44" t="str">
        <f aca="true">IF(E165="","",IF(OR(COUNTIFS(Clients!$C$2:$C$501,E165,Clients!$S$2:$S$501,"Paid")&gt;0,AND(I165&lt;&gt;"",COUNTIFS(Clients!$E$2:$E$501,I165,Clients!$S$2:$S$501,"Paid")&gt;0)),"⚠ Refunded before – no free video",IF(OR(AA165="Contract signed + paid",AA165="Closed – No response",AA165="Lost"),"",IF(AA165="","Set a stage",IF(AND(AA165="Proposal sent",COUNTA(Q165:V165)&lt;6),"Score this lead – proposal sent unscored",IF(N(AC165)&gt;=Settings!$S$3,"Close – 4 follow-ups sent",IF(AD165="",IF(AB165="","Make first contact",""),IF(TODAY()&gt;AD165,"OVERDUE follow-up",IF(TODAY()=AD165,"Follow up today","")))))))))</f>
        <v/>
      </c>
    </row>
    <row r="166" customFormat="false" ht="15" hidden="false" customHeight="false" outlineLevel="0" collapsed="false">
      <c r="A166" s="17"/>
      <c r="B166" s="40"/>
      <c r="C166" s="41"/>
      <c r="D166" s="17"/>
      <c r="E166" s="17"/>
      <c r="F166" s="17"/>
      <c r="G166" s="17"/>
      <c r="H166" s="17"/>
      <c r="I166" s="42"/>
      <c r="J166" s="17"/>
      <c r="K166" s="17"/>
      <c r="L166" s="17"/>
      <c r="M166" s="17"/>
      <c r="N166" s="40"/>
      <c r="O166" s="41"/>
      <c r="P166" s="43" t="str">
        <f aca="false">IF(OR(B166="",N166=""),"",ROUND(((N166+N(O166))-(B166+N(C166)))*24,1))</f>
        <v/>
      </c>
      <c r="Q166" s="17"/>
      <c r="R166" s="17"/>
      <c r="S166" s="17"/>
      <c r="T166" s="17"/>
      <c r="U166" s="17"/>
      <c r="V166" s="17"/>
      <c r="W166" s="44" t="str">
        <f aca="false">IF(OR(E166="",COUNTA(Q166:V166)=0),"",SUMIFS(Settings!$AA$2:$AA$21,Settings!$Y$2:$Y$21,"Budget AED 5k+/mo?",Settings!$Z$2:$Z$21,Q166)+SUMIFS(Settings!$AA$2:$AA$21,Settings!$Y$2:$Y$21,"Decision-maker?",Settings!$Z$2:$Z$21,R166)+SUMIFS(Settings!$AA$2:$AA$21,Settings!$Y$2:$Y$21,"Someone on camera?",Settings!$Z$2:$Z$21,S166)+SUMIFS(Settings!$AA$2:$AA$21,Settings!$Y$2:$Y$21,"OK with 3-month term?",Settings!$Z$2:$Z$21,T166)+SUMIFS(Settings!$AA$2:$AA$21,Settings!$Y$2:$Y$21,"Start timeline",Settings!$Z$2:$Z$21,U166)+SUMIFS(Settings!$AA$2:$AA$21,Settings!$Y$2:$Y$21,"Social media gap",Settings!$Z$2:$Z$21,V166)+IF(F166="",0,IF(COUNTIF(Settings!$AC$2:$AC$6,F166)&gt;0,Settings!$AA$20,Settings!$AA$21)))</f>
        <v/>
      </c>
      <c r="X166" s="44" t="str">
        <f aca="false">IF(E166="","",IF(COUNTA(Q166:V166)=0,"Not scored",IF(COUNTA(Q166:V166)&lt;6,"Partly scored ("&amp;COUNTA(Q166:V166)&amp;"/6)",IF(W166&gt;=Settings!$S$8,"Hot",IF(W166&gt;=Settings!$S$9,"Warm","Cold")))))</f>
        <v/>
      </c>
      <c r="Y166" s="44" t="str">
        <f aca="false">IF(E166="","",IF(AND(Q166="No",S166="No"),"🚩 Budget  ·  🚩 No one on camera",IF(Q166="No","🚩 Budget under AED 5k",IF(S166="No","🚩 No one on camera",""))))</f>
        <v/>
      </c>
      <c r="Z166" s="17"/>
      <c r="AA166" s="17"/>
      <c r="AB166" s="40"/>
      <c r="AC166" s="17"/>
      <c r="AD166" s="45" t="str">
        <f aca="false">IF(OR(E166="",AB166="",OR(AA166="Contract signed + paid",AA166="Closed – No response",AA166="Lost"),N(AC166)&gt;=Settings!$S$3),"",AB166+Settings!$S$2)</f>
        <v/>
      </c>
      <c r="AE166" s="40"/>
      <c r="AF166" s="41"/>
      <c r="AG166" s="17"/>
      <c r="AH166" s="17"/>
      <c r="AI166" s="17"/>
      <c r="AJ166" s="46" t="str">
        <f aca="true">IF(OR(E166="",B166=""),"",INT(TODAY()-B166))</f>
        <v/>
      </c>
      <c r="AK166" s="44" t="str">
        <f aca="true">IF(E166="","",IF(OR(COUNTIFS(Clients!$C$2:$C$501,E166,Clients!$S$2:$S$501,"Paid")&gt;0,AND(I166&lt;&gt;"",COUNTIFS(Clients!$E$2:$E$501,I166,Clients!$S$2:$S$501,"Paid")&gt;0)),"⚠ Refunded before – no free video",IF(OR(AA166="Contract signed + paid",AA166="Closed – No response",AA166="Lost"),"",IF(AA166="","Set a stage",IF(AND(AA166="Proposal sent",COUNTA(Q166:V166)&lt;6),"Score this lead – proposal sent unscored",IF(N(AC166)&gt;=Settings!$S$3,"Close – 4 follow-ups sent",IF(AD166="",IF(AB166="","Make first contact",""),IF(TODAY()&gt;AD166,"OVERDUE follow-up",IF(TODAY()=AD166,"Follow up today","")))))))))</f>
        <v/>
      </c>
    </row>
    <row r="167" customFormat="false" ht="15" hidden="false" customHeight="false" outlineLevel="0" collapsed="false">
      <c r="A167" s="17"/>
      <c r="B167" s="40"/>
      <c r="C167" s="41"/>
      <c r="D167" s="17"/>
      <c r="E167" s="17"/>
      <c r="F167" s="17"/>
      <c r="G167" s="17"/>
      <c r="H167" s="17"/>
      <c r="I167" s="42"/>
      <c r="J167" s="17"/>
      <c r="K167" s="17"/>
      <c r="L167" s="17"/>
      <c r="M167" s="17"/>
      <c r="N167" s="40"/>
      <c r="O167" s="41"/>
      <c r="P167" s="43" t="str">
        <f aca="false">IF(OR(B167="",N167=""),"",ROUND(((N167+N(O167))-(B167+N(C167)))*24,1))</f>
        <v/>
      </c>
      <c r="Q167" s="17"/>
      <c r="R167" s="17"/>
      <c r="S167" s="17"/>
      <c r="T167" s="17"/>
      <c r="U167" s="17"/>
      <c r="V167" s="17"/>
      <c r="W167" s="44" t="str">
        <f aca="false">IF(OR(E167="",COUNTA(Q167:V167)=0),"",SUMIFS(Settings!$AA$2:$AA$21,Settings!$Y$2:$Y$21,"Budget AED 5k+/mo?",Settings!$Z$2:$Z$21,Q167)+SUMIFS(Settings!$AA$2:$AA$21,Settings!$Y$2:$Y$21,"Decision-maker?",Settings!$Z$2:$Z$21,R167)+SUMIFS(Settings!$AA$2:$AA$21,Settings!$Y$2:$Y$21,"Someone on camera?",Settings!$Z$2:$Z$21,S167)+SUMIFS(Settings!$AA$2:$AA$21,Settings!$Y$2:$Y$21,"OK with 3-month term?",Settings!$Z$2:$Z$21,T167)+SUMIFS(Settings!$AA$2:$AA$21,Settings!$Y$2:$Y$21,"Start timeline",Settings!$Z$2:$Z$21,U167)+SUMIFS(Settings!$AA$2:$AA$21,Settings!$Y$2:$Y$21,"Social media gap",Settings!$Z$2:$Z$21,V167)+IF(F167="",0,IF(COUNTIF(Settings!$AC$2:$AC$6,F167)&gt;0,Settings!$AA$20,Settings!$AA$21)))</f>
        <v/>
      </c>
      <c r="X167" s="44" t="str">
        <f aca="false">IF(E167="","",IF(COUNTA(Q167:V167)=0,"Not scored",IF(COUNTA(Q167:V167)&lt;6,"Partly scored ("&amp;COUNTA(Q167:V167)&amp;"/6)",IF(W167&gt;=Settings!$S$8,"Hot",IF(W167&gt;=Settings!$S$9,"Warm","Cold")))))</f>
        <v/>
      </c>
      <c r="Y167" s="44" t="str">
        <f aca="false">IF(E167="","",IF(AND(Q167="No",S167="No"),"🚩 Budget  ·  🚩 No one on camera",IF(Q167="No","🚩 Budget under AED 5k",IF(S167="No","🚩 No one on camera",""))))</f>
        <v/>
      </c>
      <c r="Z167" s="17"/>
      <c r="AA167" s="17"/>
      <c r="AB167" s="40"/>
      <c r="AC167" s="17"/>
      <c r="AD167" s="45" t="str">
        <f aca="false">IF(OR(E167="",AB167="",OR(AA167="Contract signed + paid",AA167="Closed – No response",AA167="Lost"),N(AC167)&gt;=Settings!$S$3),"",AB167+Settings!$S$2)</f>
        <v/>
      </c>
      <c r="AE167" s="40"/>
      <c r="AF167" s="41"/>
      <c r="AG167" s="17"/>
      <c r="AH167" s="17"/>
      <c r="AI167" s="17"/>
      <c r="AJ167" s="46" t="str">
        <f aca="true">IF(OR(E167="",B167=""),"",INT(TODAY()-B167))</f>
        <v/>
      </c>
      <c r="AK167" s="44" t="str">
        <f aca="true">IF(E167="","",IF(OR(COUNTIFS(Clients!$C$2:$C$501,E167,Clients!$S$2:$S$501,"Paid")&gt;0,AND(I167&lt;&gt;"",COUNTIFS(Clients!$E$2:$E$501,I167,Clients!$S$2:$S$501,"Paid")&gt;0)),"⚠ Refunded before – no free video",IF(OR(AA167="Contract signed + paid",AA167="Closed – No response",AA167="Lost"),"",IF(AA167="","Set a stage",IF(AND(AA167="Proposal sent",COUNTA(Q167:V167)&lt;6),"Score this lead – proposal sent unscored",IF(N(AC167)&gt;=Settings!$S$3,"Close – 4 follow-ups sent",IF(AD167="",IF(AB167="","Make first contact",""),IF(TODAY()&gt;AD167,"OVERDUE follow-up",IF(TODAY()=AD167,"Follow up today","")))))))))</f>
        <v/>
      </c>
    </row>
    <row r="168" customFormat="false" ht="15" hidden="false" customHeight="false" outlineLevel="0" collapsed="false">
      <c r="A168" s="17"/>
      <c r="B168" s="40"/>
      <c r="C168" s="41"/>
      <c r="D168" s="17"/>
      <c r="E168" s="17"/>
      <c r="F168" s="17"/>
      <c r="G168" s="17"/>
      <c r="H168" s="17"/>
      <c r="I168" s="42"/>
      <c r="J168" s="17"/>
      <c r="K168" s="17"/>
      <c r="L168" s="17"/>
      <c r="M168" s="17"/>
      <c r="N168" s="40"/>
      <c r="O168" s="41"/>
      <c r="P168" s="43" t="str">
        <f aca="false">IF(OR(B168="",N168=""),"",ROUND(((N168+N(O168))-(B168+N(C168)))*24,1))</f>
        <v/>
      </c>
      <c r="Q168" s="17"/>
      <c r="R168" s="17"/>
      <c r="S168" s="17"/>
      <c r="T168" s="17"/>
      <c r="U168" s="17"/>
      <c r="V168" s="17"/>
      <c r="W168" s="44" t="str">
        <f aca="false">IF(OR(E168="",COUNTA(Q168:V168)=0),"",SUMIFS(Settings!$AA$2:$AA$21,Settings!$Y$2:$Y$21,"Budget AED 5k+/mo?",Settings!$Z$2:$Z$21,Q168)+SUMIFS(Settings!$AA$2:$AA$21,Settings!$Y$2:$Y$21,"Decision-maker?",Settings!$Z$2:$Z$21,R168)+SUMIFS(Settings!$AA$2:$AA$21,Settings!$Y$2:$Y$21,"Someone on camera?",Settings!$Z$2:$Z$21,S168)+SUMIFS(Settings!$AA$2:$AA$21,Settings!$Y$2:$Y$21,"OK with 3-month term?",Settings!$Z$2:$Z$21,T168)+SUMIFS(Settings!$AA$2:$AA$21,Settings!$Y$2:$Y$21,"Start timeline",Settings!$Z$2:$Z$21,U168)+SUMIFS(Settings!$AA$2:$AA$21,Settings!$Y$2:$Y$21,"Social media gap",Settings!$Z$2:$Z$21,V168)+IF(F168="",0,IF(COUNTIF(Settings!$AC$2:$AC$6,F168)&gt;0,Settings!$AA$20,Settings!$AA$21)))</f>
        <v/>
      </c>
      <c r="X168" s="44" t="str">
        <f aca="false">IF(E168="","",IF(COUNTA(Q168:V168)=0,"Not scored",IF(COUNTA(Q168:V168)&lt;6,"Partly scored ("&amp;COUNTA(Q168:V168)&amp;"/6)",IF(W168&gt;=Settings!$S$8,"Hot",IF(W168&gt;=Settings!$S$9,"Warm","Cold")))))</f>
        <v/>
      </c>
      <c r="Y168" s="44" t="str">
        <f aca="false">IF(E168="","",IF(AND(Q168="No",S168="No"),"🚩 Budget  ·  🚩 No one on camera",IF(Q168="No","🚩 Budget under AED 5k",IF(S168="No","🚩 No one on camera",""))))</f>
        <v/>
      </c>
      <c r="Z168" s="17"/>
      <c r="AA168" s="17"/>
      <c r="AB168" s="40"/>
      <c r="AC168" s="17"/>
      <c r="AD168" s="45" t="str">
        <f aca="false">IF(OR(E168="",AB168="",OR(AA168="Contract signed + paid",AA168="Closed – No response",AA168="Lost"),N(AC168)&gt;=Settings!$S$3),"",AB168+Settings!$S$2)</f>
        <v/>
      </c>
      <c r="AE168" s="40"/>
      <c r="AF168" s="41"/>
      <c r="AG168" s="17"/>
      <c r="AH168" s="17"/>
      <c r="AI168" s="17"/>
      <c r="AJ168" s="46" t="str">
        <f aca="true">IF(OR(E168="",B168=""),"",INT(TODAY()-B168))</f>
        <v/>
      </c>
      <c r="AK168" s="44" t="str">
        <f aca="true">IF(E168="","",IF(OR(COUNTIFS(Clients!$C$2:$C$501,E168,Clients!$S$2:$S$501,"Paid")&gt;0,AND(I168&lt;&gt;"",COUNTIFS(Clients!$E$2:$E$501,I168,Clients!$S$2:$S$501,"Paid")&gt;0)),"⚠ Refunded before – no free video",IF(OR(AA168="Contract signed + paid",AA168="Closed – No response",AA168="Lost"),"",IF(AA168="","Set a stage",IF(AND(AA168="Proposal sent",COUNTA(Q168:V168)&lt;6),"Score this lead – proposal sent unscored",IF(N(AC168)&gt;=Settings!$S$3,"Close – 4 follow-ups sent",IF(AD168="",IF(AB168="","Make first contact",""),IF(TODAY()&gt;AD168,"OVERDUE follow-up",IF(TODAY()=AD168,"Follow up today","")))))))))</f>
        <v/>
      </c>
    </row>
    <row r="169" customFormat="false" ht="15" hidden="false" customHeight="false" outlineLevel="0" collapsed="false">
      <c r="A169" s="17"/>
      <c r="B169" s="40"/>
      <c r="C169" s="41"/>
      <c r="D169" s="17"/>
      <c r="E169" s="17"/>
      <c r="F169" s="17"/>
      <c r="G169" s="17"/>
      <c r="H169" s="17"/>
      <c r="I169" s="42"/>
      <c r="J169" s="17"/>
      <c r="K169" s="17"/>
      <c r="L169" s="17"/>
      <c r="M169" s="17"/>
      <c r="N169" s="40"/>
      <c r="O169" s="41"/>
      <c r="P169" s="43" t="str">
        <f aca="false">IF(OR(B169="",N169=""),"",ROUND(((N169+N(O169))-(B169+N(C169)))*24,1))</f>
        <v/>
      </c>
      <c r="Q169" s="17"/>
      <c r="R169" s="17"/>
      <c r="S169" s="17"/>
      <c r="T169" s="17"/>
      <c r="U169" s="17"/>
      <c r="V169" s="17"/>
      <c r="W169" s="44" t="str">
        <f aca="false">IF(OR(E169="",COUNTA(Q169:V169)=0),"",SUMIFS(Settings!$AA$2:$AA$21,Settings!$Y$2:$Y$21,"Budget AED 5k+/mo?",Settings!$Z$2:$Z$21,Q169)+SUMIFS(Settings!$AA$2:$AA$21,Settings!$Y$2:$Y$21,"Decision-maker?",Settings!$Z$2:$Z$21,R169)+SUMIFS(Settings!$AA$2:$AA$21,Settings!$Y$2:$Y$21,"Someone on camera?",Settings!$Z$2:$Z$21,S169)+SUMIFS(Settings!$AA$2:$AA$21,Settings!$Y$2:$Y$21,"OK with 3-month term?",Settings!$Z$2:$Z$21,T169)+SUMIFS(Settings!$AA$2:$AA$21,Settings!$Y$2:$Y$21,"Start timeline",Settings!$Z$2:$Z$21,U169)+SUMIFS(Settings!$AA$2:$AA$21,Settings!$Y$2:$Y$21,"Social media gap",Settings!$Z$2:$Z$21,V169)+IF(F169="",0,IF(COUNTIF(Settings!$AC$2:$AC$6,F169)&gt;0,Settings!$AA$20,Settings!$AA$21)))</f>
        <v/>
      </c>
      <c r="X169" s="44" t="str">
        <f aca="false">IF(E169="","",IF(COUNTA(Q169:V169)=0,"Not scored",IF(COUNTA(Q169:V169)&lt;6,"Partly scored ("&amp;COUNTA(Q169:V169)&amp;"/6)",IF(W169&gt;=Settings!$S$8,"Hot",IF(W169&gt;=Settings!$S$9,"Warm","Cold")))))</f>
        <v/>
      </c>
      <c r="Y169" s="44" t="str">
        <f aca="false">IF(E169="","",IF(AND(Q169="No",S169="No"),"🚩 Budget  ·  🚩 No one on camera",IF(Q169="No","🚩 Budget under AED 5k",IF(S169="No","🚩 No one on camera",""))))</f>
        <v/>
      </c>
      <c r="Z169" s="17"/>
      <c r="AA169" s="17"/>
      <c r="AB169" s="40"/>
      <c r="AC169" s="17"/>
      <c r="AD169" s="45" t="str">
        <f aca="false">IF(OR(E169="",AB169="",OR(AA169="Contract signed + paid",AA169="Closed – No response",AA169="Lost"),N(AC169)&gt;=Settings!$S$3),"",AB169+Settings!$S$2)</f>
        <v/>
      </c>
      <c r="AE169" s="40"/>
      <c r="AF169" s="41"/>
      <c r="AG169" s="17"/>
      <c r="AH169" s="17"/>
      <c r="AI169" s="17"/>
      <c r="AJ169" s="46" t="str">
        <f aca="true">IF(OR(E169="",B169=""),"",INT(TODAY()-B169))</f>
        <v/>
      </c>
      <c r="AK169" s="44" t="str">
        <f aca="true">IF(E169="","",IF(OR(COUNTIFS(Clients!$C$2:$C$501,E169,Clients!$S$2:$S$501,"Paid")&gt;0,AND(I169&lt;&gt;"",COUNTIFS(Clients!$E$2:$E$501,I169,Clients!$S$2:$S$501,"Paid")&gt;0)),"⚠ Refunded before – no free video",IF(OR(AA169="Contract signed + paid",AA169="Closed – No response",AA169="Lost"),"",IF(AA169="","Set a stage",IF(AND(AA169="Proposal sent",COUNTA(Q169:V169)&lt;6),"Score this lead – proposal sent unscored",IF(N(AC169)&gt;=Settings!$S$3,"Close – 4 follow-ups sent",IF(AD169="",IF(AB169="","Make first contact",""),IF(TODAY()&gt;AD169,"OVERDUE follow-up",IF(TODAY()=AD169,"Follow up today","")))))))))</f>
        <v/>
      </c>
    </row>
    <row r="170" customFormat="false" ht="15" hidden="false" customHeight="false" outlineLevel="0" collapsed="false">
      <c r="A170" s="17"/>
      <c r="B170" s="40"/>
      <c r="C170" s="41"/>
      <c r="D170" s="17"/>
      <c r="E170" s="17"/>
      <c r="F170" s="17"/>
      <c r="G170" s="17"/>
      <c r="H170" s="17"/>
      <c r="I170" s="42"/>
      <c r="J170" s="17"/>
      <c r="K170" s="17"/>
      <c r="L170" s="17"/>
      <c r="M170" s="17"/>
      <c r="N170" s="40"/>
      <c r="O170" s="41"/>
      <c r="P170" s="43" t="str">
        <f aca="false">IF(OR(B170="",N170=""),"",ROUND(((N170+N(O170))-(B170+N(C170)))*24,1))</f>
        <v/>
      </c>
      <c r="Q170" s="17"/>
      <c r="R170" s="17"/>
      <c r="S170" s="17"/>
      <c r="T170" s="17"/>
      <c r="U170" s="17"/>
      <c r="V170" s="17"/>
      <c r="W170" s="44" t="str">
        <f aca="false">IF(OR(E170="",COUNTA(Q170:V170)=0),"",SUMIFS(Settings!$AA$2:$AA$21,Settings!$Y$2:$Y$21,"Budget AED 5k+/mo?",Settings!$Z$2:$Z$21,Q170)+SUMIFS(Settings!$AA$2:$AA$21,Settings!$Y$2:$Y$21,"Decision-maker?",Settings!$Z$2:$Z$21,R170)+SUMIFS(Settings!$AA$2:$AA$21,Settings!$Y$2:$Y$21,"Someone on camera?",Settings!$Z$2:$Z$21,S170)+SUMIFS(Settings!$AA$2:$AA$21,Settings!$Y$2:$Y$21,"OK with 3-month term?",Settings!$Z$2:$Z$21,T170)+SUMIFS(Settings!$AA$2:$AA$21,Settings!$Y$2:$Y$21,"Start timeline",Settings!$Z$2:$Z$21,U170)+SUMIFS(Settings!$AA$2:$AA$21,Settings!$Y$2:$Y$21,"Social media gap",Settings!$Z$2:$Z$21,V170)+IF(F170="",0,IF(COUNTIF(Settings!$AC$2:$AC$6,F170)&gt;0,Settings!$AA$20,Settings!$AA$21)))</f>
        <v/>
      </c>
      <c r="X170" s="44" t="str">
        <f aca="false">IF(E170="","",IF(COUNTA(Q170:V170)=0,"Not scored",IF(COUNTA(Q170:V170)&lt;6,"Partly scored ("&amp;COUNTA(Q170:V170)&amp;"/6)",IF(W170&gt;=Settings!$S$8,"Hot",IF(W170&gt;=Settings!$S$9,"Warm","Cold")))))</f>
        <v/>
      </c>
      <c r="Y170" s="44" t="str">
        <f aca="false">IF(E170="","",IF(AND(Q170="No",S170="No"),"🚩 Budget  ·  🚩 No one on camera",IF(Q170="No","🚩 Budget under AED 5k",IF(S170="No","🚩 No one on camera",""))))</f>
        <v/>
      </c>
      <c r="Z170" s="17"/>
      <c r="AA170" s="17"/>
      <c r="AB170" s="40"/>
      <c r="AC170" s="17"/>
      <c r="AD170" s="45" t="str">
        <f aca="false">IF(OR(E170="",AB170="",OR(AA170="Contract signed + paid",AA170="Closed – No response",AA170="Lost"),N(AC170)&gt;=Settings!$S$3),"",AB170+Settings!$S$2)</f>
        <v/>
      </c>
      <c r="AE170" s="40"/>
      <c r="AF170" s="41"/>
      <c r="AG170" s="17"/>
      <c r="AH170" s="17"/>
      <c r="AI170" s="17"/>
      <c r="AJ170" s="46" t="str">
        <f aca="true">IF(OR(E170="",B170=""),"",INT(TODAY()-B170))</f>
        <v/>
      </c>
      <c r="AK170" s="44" t="str">
        <f aca="true">IF(E170="","",IF(OR(COUNTIFS(Clients!$C$2:$C$501,E170,Clients!$S$2:$S$501,"Paid")&gt;0,AND(I170&lt;&gt;"",COUNTIFS(Clients!$E$2:$E$501,I170,Clients!$S$2:$S$501,"Paid")&gt;0)),"⚠ Refunded before – no free video",IF(OR(AA170="Contract signed + paid",AA170="Closed – No response",AA170="Lost"),"",IF(AA170="","Set a stage",IF(AND(AA170="Proposal sent",COUNTA(Q170:V170)&lt;6),"Score this lead – proposal sent unscored",IF(N(AC170)&gt;=Settings!$S$3,"Close – 4 follow-ups sent",IF(AD170="",IF(AB170="","Make first contact",""),IF(TODAY()&gt;AD170,"OVERDUE follow-up",IF(TODAY()=AD170,"Follow up today","")))))))))</f>
        <v/>
      </c>
    </row>
    <row r="171" customFormat="false" ht="15" hidden="false" customHeight="false" outlineLevel="0" collapsed="false">
      <c r="A171" s="17"/>
      <c r="B171" s="40"/>
      <c r="C171" s="41"/>
      <c r="D171" s="17"/>
      <c r="E171" s="17"/>
      <c r="F171" s="17"/>
      <c r="G171" s="17"/>
      <c r="H171" s="17"/>
      <c r="I171" s="42"/>
      <c r="J171" s="17"/>
      <c r="K171" s="17"/>
      <c r="L171" s="17"/>
      <c r="M171" s="17"/>
      <c r="N171" s="40"/>
      <c r="O171" s="41"/>
      <c r="P171" s="43" t="str">
        <f aca="false">IF(OR(B171="",N171=""),"",ROUND(((N171+N(O171))-(B171+N(C171)))*24,1))</f>
        <v/>
      </c>
      <c r="Q171" s="17"/>
      <c r="R171" s="17"/>
      <c r="S171" s="17"/>
      <c r="T171" s="17"/>
      <c r="U171" s="17"/>
      <c r="V171" s="17"/>
      <c r="W171" s="44" t="str">
        <f aca="false">IF(OR(E171="",COUNTA(Q171:V171)=0),"",SUMIFS(Settings!$AA$2:$AA$21,Settings!$Y$2:$Y$21,"Budget AED 5k+/mo?",Settings!$Z$2:$Z$21,Q171)+SUMIFS(Settings!$AA$2:$AA$21,Settings!$Y$2:$Y$21,"Decision-maker?",Settings!$Z$2:$Z$21,R171)+SUMIFS(Settings!$AA$2:$AA$21,Settings!$Y$2:$Y$21,"Someone on camera?",Settings!$Z$2:$Z$21,S171)+SUMIFS(Settings!$AA$2:$AA$21,Settings!$Y$2:$Y$21,"OK with 3-month term?",Settings!$Z$2:$Z$21,T171)+SUMIFS(Settings!$AA$2:$AA$21,Settings!$Y$2:$Y$21,"Start timeline",Settings!$Z$2:$Z$21,U171)+SUMIFS(Settings!$AA$2:$AA$21,Settings!$Y$2:$Y$21,"Social media gap",Settings!$Z$2:$Z$21,V171)+IF(F171="",0,IF(COUNTIF(Settings!$AC$2:$AC$6,F171)&gt;0,Settings!$AA$20,Settings!$AA$21)))</f>
        <v/>
      </c>
      <c r="X171" s="44" t="str">
        <f aca="false">IF(E171="","",IF(COUNTA(Q171:V171)=0,"Not scored",IF(COUNTA(Q171:V171)&lt;6,"Partly scored ("&amp;COUNTA(Q171:V171)&amp;"/6)",IF(W171&gt;=Settings!$S$8,"Hot",IF(W171&gt;=Settings!$S$9,"Warm","Cold")))))</f>
        <v/>
      </c>
      <c r="Y171" s="44" t="str">
        <f aca="false">IF(E171="","",IF(AND(Q171="No",S171="No"),"🚩 Budget  ·  🚩 No one on camera",IF(Q171="No","🚩 Budget under AED 5k",IF(S171="No","🚩 No one on camera",""))))</f>
        <v/>
      </c>
      <c r="Z171" s="17"/>
      <c r="AA171" s="17"/>
      <c r="AB171" s="40"/>
      <c r="AC171" s="17"/>
      <c r="AD171" s="45" t="str">
        <f aca="false">IF(OR(E171="",AB171="",OR(AA171="Contract signed + paid",AA171="Closed – No response",AA171="Lost"),N(AC171)&gt;=Settings!$S$3),"",AB171+Settings!$S$2)</f>
        <v/>
      </c>
      <c r="AE171" s="40"/>
      <c r="AF171" s="41"/>
      <c r="AG171" s="17"/>
      <c r="AH171" s="17"/>
      <c r="AI171" s="17"/>
      <c r="AJ171" s="46" t="str">
        <f aca="true">IF(OR(E171="",B171=""),"",INT(TODAY()-B171))</f>
        <v/>
      </c>
      <c r="AK171" s="44" t="str">
        <f aca="true">IF(E171="","",IF(OR(COUNTIFS(Clients!$C$2:$C$501,E171,Clients!$S$2:$S$501,"Paid")&gt;0,AND(I171&lt;&gt;"",COUNTIFS(Clients!$E$2:$E$501,I171,Clients!$S$2:$S$501,"Paid")&gt;0)),"⚠ Refunded before – no free video",IF(OR(AA171="Contract signed + paid",AA171="Closed – No response",AA171="Lost"),"",IF(AA171="","Set a stage",IF(AND(AA171="Proposal sent",COUNTA(Q171:V171)&lt;6),"Score this lead – proposal sent unscored",IF(N(AC171)&gt;=Settings!$S$3,"Close – 4 follow-ups sent",IF(AD171="",IF(AB171="","Make first contact",""),IF(TODAY()&gt;AD171,"OVERDUE follow-up",IF(TODAY()=AD171,"Follow up today","")))))))))</f>
        <v/>
      </c>
    </row>
    <row r="172" customFormat="false" ht="15" hidden="false" customHeight="false" outlineLevel="0" collapsed="false">
      <c r="A172" s="17"/>
      <c r="B172" s="40"/>
      <c r="C172" s="41"/>
      <c r="D172" s="17"/>
      <c r="E172" s="17"/>
      <c r="F172" s="17"/>
      <c r="G172" s="17"/>
      <c r="H172" s="17"/>
      <c r="I172" s="42"/>
      <c r="J172" s="17"/>
      <c r="K172" s="17"/>
      <c r="L172" s="17"/>
      <c r="M172" s="17"/>
      <c r="N172" s="40"/>
      <c r="O172" s="41"/>
      <c r="P172" s="43" t="str">
        <f aca="false">IF(OR(B172="",N172=""),"",ROUND(((N172+N(O172))-(B172+N(C172)))*24,1))</f>
        <v/>
      </c>
      <c r="Q172" s="17"/>
      <c r="R172" s="17"/>
      <c r="S172" s="17"/>
      <c r="T172" s="17"/>
      <c r="U172" s="17"/>
      <c r="V172" s="17"/>
      <c r="W172" s="44" t="str">
        <f aca="false">IF(OR(E172="",COUNTA(Q172:V172)=0),"",SUMIFS(Settings!$AA$2:$AA$21,Settings!$Y$2:$Y$21,"Budget AED 5k+/mo?",Settings!$Z$2:$Z$21,Q172)+SUMIFS(Settings!$AA$2:$AA$21,Settings!$Y$2:$Y$21,"Decision-maker?",Settings!$Z$2:$Z$21,R172)+SUMIFS(Settings!$AA$2:$AA$21,Settings!$Y$2:$Y$21,"Someone on camera?",Settings!$Z$2:$Z$21,S172)+SUMIFS(Settings!$AA$2:$AA$21,Settings!$Y$2:$Y$21,"OK with 3-month term?",Settings!$Z$2:$Z$21,T172)+SUMIFS(Settings!$AA$2:$AA$21,Settings!$Y$2:$Y$21,"Start timeline",Settings!$Z$2:$Z$21,U172)+SUMIFS(Settings!$AA$2:$AA$21,Settings!$Y$2:$Y$21,"Social media gap",Settings!$Z$2:$Z$21,V172)+IF(F172="",0,IF(COUNTIF(Settings!$AC$2:$AC$6,F172)&gt;0,Settings!$AA$20,Settings!$AA$21)))</f>
        <v/>
      </c>
      <c r="X172" s="44" t="str">
        <f aca="false">IF(E172="","",IF(COUNTA(Q172:V172)=0,"Not scored",IF(COUNTA(Q172:V172)&lt;6,"Partly scored ("&amp;COUNTA(Q172:V172)&amp;"/6)",IF(W172&gt;=Settings!$S$8,"Hot",IF(W172&gt;=Settings!$S$9,"Warm","Cold")))))</f>
        <v/>
      </c>
      <c r="Y172" s="44" t="str">
        <f aca="false">IF(E172="","",IF(AND(Q172="No",S172="No"),"🚩 Budget  ·  🚩 No one on camera",IF(Q172="No","🚩 Budget under AED 5k",IF(S172="No","🚩 No one on camera",""))))</f>
        <v/>
      </c>
      <c r="Z172" s="17"/>
      <c r="AA172" s="17"/>
      <c r="AB172" s="40"/>
      <c r="AC172" s="17"/>
      <c r="AD172" s="45" t="str">
        <f aca="false">IF(OR(E172="",AB172="",OR(AA172="Contract signed + paid",AA172="Closed – No response",AA172="Lost"),N(AC172)&gt;=Settings!$S$3),"",AB172+Settings!$S$2)</f>
        <v/>
      </c>
      <c r="AE172" s="40"/>
      <c r="AF172" s="41"/>
      <c r="AG172" s="17"/>
      <c r="AH172" s="17"/>
      <c r="AI172" s="17"/>
      <c r="AJ172" s="46" t="str">
        <f aca="true">IF(OR(E172="",B172=""),"",INT(TODAY()-B172))</f>
        <v/>
      </c>
      <c r="AK172" s="44" t="str">
        <f aca="true">IF(E172="","",IF(OR(COUNTIFS(Clients!$C$2:$C$501,E172,Clients!$S$2:$S$501,"Paid")&gt;0,AND(I172&lt;&gt;"",COUNTIFS(Clients!$E$2:$E$501,I172,Clients!$S$2:$S$501,"Paid")&gt;0)),"⚠ Refunded before – no free video",IF(OR(AA172="Contract signed + paid",AA172="Closed – No response",AA172="Lost"),"",IF(AA172="","Set a stage",IF(AND(AA172="Proposal sent",COUNTA(Q172:V172)&lt;6),"Score this lead – proposal sent unscored",IF(N(AC172)&gt;=Settings!$S$3,"Close – 4 follow-ups sent",IF(AD172="",IF(AB172="","Make first contact",""),IF(TODAY()&gt;AD172,"OVERDUE follow-up",IF(TODAY()=AD172,"Follow up today","")))))))))</f>
        <v/>
      </c>
    </row>
    <row r="173" customFormat="false" ht="15" hidden="false" customHeight="false" outlineLevel="0" collapsed="false">
      <c r="A173" s="17"/>
      <c r="B173" s="40"/>
      <c r="C173" s="41"/>
      <c r="D173" s="17"/>
      <c r="E173" s="17"/>
      <c r="F173" s="17"/>
      <c r="G173" s="17"/>
      <c r="H173" s="17"/>
      <c r="I173" s="42"/>
      <c r="J173" s="17"/>
      <c r="K173" s="17"/>
      <c r="L173" s="17"/>
      <c r="M173" s="17"/>
      <c r="N173" s="40"/>
      <c r="O173" s="41"/>
      <c r="P173" s="43" t="str">
        <f aca="false">IF(OR(B173="",N173=""),"",ROUND(((N173+N(O173))-(B173+N(C173)))*24,1))</f>
        <v/>
      </c>
      <c r="Q173" s="17"/>
      <c r="R173" s="17"/>
      <c r="S173" s="17"/>
      <c r="T173" s="17"/>
      <c r="U173" s="17"/>
      <c r="V173" s="17"/>
      <c r="W173" s="44" t="str">
        <f aca="false">IF(OR(E173="",COUNTA(Q173:V173)=0),"",SUMIFS(Settings!$AA$2:$AA$21,Settings!$Y$2:$Y$21,"Budget AED 5k+/mo?",Settings!$Z$2:$Z$21,Q173)+SUMIFS(Settings!$AA$2:$AA$21,Settings!$Y$2:$Y$21,"Decision-maker?",Settings!$Z$2:$Z$21,R173)+SUMIFS(Settings!$AA$2:$AA$21,Settings!$Y$2:$Y$21,"Someone on camera?",Settings!$Z$2:$Z$21,S173)+SUMIFS(Settings!$AA$2:$AA$21,Settings!$Y$2:$Y$21,"OK with 3-month term?",Settings!$Z$2:$Z$21,T173)+SUMIFS(Settings!$AA$2:$AA$21,Settings!$Y$2:$Y$21,"Start timeline",Settings!$Z$2:$Z$21,U173)+SUMIFS(Settings!$AA$2:$AA$21,Settings!$Y$2:$Y$21,"Social media gap",Settings!$Z$2:$Z$21,V173)+IF(F173="",0,IF(COUNTIF(Settings!$AC$2:$AC$6,F173)&gt;0,Settings!$AA$20,Settings!$AA$21)))</f>
        <v/>
      </c>
      <c r="X173" s="44" t="str">
        <f aca="false">IF(E173="","",IF(COUNTA(Q173:V173)=0,"Not scored",IF(COUNTA(Q173:V173)&lt;6,"Partly scored ("&amp;COUNTA(Q173:V173)&amp;"/6)",IF(W173&gt;=Settings!$S$8,"Hot",IF(W173&gt;=Settings!$S$9,"Warm","Cold")))))</f>
        <v/>
      </c>
      <c r="Y173" s="44" t="str">
        <f aca="false">IF(E173="","",IF(AND(Q173="No",S173="No"),"🚩 Budget  ·  🚩 No one on camera",IF(Q173="No","🚩 Budget under AED 5k",IF(S173="No","🚩 No one on camera",""))))</f>
        <v/>
      </c>
      <c r="Z173" s="17"/>
      <c r="AA173" s="17"/>
      <c r="AB173" s="40"/>
      <c r="AC173" s="17"/>
      <c r="AD173" s="45" t="str">
        <f aca="false">IF(OR(E173="",AB173="",OR(AA173="Contract signed + paid",AA173="Closed – No response",AA173="Lost"),N(AC173)&gt;=Settings!$S$3),"",AB173+Settings!$S$2)</f>
        <v/>
      </c>
      <c r="AE173" s="40"/>
      <c r="AF173" s="41"/>
      <c r="AG173" s="17"/>
      <c r="AH173" s="17"/>
      <c r="AI173" s="17"/>
      <c r="AJ173" s="46" t="str">
        <f aca="true">IF(OR(E173="",B173=""),"",INT(TODAY()-B173))</f>
        <v/>
      </c>
      <c r="AK173" s="44" t="str">
        <f aca="true">IF(E173="","",IF(OR(COUNTIFS(Clients!$C$2:$C$501,E173,Clients!$S$2:$S$501,"Paid")&gt;0,AND(I173&lt;&gt;"",COUNTIFS(Clients!$E$2:$E$501,I173,Clients!$S$2:$S$501,"Paid")&gt;0)),"⚠ Refunded before – no free video",IF(OR(AA173="Contract signed + paid",AA173="Closed – No response",AA173="Lost"),"",IF(AA173="","Set a stage",IF(AND(AA173="Proposal sent",COUNTA(Q173:V173)&lt;6),"Score this lead – proposal sent unscored",IF(N(AC173)&gt;=Settings!$S$3,"Close – 4 follow-ups sent",IF(AD173="",IF(AB173="","Make first contact",""),IF(TODAY()&gt;AD173,"OVERDUE follow-up",IF(TODAY()=AD173,"Follow up today","")))))))))</f>
        <v/>
      </c>
    </row>
    <row r="174" customFormat="false" ht="15" hidden="false" customHeight="false" outlineLevel="0" collapsed="false">
      <c r="A174" s="17"/>
      <c r="B174" s="40"/>
      <c r="C174" s="41"/>
      <c r="D174" s="17"/>
      <c r="E174" s="17"/>
      <c r="F174" s="17"/>
      <c r="G174" s="17"/>
      <c r="H174" s="17"/>
      <c r="I174" s="42"/>
      <c r="J174" s="17"/>
      <c r="K174" s="17"/>
      <c r="L174" s="17"/>
      <c r="M174" s="17"/>
      <c r="N174" s="40"/>
      <c r="O174" s="41"/>
      <c r="P174" s="43" t="str">
        <f aca="false">IF(OR(B174="",N174=""),"",ROUND(((N174+N(O174))-(B174+N(C174)))*24,1))</f>
        <v/>
      </c>
      <c r="Q174" s="17"/>
      <c r="R174" s="17"/>
      <c r="S174" s="17"/>
      <c r="T174" s="17"/>
      <c r="U174" s="17"/>
      <c r="V174" s="17"/>
      <c r="W174" s="44" t="str">
        <f aca="false">IF(OR(E174="",COUNTA(Q174:V174)=0),"",SUMIFS(Settings!$AA$2:$AA$21,Settings!$Y$2:$Y$21,"Budget AED 5k+/mo?",Settings!$Z$2:$Z$21,Q174)+SUMIFS(Settings!$AA$2:$AA$21,Settings!$Y$2:$Y$21,"Decision-maker?",Settings!$Z$2:$Z$21,R174)+SUMIFS(Settings!$AA$2:$AA$21,Settings!$Y$2:$Y$21,"Someone on camera?",Settings!$Z$2:$Z$21,S174)+SUMIFS(Settings!$AA$2:$AA$21,Settings!$Y$2:$Y$21,"OK with 3-month term?",Settings!$Z$2:$Z$21,T174)+SUMIFS(Settings!$AA$2:$AA$21,Settings!$Y$2:$Y$21,"Start timeline",Settings!$Z$2:$Z$21,U174)+SUMIFS(Settings!$AA$2:$AA$21,Settings!$Y$2:$Y$21,"Social media gap",Settings!$Z$2:$Z$21,V174)+IF(F174="",0,IF(COUNTIF(Settings!$AC$2:$AC$6,F174)&gt;0,Settings!$AA$20,Settings!$AA$21)))</f>
        <v/>
      </c>
      <c r="X174" s="44" t="str">
        <f aca="false">IF(E174="","",IF(COUNTA(Q174:V174)=0,"Not scored",IF(COUNTA(Q174:V174)&lt;6,"Partly scored ("&amp;COUNTA(Q174:V174)&amp;"/6)",IF(W174&gt;=Settings!$S$8,"Hot",IF(W174&gt;=Settings!$S$9,"Warm","Cold")))))</f>
        <v/>
      </c>
      <c r="Y174" s="44" t="str">
        <f aca="false">IF(E174="","",IF(AND(Q174="No",S174="No"),"🚩 Budget  ·  🚩 No one on camera",IF(Q174="No","🚩 Budget under AED 5k",IF(S174="No","🚩 No one on camera",""))))</f>
        <v/>
      </c>
      <c r="Z174" s="17"/>
      <c r="AA174" s="17"/>
      <c r="AB174" s="40"/>
      <c r="AC174" s="17"/>
      <c r="AD174" s="45" t="str">
        <f aca="false">IF(OR(E174="",AB174="",OR(AA174="Contract signed + paid",AA174="Closed – No response",AA174="Lost"),N(AC174)&gt;=Settings!$S$3),"",AB174+Settings!$S$2)</f>
        <v/>
      </c>
      <c r="AE174" s="40"/>
      <c r="AF174" s="41"/>
      <c r="AG174" s="17"/>
      <c r="AH174" s="17"/>
      <c r="AI174" s="17"/>
      <c r="AJ174" s="46" t="str">
        <f aca="true">IF(OR(E174="",B174=""),"",INT(TODAY()-B174))</f>
        <v/>
      </c>
      <c r="AK174" s="44" t="str">
        <f aca="true">IF(E174="","",IF(OR(COUNTIFS(Clients!$C$2:$C$501,E174,Clients!$S$2:$S$501,"Paid")&gt;0,AND(I174&lt;&gt;"",COUNTIFS(Clients!$E$2:$E$501,I174,Clients!$S$2:$S$501,"Paid")&gt;0)),"⚠ Refunded before – no free video",IF(OR(AA174="Contract signed + paid",AA174="Closed – No response",AA174="Lost"),"",IF(AA174="","Set a stage",IF(AND(AA174="Proposal sent",COUNTA(Q174:V174)&lt;6),"Score this lead – proposal sent unscored",IF(N(AC174)&gt;=Settings!$S$3,"Close – 4 follow-ups sent",IF(AD174="",IF(AB174="","Make first contact",""),IF(TODAY()&gt;AD174,"OVERDUE follow-up",IF(TODAY()=AD174,"Follow up today","")))))))))</f>
        <v/>
      </c>
    </row>
    <row r="175" customFormat="false" ht="15" hidden="false" customHeight="false" outlineLevel="0" collapsed="false">
      <c r="A175" s="17"/>
      <c r="B175" s="40"/>
      <c r="C175" s="41"/>
      <c r="D175" s="17"/>
      <c r="E175" s="17"/>
      <c r="F175" s="17"/>
      <c r="G175" s="17"/>
      <c r="H175" s="17"/>
      <c r="I175" s="42"/>
      <c r="J175" s="17"/>
      <c r="K175" s="17"/>
      <c r="L175" s="17"/>
      <c r="M175" s="17"/>
      <c r="N175" s="40"/>
      <c r="O175" s="41"/>
      <c r="P175" s="43" t="str">
        <f aca="false">IF(OR(B175="",N175=""),"",ROUND(((N175+N(O175))-(B175+N(C175)))*24,1))</f>
        <v/>
      </c>
      <c r="Q175" s="17"/>
      <c r="R175" s="17"/>
      <c r="S175" s="17"/>
      <c r="T175" s="17"/>
      <c r="U175" s="17"/>
      <c r="V175" s="17"/>
      <c r="W175" s="44" t="str">
        <f aca="false">IF(OR(E175="",COUNTA(Q175:V175)=0),"",SUMIFS(Settings!$AA$2:$AA$21,Settings!$Y$2:$Y$21,"Budget AED 5k+/mo?",Settings!$Z$2:$Z$21,Q175)+SUMIFS(Settings!$AA$2:$AA$21,Settings!$Y$2:$Y$21,"Decision-maker?",Settings!$Z$2:$Z$21,R175)+SUMIFS(Settings!$AA$2:$AA$21,Settings!$Y$2:$Y$21,"Someone on camera?",Settings!$Z$2:$Z$21,S175)+SUMIFS(Settings!$AA$2:$AA$21,Settings!$Y$2:$Y$21,"OK with 3-month term?",Settings!$Z$2:$Z$21,T175)+SUMIFS(Settings!$AA$2:$AA$21,Settings!$Y$2:$Y$21,"Start timeline",Settings!$Z$2:$Z$21,U175)+SUMIFS(Settings!$AA$2:$AA$21,Settings!$Y$2:$Y$21,"Social media gap",Settings!$Z$2:$Z$21,V175)+IF(F175="",0,IF(COUNTIF(Settings!$AC$2:$AC$6,F175)&gt;0,Settings!$AA$20,Settings!$AA$21)))</f>
        <v/>
      </c>
      <c r="X175" s="44" t="str">
        <f aca="false">IF(E175="","",IF(COUNTA(Q175:V175)=0,"Not scored",IF(COUNTA(Q175:V175)&lt;6,"Partly scored ("&amp;COUNTA(Q175:V175)&amp;"/6)",IF(W175&gt;=Settings!$S$8,"Hot",IF(W175&gt;=Settings!$S$9,"Warm","Cold")))))</f>
        <v/>
      </c>
      <c r="Y175" s="44" t="str">
        <f aca="false">IF(E175="","",IF(AND(Q175="No",S175="No"),"🚩 Budget  ·  🚩 No one on camera",IF(Q175="No","🚩 Budget under AED 5k",IF(S175="No","🚩 No one on camera",""))))</f>
        <v/>
      </c>
      <c r="Z175" s="17"/>
      <c r="AA175" s="17"/>
      <c r="AB175" s="40"/>
      <c r="AC175" s="17"/>
      <c r="AD175" s="45" t="str">
        <f aca="false">IF(OR(E175="",AB175="",OR(AA175="Contract signed + paid",AA175="Closed – No response",AA175="Lost"),N(AC175)&gt;=Settings!$S$3),"",AB175+Settings!$S$2)</f>
        <v/>
      </c>
      <c r="AE175" s="40"/>
      <c r="AF175" s="41"/>
      <c r="AG175" s="17"/>
      <c r="AH175" s="17"/>
      <c r="AI175" s="17"/>
      <c r="AJ175" s="46" t="str">
        <f aca="true">IF(OR(E175="",B175=""),"",INT(TODAY()-B175))</f>
        <v/>
      </c>
      <c r="AK175" s="44" t="str">
        <f aca="true">IF(E175="","",IF(OR(COUNTIFS(Clients!$C$2:$C$501,E175,Clients!$S$2:$S$501,"Paid")&gt;0,AND(I175&lt;&gt;"",COUNTIFS(Clients!$E$2:$E$501,I175,Clients!$S$2:$S$501,"Paid")&gt;0)),"⚠ Refunded before – no free video",IF(OR(AA175="Contract signed + paid",AA175="Closed – No response",AA175="Lost"),"",IF(AA175="","Set a stage",IF(AND(AA175="Proposal sent",COUNTA(Q175:V175)&lt;6),"Score this lead – proposal sent unscored",IF(N(AC175)&gt;=Settings!$S$3,"Close – 4 follow-ups sent",IF(AD175="",IF(AB175="","Make first contact",""),IF(TODAY()&gt;AD175,"OVERDUE follow-up",IF(TODAY()=AD175,"Follow up today","")))))))))</f>
        <v/>
      </c>
    </row>
    <row r="176" customFormat="false" ht="15" hidden="false" customHeight="false" outlineLevel="0" collapsed="false">
      <c r="A176" s="17"/>
      <c r="B176" s="40"/>
      <c r="C176" s="41"/>
      <c r="D176" s="17"/>
      <c r="E176" s="17"/>
      <c r="F176" s="17"/>
      <c r="G176" s="17"/>
      <c r="H176" s="17"/>
      <c r="I176" s="42"/>
      <c r="J176" s="17"/>
      <c r="K176" s="17"/>
      <c r="L176" s="17"/>
      <c r="M176" s="17"/>
      <c r="N176" s="40"/>
      <c r="O176" s="41"/>
      <c r="P176" s="43" t="str">
        <f aca="false">IF(OR(B176="",N176=""),"",ROUND(((N176+N(O176))-(B176+N(C176)))*24,1))</f>
        <v/>
      </c>
      <c r="Q176" s="17"/>
      <c r="R176" s="17"/>
      <c r="S176" s="17"/>
      <c r="T176" s="17"/>
      <c r="U176" s="17"/>
      <c r="V176" s="17"/>
      <c r="W176" s="44" t="str">
        <f aca="false">IF(OR(E176="",COUNTA(Q176:V176)=0),"",SUMIFS(Settings!$AA$2:$AA$21,Settings!$Y$2:$Y$21,"Budget AED 5k+/mo?",Settings!$Z$2:$Z$21,Q176)+SUMIFS(Settings!$AA$2:$AA$21,Settings!$Y$2:$Y$21,"Decision-maker?",Settings!$Z$2:$Z$21,R176)+SUMIFS(Settings!$AA$2:$AA$21,Settings!$Y$2:$Y$21,"Someone on camera?",Settings!$Z$2:$Z$21,S176)+SUMIFS(Settings!$AA$2:$AA$21,Settings!$Y$2:$Y$21,"OK with 3-month term?",Settings!$Z$2:$Z$21,T176)+SUMIFS(Settings!$AA$2:$AA$21,Settings!$Y$2:$Y$21,"Start timeline",Settings!$Z$2:$Z$21,U176)+SUMIFS(Settings!$AA$2:$AA$21,Settings!$Y$2:$Y$21,"Social media gap",Settings!$Z$2:$Z$21,V176)+IF(F176="",0,IF(COUNTIF(Settings!$AC$2:$AC$6,F176)&gt;0,Settings!$AA$20,Settings!$AA$21)))</f>
        <v/>
      </c>
      <c r="X176" s="44" t="str">
        <f aca="false">IF(E176="","",IF(COUNTA(Q176:V176)=0,"Not scored",IF(COUNTA(Q176:V176)&lt;6,"Partly scored ("&amp;COUNTA(Q176:V176)&amp;"/6)",IF(W176&gt;=Settings!$S$8,"Hot",IF(W176&gt;=Settings!$S$9,"Warm","Cold")))))</f>
        <v/>
      </c>
      <c r="Y176" s="44" t="str">
        <f aca="false">IF(E176="","",IF(AND(Q176="No",S176="No"),"🚩 Budget  ·  🚩 No one on camera",IF(Q176="No","🚩 Budget under AED 5k",IF(S176="No","🚩 No one on camera",""))))</f>
        <v/>
      </c>
      <c r="Z176" s="17"/>
      <c r="AA176" s="17"/>
      <c r="AB176" s="40"/>
      <c r="AC176" s="17"/>
      <c r="AD176" s="45" t="str">
        <f aca="false">IF(OR(E176="",AB176="",OR(AA176="Contract signed + paid",AA176="Closed – No response",AA176="Lost"),N(AC176)&gt;=Settings!$S$3),"",AB176+Settings!$S$2)</f>
        <v/>
      </c>
      <c r="AE176" s="40"/>
      <c r="AF176" s="41"/>
      <c r="AG176" s="17"/>
      <c r="AH176" s="17"/>
      <c r="AI176" s="17"/>
      <c r="AJ176" s="46" t="str">
        <f aca="true">IF(OR(E176="",B176=""),"",INT(TODAY()-B176))</f>
        <v/>
      </c>
      <c r="AK176" s="44" t="str">
        <f aca="true">IF(E176="","",IF(OR(COUNTIFS(Clients!$C$2:$C$501,E176,Clients!$S$2:$S$501,"Paid")&gt;0,AND(I176&lt;&gt;"",COUNTIFS(Clients!$E$2:$E$501,I176,Clients!$S$2:$S$501,"Paid")&gt;0)),"⚠ Refunded before – no free video",IF(OR(AA176="Contract signed + paid",AA176="Closed – No response",AA176="Lost"),"",IF(AA176="","Set a stage",IF(AND(AA176="Proposal sent",COUNTA(Q176:V176)&lt;6),"Score this lead – proposal sent unscored",IF(N(AC176)&gt;=Settings!$S$3,"Close – 4 follow-ups sent",IF(AD176="",IF(AB176="","Make first contact",""),IF(TODAY()&gt;AD176,"OVERDUE follow-up",IF(TODAY()=AD176,"Follow up today","")))))))))</f>
        <v/>
      </c>
    </row>
    <row r="177" customFormat="false" ht="15" hidden="false" customHeight="false" outlineLevel="0" collapsed="false">
      <c r="A177" s="17"/>
      <c r="B177" s="40"/>
      <c r="C177" s="41"/>
      <c r="D177" s="17"/>
      <c r="E177" s="17"/>
      <c r="F177" s="17"/>
      <c r="G177" s="17"/>
      <c r="H177" s="17"/>
      <c r="I177" s="42"/>
      <c r="J177" s="17"/>
      <c r="K177" s="17"/>
      <c r="L177" s="17"/>
      <c r="M177" s="17"/>
      <c r="N177" s="40"/>
      <c r="O177" s="41"/>
      <c r="P177" s="43" t="str">
        <f aca="false">IF(OR(B177="",N177=""),"",ROUND(((N177+N(O177))-(B177+N(C177)))*24,1))</f>
        <v/>
      </c>
      <c r="Q177" s="17"/>
      <c r="R177" s="17"/>
      <c r="S177" s="17"/>
      <c r="T177" s="17"/>
      <c r="U177" s="17"/>
      <c r="V177" s="17"/>
      <c r="W177" s="44" t="str">
        <f aca="false">IF(OR(E177="",COUNTA(Q177:V177)=0),"",SUMIFS(Settings!$AA$2:$AA$21,Settings!$Y$2:$Y$21,"Budget AED 5k+/mo?",Settings!$Z$2:$Z$21,Q177)+SUMIFS(Settings!$AA$2:$AA$21,Settings!$Y$2:$Y$21,"Decision-maker?",Settings!$Z$2:$Z$21,R177)+SUMIFS(Settings!$AA$2:$AA$21,Settings!$Y$2:$Y$21,"Someone on camera?",Settings!$Z$2:$Z$21,S177)+SUMIFS(Settings!$AA$2:$AA$21,Settings!$Y$2:$Y$21,"OK with 3-month term?",Settings!$Z$2:$Z$21,T177)+SUMIFS(Settings!$AA$2:$AA$21,Settings!$Y$2:$Y$21,"Start timeline",Settings!$Z$2:$Z$21,U177)+SUMIFS(Settings!$AA$2:$AA$21,Settings!$Y$2:$Y$21,"Social media gap",Settings!$Z$2:$Z$21,V177)+IF(F177="",0,IF(COUNTIF(Settings!$AC$2:$AC$6,F177)&gt;0,Settings!$AA$20,Settings!$AA$21)))</f>
        <v/>
      </c>
      <c r="X177" s="44" t="str">
        <f aca="false">IF(E177="","",IF(COUNTA(Q177:V177)=0,"Not scored",IF(COUNTA(Q177:V177)&lt;6,"Partly scored ("&amp;COUNTA(Q177:V177)&amp;"/6)",IF(W177&gt;=Settings!$S$8,"Hot",IF(W177&gt;=Settings!$S$9,"Warm","Cold")))))</f>
        <v/>
      </c>
      <c r="Y177" s="44" t="str">
        <f aca="false">IF(E177="","",IF(AND(Q177="No",S177="No"),"🚩 Budget  ·  🚩 No one on camera",IF(Q177="No","🚩 Budget under AED 5k",IF(S177="No","🚩 No one on camera",""))))</f>
        <v/>
      </c>
      <c r="Z177" s="17"/>
      <c r="AA177" s="17"/>
      <c r="AB177" s="40"/>
      <c r="AC177" s="17"/>
      <c r="AD177" s="45" t="str">
        <f aca="false">IF(OR(E177="",AB177="",OR(AA177="Contract signed + paid",AA177="Closed – No response",AA177="Lost"),N(AC177)&gt;=Settings!$S$3),"",AB177+Settings!$S$2)</f>
        <v/>
      </c>
      <c r="AE177" s="40"/>
      <c r="AF177" s="41"/>
      <c r="AG177" s="17"/>
      <c r="AH177" s="17"/>
      <c r="AI177" s="17"/>
      <c r="AJ177" s="46" t="str">
        <f aca="true">IF(OR(E177="",B177=""),"",INT(TODAY()-B177))</f>
        <v/>
      </c>
      <c r="AK177" s="44" t="str">
        <f aca="true">IF(E177="","",IF(OR(COUNTIFS(Clients!$C$2:$C$501,E177,Clients!$S$2:$S$501,"Paid")&gt;0,AND(I177&lt;&gt;"",COUNTIFS(Clients!$E$2:$E$501,I177,Clients!$S$2:$S$501,"Paid")&gt;0)),"⚠ Refunded before – no free video",IF(OR(AA177="Contract signed + paid",AA177="Closed – No response",AA177="Lost"),"",IF(AA177="","Set a stage",IF(AND(AA177="Proposal sent",COUNTA(Q177:V177)&lt;6),"Score this lead – proposal sent unscored",IF(N(AC177)&gt;=Settings!$S$3,"Close – 4 follow-ups sent",IF(AD177="",IF(AB177="","Make first contact",""),IF(TODAY()&gt;AD177,"OVERDUE follow-up",IF(TODAY()=AD177,"Follow up today","")))))))))</f>
        <v/>
      </c>
    </row>
    <row r="178" customFormat="false" ht="15" hidden="false" customHeight="false" outlineLevel="0" collapsed="false">
      <c r="A178" s="17"/>
      <c r="B178" s="40"/>
      <c r="C178" s="41"/>
      <c r="D178" s="17"/>
      <c r="E178" s="17"/>
      <c r="F178" s="17"/>
      <c r="G178" s="17"/>
      <c r="H178" s="17"/>
      <c r="I178" s="42"/>
      <c r="J178" s="17"/>
      <c r="K178" s="17"/>
      <c r="L178" s="17"/>
      <c r="M178" s="17"/>
      <c r="N178" s="40"/>
      <c r="O178" s="41"/>
      <c r="P178" s="43" t="str">
        <f aca="false">IF(OR(B178="",N178=""),"",ROUND(((N178+N(O178))-(B178+N(C178)))*24,1))</f>
        <v/>
      </c>
      <c r="Q178" s="17"/>
      <c r="R178" s="17"/>
      <c r="S178" s="17"/>
      <c r="T178" s="17"/>
      <c r="U178" s="17"/>
      <c r="V178" s="17"/>
      <c r="W178" s="44" t="str">
        <f aca="false">IF(OR(E178="",COUNTA(Q178:V178)=0),"",SUMIFS(Settings!$AA$2:$AA$21,Settings!$Y$2:$Y$21,"Budget AED 5k+/mo?",Settings!$Z$2:$Z$21,Q178)+SUMIFS(Settings!$AA$2:$AA$21,Settings!$Y$2:$Y$21,"Decision-maker?",Settings!$Z$2:$Z$21,R178)+SUMIFS(Settings!$AA$2:$AA$21,Settings!$Y$2:$Y$21,"Someone on camera?",Settings!$Z$2:$Z$21,S178)+SUMIFS(Settings!$AA$2:$AA$21,Settings!$Y$2:$Y$21,"OK with 3-month term?",Settings!$Z$2:$Z$21,T178)+SUMIFS(Settings!$AA$2:$AA$21,Settings!$Y$2:$Y$21,"Start timeline",Settings!$Z$2:$Z$21,U178)+SUMIFS(Settings!$AA$2:$AA$21,Settings!$Y$2:$Y$21,"Social media gap",Settings!$Z$2:$Z$21,V178)+IF(F178="",0,IF(COUNTIF(Settings!$AC$2:$AC$6,F178)&gt;0,Settings!$AA$20,Settings!$AA$21)))</f>
        <v/>
      </c>
      <c r="X178" s="44" t="str">
        <f aca="false">IF(E178="","",IF(COUNTA(Q178:V178)=0,"Not scored",IF(COUNTA(Q178:V178)&lt;6,"Partly scored ("&amp;COUNTA(Q178:V178)&amp;"/6)",IF(W178&gt;=Settings!$S$8,"Hot",IF(W178&gt;=Settings!$S$9,"Warm","Cold")))))</f>
        <v/>
      </c>
      <c r="Y178" s="44" t="str">
        <f aca="false">IF(E178="","",IF(AND(Q178="No",S178="No"),"🚩 Budget  ·  🚩 No one on camera",IF(Q178="No","🚩 Budget under AED 5k",IF(S178="No","🚩 No one on camera",""))))</f>
        <v/>
      </c>
      <c r="Z178" s="17"/>
      <c r="AA178" s="17"/>
      <c r="AB178" s="40"/>
      <c r="AC178" s="17"/>
      <c r="AD178" s="45" t="str">
        <f aca="false">IF(OR(E178="",AB178="",OR(AA178="Contract signed + paid",AA178="Closed – No response",AA178="Lost"),N(AC178)&gt;=Settings!$S$3),"",AB178+Settings!$S$2)</f>
        <v/>
      </c>
      <c r="AE178" s="40"/>
      <c r="AF178" s="41"/>
      <c r="AG178" s="17"/>
      <c r="AH178" s="17"/>
      <c r="AI178" s="17"/>
      <c r="AJ178" s="46" t="str">
        <f aca="true">IF(OR(E178="",B178=""),"",INT(TODAY()-B178))</f>
        <v/>
      </c>
      <c r="AK178" s="44" t="str">
        <f aca="true">IF(E178="","",IF(OR(COUNTIFS(Clients!$C$2:$C$501,E178,Clients!$S$2:$S$501,"Paid")&gt;0,AND(I178&lt;&gt;"",COUNTIFS(Clients!$E$2:$E$501,I178,Clients!$S$2:$S$501,"Paid")&gt;0)),"⚠ Refunded before – no free video",IF(OR(AA178="Contract signed + paid",AA178="Closed – No response",AA178="Lost"),"",IF(AA178="","Set a stage",IF(AND(AA178="Proposal sent",COUNTA(Q178:V178)&lt;6),"Score this lead – proposal sent unscored",IF(N(AC178)&gt;=Settings!$S$3,"Close – 4 follow-ups sent",IF(AD178="",IF(AB178="","Make first contact",""),IF(TODAY()&gt;AD178,"OVERDUE follow-up",IF(TODAY()=AD178,"Follow up today","")))))))))</f>
        <v/>
      </c>
    </row>
    <row r="179" customFormat="false" ht="15" hidden="false" customHeight="false" outlineLevel="0" collapsed="false">
      <c r="A179" s="17"/>
      <c r="B179" s="40"/>
      <c r="C179" s="41"/>
      <c r="D179" s="17"/>
      <c r="E179" s="17"/>
      <c r="F179" s="17"/>
      <c r="G179" s="17"/>
      <c r="H179" s="17"/>
      <c r="I179" s="42"/>
      <c r="J179" s="17"/>
      <c r="K179" s="17"/>
      <c r="L179" s="17"/>
      <c r="M179" s="17"/>
      <c r="N179" s="40"/>
      <c r="O179" s="41"/>
      <c r="P179" s="43" t="str">
        <f aca="false">IF(OR(B179="",N179=""),"",ROUND(((N179+N(O179))-(B179+N(C179)))*24,1))</f>
        <v/>
      </c>
      <c r="Q179" s="17"/>
      <c r="R179" s="17"/>
      <c r="S179" s="17"/>
      <c r="T179" s="17"/>
      <c r="U179" s="17"/>
      <c r="V179" s="17"/>
      <c r="W179" s="44" t="str">
        <f aca="false">IF(OR(E179="",COUNTA(Q179:V179)=0),"",SUMIFS(Settings!$AA$2:$AA$21,Settings!$Y$2:$Y$21,"Budget AED 5k+/mo?",Settings!$Z$2:$Z$21,Q179)+SUMIFS(Settings!$AA$2:$AA$21,Settings!$Y$2:$Y$21,"Decision-maker?",Settings!$Z$2:$Z$21,R179)+SUMIFS(Settings!$AA$2:$AA$21,Settings!$Y$2:$Y$21,"Someone on camera?",Settings!$Z$2:$Z$21,S179)+SUMIFS(Settings!$AA$2:$AA$21,Settings!$Y$2:$Y$21,"OK with 3-month term?",Settings!$Z$2:$Z$21,T179)+SUMIFS(Settings!$AA$2:$AA$21,Settings!$Y$2:$Y$21,"Start timeline",Settings!$Z$2:$Z$21,U179)+SUMIFS(Settings!$AA$2:$AA$21,Settings!$Y$2:$Y$21,"Social media gap",Settings!$Z$2:$Z$21,V179)+IF(F179="",0,IF(COUNTIF(Settings!$AC$2:$AC$6,F179)&gt;0,Settings!$AA$20,Settings!$AA$21)))</f>
        <v/>
      </c>
      <c r="X179" s="44" t="str">
        <f aca="false">IF(E179="","",IF(COUNTA(Q179:V179)=0,"Not scored",IF(COUNTA(Q179:V179)&lt;6,"Partly scored ("&amp;COUNTA(Q179:V179)&amp;"/6)",IF(W179&gt;=Settings!$S$8,"Hot",IF(W179&gt;=Settings!$S$9,"Warm","Cold")))))</f>
        <v/>
      </c>
      <c r="Y179" s="44" t="str">
        <f aca="false">IF(E179="","",IF(AND(Q179="No",S179="No"),"🚩 Budget  ·  🚩 No one on camera",IF(Q179="No","🚩 Budget under AED 5k",IF(S179="No","🚩 No one on camera",""))))</f>
        <v/>
      </c>
      <c r="Z179" s="17"/>
      <c r="AA179" s="17"/>
      <c r="AB179" s="40"/>
      <c r="AC179" s="17"/>
      <c r="AD179" s="45" t="str">
        <f aca="false">IF(OR(E179="",AB179="",OR(AA179="Contract signed + paid",AA179="Closed – No response",AA179="Lost"),N(AC179)&gt;=Settings!$S$3),"",AB179+Settings!$S$2)</f>
        <v/>
      </c>
      <c r="AE179" s="40"/>
      <c r="AF179" s="41"/>
      <c r="AG179" s="17"/>
      <c r="AH179" s="17"/>
      <c r="AI179" s="17"/>
      <c r="AJ179" s="46" t="str">
        <f aca="true">IF(OR(E179="",B179=""),"",INT(TODAY()-B179))</f>
        <v/>
      </c>
      <c r="AK179" s="44" t="str">
        <f aca="true">IF(E179="","",IF(OR(COUNTIFS(Clients!$C$2:$C$501,E179,Clients!$S$2:$S$501,"Paid")&gt;0,AND(I179&lt;&gt;"",COUNTIFS(Clients!$E$2:$E$501,I179,Clients!$S$2:$S$501,"Paid")&gt;0)),"⚠ Refunded before – no free video",IF(OR(AA179="Contract signed + paid",AA179="Closed – No response",AA179="Lost"),"",IF(AA179="","Set a stage",IF(AND(AA179="Proposal sent",COUNTA(Q179:V179)&lt;6),"Score this lead – proposal sent unscored",IF(N(AC179)&gt;=Settings!$S$3,"Close – 4 follow-ups sent",IF(AD179="",IF(AB179="","Make first contact",""),IF(TODAY()&gt;AD179,"OVERDUE follow-up",IF(TODAY()=AD179,"Follow up today","")))))))))</f>
        <v/>
      </c>
    </row>
    <row r="180" customFormat="false" ht="15" hidden="false" customHeight="false" outlineLevel="0" collapsed="false">
      <c r="A180" s="17"/>
      <c r="B180" s="40"/>
      <c r="C180" s="41"/>
      <c r="D180" s="17"/>
      <c r="E180" s="17"/>
      <c r="F180" s="17"/>
      <c r="G180" s="17"/>
      <c r="H180" s="17"/>
      <c r="I180" s="42"/>
      <c r="J180" s="17"/>
      <c r="K180" s="17"/>
      <c r="L180" s="17"/>
      <c r="M180" s="17"/>
      <c r="N180" s="40"/>
      <c r="O180" s="41"/>
      <c r="P180" s="43" t="str">
        <f aca="false">IF(OR(B180="",N180=""),"",ROUND(((N180+N(O180))-(B180+N(C180)))*24,1))</f>
        <v/>
      </c>
      <c r="Q180" s="17"/>
      <c r="R180" s="17"/>
      <c r="S180" s="17"/>
      <c r="T180" s="17"/>
      <c r="U180" s="17"/>
      <c r="V180" s="17"/>
      <c r="W180" s="44" t="str">
        <f aca="false">IF(OR(E180="",COUNTA(Q180:V180)=0),"",SUMIFS(Settings!$AA$2:$AA$21,Settings!$Y$2:$Y$21,"Budget AED 5k+/mo?",Settings!$Z$2:$Z$21,Q180)+SUMIFS(Settings!$AA$2:$AA$21,Settings!$Y$2:$Y$21,"Decision-maker?",Settings!$Z$2:$Z$21,R180)+SUMIFS(Settings!$AA$2:$AA$21,Settings!$Y$2:$Y$21,"Someone on camera?",Settings!$Z$2:$Z$21,S180)+SUMIFS(Settings!$AA$2:$AA$21,Settings!$Y$2:$Y$21,"OK with 3-month term?",Settings!$Z$2:$Z$21,T180)+SUMIFS(Settings!$AA$2:$AA$21,Settings!$Y$2:$Y$21,"Start timeline",Settings!$Z$2:$Z$21,U180)+SUMIFS(Settings!$AA$2:$AA$21,Settings!$Y$2:$Y$21,"Social media gap",Settings!$Z$2:$Z$21,V180)+IF(F180="",0,IF(COUNTIF(Settings!$AC$2:$AC$6,F180)&gt;0,Settings!$AA$20,Settings!$AA$21)))</f>
        <v/>
      </c>
      <c r="X180" s="44" t="str">
        <f aca="false">IF(E180="","",IF(COUNTA(Q180:V180)=0,"Not scored",IF(COUNTA(Q180:V180)&lt;6,"Partly scored ("&amp;COUNTA(Q180:V180)&amp;"/6)",IF(W180&gt;=Settings!$S$8,"Hot",IF(W180&gt;=Settings!$S$9,"Warm","Cold")))))</f>
        <v/>
      </c>
      <c r="Y180" s="44" t="str">
        <f aca="false">IF(E180="","",IF(AND(Q180="No",S180="No"),"🚩 Budget  ·  🚩 No one on camera",IF(Q180="No","🚩 Budget under AED 5k",IF(S180="No","🚩 No one on camera",""))))</f>
        <v/>
      </c>
      <c r="Z180" s="17"/>
      <c r="AA180" s="17"/>
      <c r="AB180" s="40"/>
      <c r="AC180" s="17"/>
      <c r="AD180" s="45" t="str">
        <f aca="false">IF(OR(E180="",AB180="",OR(AA180="Contract signed + paid",AA180="Closed – No response",AA180="Lost"),N(AC180)&gt;=Settings!$S$3),"",AB180+Settings!$S$2)</f>
        <v/>
      </c>
      <c r="AE180" s="40"/>
      <c r="AF180" s="41"/>
      <c r="AG180" s="17"/>
      <c r="AH180" s="17"/>
      <c r="AI180" s="17"/>
      <c r="AJ180" s="46" t="str">
        <f aca="true">IF(OR(E180="",B180=""),"",INT(TODAY()-B180))</f>
        <v/>
      </c>
      <c r="AK180" s="44" t="str">
        <f aca="true">IF(E180="","",IF(OR(COUNTIFS(Clients!$C$2:$C$501,E180,Clients!$S$2:$S$501,"Paid")&gt;0,AND(I180&lt;&gt;"",COUNTIFS(Clients!$E$2:$E$501,I180,Clients!$S$2:$S$501,"Paid")&gt;0)),"⚠ Refunded before – no free video",IF(OR(AA180="Contract signed + paid",AA180="Closed – No response",AA180="Lost"),"",IF(AA180="","Set a stage",IF(AND(AA180="Proposal sent",COUNTA(Q180:V180)&lt;6),"Score this lead – proposal sent unscored",IF(N(AC180)&gt;=Settings!$S$3,"Close – 4 follow-ups sent",IF(AD180="",IF(AB180="","Make first contact",""),IF(TODAY()&gt;AD180,"OVERDUE follow-up",IF(TODAY()=AD180,"Follow up today","")))))))))</f>
        <v/>
      </c>
    </row>
    <row r="181" customFormat="false" ht="15" hidden="false" customHeight="false" outlineLevel="0" collapsed="false">
      <c r="A181" s="17"/>
      <c r="B181" s="40"/>
      <c r="C181" s="41"/>
      <c r="D181" s="17"/>
      <c r="E181" s="17"/>
      <c r="F181" s="17"/>
      <c r="G181" s="17"/>
      <c r="H181" s="17"/>
      <c r="I181" s="42"/>
      <c r="J181" s="17"/>
      <c r="K181" s="17"/>
      <c r="L181" s="17"/>
      <c r="M181" s="17"/>
      <c r="N181" s="40"/>
      <c r="O181" s="41"/>
      <c r="P181" s="43" t="str">
        <f aca="false">IF(OR(B181="",N181=""),"",ROUND(((N181+N(O181))-(B181+N(C181)))*24,1))</f>
        <v/>
      </c>
      <c r="Q181" s="17"/>
      <c r="R181" s="17"/>
      <c r="S181" s="17"/>
      <c r="T181" s="17"/>
      <c r="U181" s="17"/>
      <c r="V181" s="17"/>
      <c r="W181" s="44" t="str">
        <f aca="false">IF(OR(E181="",COUNTA(Q181:V181)=0),"",SUMIFS(Settings!$AA$2:$AA$21,Settings!$Y$2:$Y$21,"Budget AED 5k+/mo?",Settings!$Z$2:$Z$21,Q181)+SUMIFS(Settings!$AA$2:$AA$21,Settings!$Y$2:$Y$21,"Decision-maker?",Settings!$Z$2:$Z$21,R181)+SUMIFS(Settings!$AA$2:$AA$21,Settings!$Y$2:$Y$21,"Someone on camera?",Settings!$Z$2:$Z$21,S181)+SUMIFS(Settings!$AA$2:$AA$21,Settings!$Y$2:$Y$21,"OK with 3-month term?",Settings!$Z$2:$Z$21,T181)+SUMIFS(Settings!$AA$2:$AA$21,Settings!$Y$2:$Y$21,"Start timeline",Settings!$Z$2:$Z$21,U181)+SUMIFS(Settings!$AA$2:$AA$21,Settings!$Y$2:$Y$21,"Social media gap",Settings!$Z$2:$Z$21,V181)+IF(F181="",0,IF(COUNTIF(Settings!$AC$2:$AC$6,F181)&gt;0,Settings!$AA$20,Settings!$AA$21)))</f>
        <v/>
      </c>
      <c r="X181" s="44" t="str">
        <f aca="false">IF(E181="","",IF(COUNTA(Q181:V181)=0,"Not scored",IF(COUNTA(Q181:V181)&lt;6,"Partly scored ("&amp;COUNTA(Q181:V181)&amp;"/6)",IF(W181&gt;=Settings!$S$8,"Hot",IF(W181&gt;=Settings!$S$9,"Warm","Cold")))))</f>
        <v/>
      </c>
      <c r="Y181" s="44" t="str">
        <f aca="false">IF(E181="","",IF(AND(Q181="No",S181="No"),"🚩 Budget  ·  🚩 No one on camera",IF(Q181="No","🚩 Budget under AED 5k",IF(S181="No","🚩 No one on camera",""))))</f>
        <v/>
      </c>
      <c r="Z181" s="17"/>
      <c r="AA181" s="17"/>
      <c r="AB181" s="40"/>
      <c r="AC181" s="17"/>
      <c r="AD181" s="45" t="str">
        <f aca="false">IF(OR(E181="",AB181="",OR(AA181="Contract signed + paid",AA181="Closed – No response",AA181="Lost"),N(AC181)&gt;=Settings!$S$3),"",AB181+Settings!$S$2)</f>
        <v/>
      </c>
      <c r="AE181" s="40"/>
      <c r="AF181" s="41"/>
      <c r="AG181" s="17"/>
      <c r="AH181" s="17"/>
      <c r="AI181" s="17"/>
      <c r="AJ181" s="46" t="str">
        <f aca="true">IF(OR(E181="",B181=""),"",INT(TODAY()-B181))</f>
        <v/>
      </c>
      <c r="AK181" s="44" t="str">
        <f aca="true">IF(E181="","",IF(OR(COUNTIFS(Clients!$C$2:$C$501,E181,Clients!$S$2:$S$501,"Paid")&gt;0,AND(I181&lt;&gt;"",COUNTIFS(Clients!$E$2:$E$501,I181,Clients!$S$2:$S$501,"Paid")&gt;0)),"⚠ Refunded before – no free video",IF(OR(AA181="Contract signed + paid",AA181="Closed – No response",AA181="Lost"),"",IF(AA181="","Set a stage",IF(AND(AA181="Proposal sent",COUNTA(Q181:V181)&lt;6),"Score this lead – proposal sent unscored",IF(N(AC181)&gt;=Settings!$S$3,"Close – 4 follow-ups sent",IF(AD181="",IF(AB181="","Make first contact",""),IF(TODAY()&gt;AD181,"OVERDUE follow-up",IF(TODAY()=AD181,"Follow up today","")))))))))</f>
        <v/>
      </c>
    </row>
    <row r="182" customFormat="false" ht="15" hidden="false" customHeight="false" outlineLevel="0" collapsed="false">
      <c r="A182" s="17"/>
      <c r="B182" s="40"/>
      <c r="C182" s="41"/>
      <c r="D182" s="17"/>
      <c r="E182" s="17"/>
      <c r="F182" s="17"/>
      <c r="G182" s="17"/>
      <c r="H182" s="17"/>
      <c r="I182" s="42"/>
      <c r="J182" s="17"/>
      <c r="K182" s="17"/>
      <c r="L182" s="17"/>
      <c r="M182" s="17"/>
      <c r="N182" s="40"/>
      <c r="O182" s="41"/>
      <c r="P182" s="43" t="str">
        <f aca="false">IF(OR(B182="",N182=""),"",ROUND(((N182+N(O182))-(B182+N(C182)))*24,1))</f>
        <v/>
      </c>
      <c r="Q182" s="17"/>
      <c r="R182" s="17"/>
      <c r="S182" s="17"/>
      <c r="T182" s="17"/>
      <c r="U182" s="17"/>
      <c r="V182" s="17"/>
      <c r="W182" s="44" t="str">
        <f aca="false">IF(OR(E182="",COUNTA(Q182:V182)=0),"",SUMIFS(Settings!$AA$2:$AA$21,Settings!$Y$2:$Y$21,"Budget AED 5k+/mo?",Settings!$Z$2:$Z$21,Q182)+SUMIFS(Settings!$AA$2:$AA$21,Settings!$Y$2:$Y$21,"Decision-maker?",Settings!$Z$2:$Z$21,R182)+SUMIFS(Settings!$AA$2:$AA$21,Settings!$Y$2:$Y$21,"Someone on camera?",Settings!$Z$2:$Z$21,S182)+SUMIFS(Settings!$AA$2:$AA$21,Settings!$Y$2:$Y$21,"OK with 3-month term?",Settings!$Z$2:$Z$21,T182)+SUMIFS(Settings!$AA$2:$AA$21,Settings!$Y$2:$Y$21,"Start timeline",Settings!$Z$2:$Z$21,U182)+SUMIFS(Settings!$AA$2:$AA$21,Settings!$Y$2:$Y$21,"Social media gap",Settings!$Z$2:$Z$21,V182)+IF(F182="",0,IF(COUNTIF(Settings!$AC$2:$AC$6,F182)&gt;0,Settings!$AA$20,Settings!$AA$21)))</f>
        <v/>
      </c>
      <c r="X182" s="44" t="str">
        <f aca="false">IF(E182="","",IF(COUNTA(Q182:V182)=0,"Not scored",IF(COUNTA(Q182:V182)&lt;6,"Partly scored ("&amp;COUNTA(Q182:V182)&amp;"/6)",IF(W182&gt;=Settings!$S$8,"Hot",IF(W182&gt;=Settings!$S$9,"Warm","Cold")))))</f>
        <v/>
      </c>
      <c r="Y182" s="44" t="str">
        <f aca="false">IF(E182="","",IF(AND(Q182="No",S182="No"),"🚩 Budget  ·  🚩 No one on camera",IF(Q182="No","🚩 Budget under AED 5k",IF(S182="No","🚩 No one on camera",""))))</f>
        <v/>
      </c>
      <c r="Z182" s="17"/>
      <c r="AA182" s="17"/>
      <c r="AB182" s="40"/>
      <c r="AC182" s="17"/>
      <c r="AD182" s="45" t="str">
        <f aca="false">IF(OR(E182="",AB182="",OR(AA182="Contract signed + paid",AA182="Closed – No response",AA182="Lost"),N(AC182)&gt;=Settings!$S$3),"",AB182+Settings!$S$2)</f>
        <v/>
      </c>
      <c r="AE182" s="40"/>
      <c r="AF182" s="41"/>
      <c r="AG182" s="17"/>
      <c r="AH182" s="17"/>
      <c r="AI182" s="17"/>
      <c r="AJ182" s="46" t="str">
        <f aca="true">IF(OR(E182="",B182=""),"",INT(TODAY()-B182))</f>
        <v/>
      </c>
      <c r="AK182" s="44" t="str">
        <f aca="true">IF(E182="","",IF(OR(COUNTIFS(Clients!$C$2:$C$501,E182,Clients!$S$2:$S$501,"Paid")&gt;0,AND(I182&lt;&gt;"",COUNTIFS(Clients!$E$2:$E$501,I182,Clients!$S$2:$S$501,"Paid")&gt;0)),"⚠ Refunded before – no free video",IF(OR(AA182="Contract signed + paid",AA182="Closed – No response",AA182="Lost"),"",IF(AA182="","Set a stage",IF(AND(AA182="Proposal sent",COUNTA(Q182:V182)&lt;6),"Score this lead – proposal sent unscored",IF(N(AC182)&gt;=Settings!$S$3,"Close – 4 follow-ups sent",IF(AD182="",IF(AB182="","Make first contact",""),IF(TODAY()&gt;AD182,"OVERDUE follow-up",IF(TODAY()=AD182,"Follow up today","")))))))))</f>
        <v/>
      </c>
    </row>
    <row r="183" customFormat="false" ht="15" hidden="false" customHeight="false" outlineLevel="0" collapsed="false">
      <c r="A183" s="17"/>
      <c r="B183" s="40"/>
      <c r="C183" s="41"/>
      <c r="D183" s="17"/>
      <c r="E183" s="17"/>
      <c r="F183" s="17"/>
      <c r="G183" s="17"/>
      <c r="H183" s="17"/>
      <c r="I183" s="42"/>
      <c r="J183" s="17"/>
      <c r="K183" s="17"/>
      <c r="L183" s="17"/>
      <c r="M183" s="17"/>
      <c r="N183" s="40"/>
      <c r="O183" s="41"/>
      <c r="P183" s="43" t="str">
        <f aca="false">IF(OR(B183="",N183=""),"",ROUND(((N183+N(O183))-(B183+N(C183)))*24,1))</f>
        <v/>
      </c>
      <c r="Q183" s="17"/>
      <c r="R183" s="17"/>
      <c r="S183" s="17"/>
      <c r="T183" s="17"/>
      <c r="U183" s="17"/>
      <c r="V183" s="17"/>
      <c r="W183" s="44" t="str">
        <f aca="false">IF(OR(E183="",COUNTA(Q183:V183)=0),"",SUMIFS(Settings!$AA$2:$AA$21,Settings!$Y$2:$Y$21,"Budget AED 5k+/mo?",Settings!$Z$2:$Z$21,Q183)+SUMIFS(Settings!$AA$2:$AA$21,Settings!$Y$2:$Y$21,"Decision-maker?",Settings!$Z$2:$Z$21,R183)+SUMIFS(Settings!$AA$2:$AA$21,Settings!$Y$2:$Y$21,"Someone on camera?",Settings!$Z$2:$Z$21,S183)+SUMIFS(Settings!$AA$2:$AA$21,Settings!$Y$2:$Y$21,"OK with 3-month term?",Settings!$Z$2:$Z$21,T183)+SUMIFS(Settings!$AA$2:$AA$21,Settings!$Y$2:$Y$21,"Start timeline",Settings!$Z$2:$Z$21,U183)+SUMIFS(Settings!$AA$2:$AA$21,Settings!$Y$2:$Y$21,"Social media gap",Settings!$Z$2:$Z$21,V183)+IF(F183="",0,IF(COUNTIF(Settings!$AC$2:$AC$6,F183)&gt;0,Settings!$AA$20,Settings!$AA$21)))</f>
        <v/>
      </c>
      <c r="X183" s="44" t="str">
        <f aca="false">IF(E183="","",IF(COUNTA(Q183:V183)=0,"Not scored",IF(COUNTA(Q183:V183)&lt;6,"Partly scored ("&amp;COUNTA(Q183:V183)&amp;"/6)",IF(W183&gt;=Settings!$S$8,"Hot",IF(W183&gt;=Settings!$S$9,"Warm","Cold")))))</f>
        <v/>
      </c>
      <c r="Y183" s="44" t="str">
        <f aca="false">IF(E183="","",IF(AND(Q183="No",S183="No"),"🚩 Budget  ·  🚩 No one on camera",IF(Q183="No","🚩 Budget under AED 5k",IF(S183="No","🚩 No one on camera",""))))</f>
        <v/>
      </c>
      <c r="Z183" s="17"/>
      <c r="AA183" s="17"/>
      <c r="AB183" s="40"/>
      <c r="AC183" s="17"/>
      <c r="AD183" s="45" t="str">
        <f aca="false">IF(OR(E183="",AB183="",OR(AA183="Contract signed + paid",AA183="Closed – No response",AA183="Lost"),N(AC183)&gt;=Settings!$S$3),"",AB183+Settings!$S$2)</f>
        <v/>
      </c>
      <c r="AE183" s="40"/>
      <c r="AF183" s="41"/>
      <c r="AG183" s="17"/>
      <c r="AH183" s="17"/>
      <c r="AI183" s="17"/>
      <c r="AJ183" s="46" t="str">
        <f aca="true">IF(OR(E183="",B183=""),"",INT(TODAY()-B183))</f>
        <v/>
      </c>
      <c r="AK183" s="44" t="str">
        <f aca="true">IF(E183="","",IF(OR(COUNTIFS(Clients!$C$2:$C$501,E183,Clients!$S$2:$S$501,"Paid")&gt;0,AND(I183&lt;&gt;"",COUNTIFS(Clients!$E$2:$E$501,I183,Clients!$S$2:$S$501,"Paid")&gt;0)),"⚠ Refunded before – no free video",IF(OR(AA183="Contract signed + paid",AA183="Closed – No response",AA183="Lost"),"",IF(AA183="","Set a stage",IF(AND(AA183="Proposal sent",COUNTA(Q183:V183)&lt;6),"Score this lead – proposal sent unscored",IF(N(AC183)&gt;=Settings!$S$3,"Close – 4 follow-ups sent",IF(AD183="",IF(AB183="","Make first contact",""),IF(TODAY()&gt;AD183,"OVERDUE follow-up",IF(TODAY()=AD183,"Follow up today","")))))))))</f>
        <v/>
      </c>
    </row>
    <row r="184" customFormat="false" ht="15" hidden="false" customHeight="false" outlineLevel="0" collapsed="false">
      <c r="A184" s="17"/>
      <c r="B184" s="40"/>
      <c r="C184" s="41"/>
      <c r="D184" s="17"/>
      <c r="E184" s="17"/>
      <c r="F184" s="17"/>
      <c r="G184" s="17"/>
      <c r="H184" s="17"/>
      <c r="I184" s="42"/>
      <c r="J184" s="17"/>
      <c r="K184" s="17"/>
      <c r="L184" s="17"/>
      <c r="M184" s="17"/>
      <c r="N184" s="40"/>
      <c r="O184" s="41"/>
      <c r="P184" s="43" t="str">
        <f aca="false">IF(OR(B184="",N184=""),"",ROUND(((N184+N(O184))-(B184+N(C184)))*24,1))</f>
        <v/>
      </c>
      <c r="Q184" s="17"/>
      <c r="R184" s="17"/>
      <c r="S184" s="17"/>
      <c r="T184" s="17"/>
      <c r="U184" s="17"/>
      <c r="V184" s="17"/>
      <c r="W184" s="44" t="str">
        <f aca="false">IF(OR(E184="",COUNTA(Q184:V184)=0),"",SUMIFS(Settings!$AA$2:$AA$21,Settings!$Y$2:$Y$21,"Budget AED 5k+/mo?",Settings!$Z$2:$Z$21,Q184)+SUMIFS(Settings!$AA$2:$AA$21,Settings!$Y$2:$Y$21,"Decision-maker?",Settings!$Z$2:$Z$21,R184)+SUMIFS(Settings!$AA$2:$AA$21,Settings!$Y$2:$Y$21,"Someone on camera?",Settings!$Z$2:$Z$21,S184)+SUMIFS(Settings!$AA$2:$AA$21,Settings!$Y$2:$Y$21,"OK with 3-month term?",Settings!$Z$2:$Z$21,T184)+SUMIFS(Settings!$AA$2:$AA$21,Settings!$Y$2:$Y$21,"Start timeline",Settings!$Z$2:$Z$21,U184)+SUMIFS(Settings!$AA$2:$AA$21,Settings!$Y$2:$Y$21,"Social media gap",Settings!$Z$2:$Z$21,V184)+IF(F184="",0,IF(COUNTIF(Settings!$AC$2:$AC$6,F184)&gt;0,Settings!$AA$20,Settings!$AA$21)))</f>
        <v/>
      </c>
      <c r="X184" s="44" t="str">
        <f aca="false">IF(E184="","",IF(COUNTA(Q184:V184)=0,"Not scored",IF(COUNTA(Q184:V184)&lt;6,"Partly scored ("&amp;COUNTA(Q184:V184)&amp;"/6)",IF(W184&gt;=Settings!$S$8,"Hot",IF(W184&gt;=Settings!$S$9,"Warm","Cold")))))</f>
        <v/>
      </c>
      <c r="Y184" s="44" t="str">
        <f aca="false">IF(E184="","",IF(AND(Q184="No",S184="No"),"🚩 Budget  ·  🚩 No one on camera",IF(Q184="No","🚩 Budget under AED 5k",IF(S184="No","🚩 No one on camera",""))))</f>
        <v/>
      </c>
      <c r="Z184" s="17"/>
      <c r="AA184" s="17"/>
      <c r="AB184" s="40"/>
      <c r="AC184" s="17"/>
      <c r="AD184" s="45" t="str">
        <f aca="false">IF(OR(E184="",AB184="",OR(AA184="Contract signed + paid",AA184="Closed – No response",AA184="Lost"),N(AC184)&gt;=Settings!$S$3),"",AB184+Settings!$S$2)</f>
        <v/>
      </c>
      <c r="AE184" s="40"/>
      <c r="AF184" s="41"/>
      <c r="AG184" s="17"/>
      <c r="AH184" s="17"/>
      <c r="AI184" s="17"/>
      <c r="AJ184" s="46" t="str">
        <f aca="true">IF(OR(E184="",B184=""),"",INT(TODAY()-B184))</f>
        <v/>
      </c>
      <c r="AK184" s="44" t="str">
        <f aca="true">IF(E184="","",IF(OR(COUNTIFS(Clients!$C$2:$C$501,E184,Clients!$S$2:$S$501,"Paid")&gt;0,AND(I184&lt;&gt;"",COUNTIFS(Clients!$E$2:$E$501,I184,Clients!$S$2:$S$501,"Paid")&gt;0)),"⚠ Refunded before – no free video",IF(OR(AA184="Contract signed + paid",AA184="Closed – No response",AA184="Lost"),"",IF(AA184="","Set a stage",IF(AND(AA184="Proposal sent",COUNTA(Q184:V184)&lt;6),"Score this lead – proposal sent unscored",IF(N(AC184)&gt;=Settings!$S$3,"Close – 4 follow-ups sent",IF(AD184="",IF(AB184="","Make first contact",""),IF(TODAY()&gt;AD184,"OVERDUE follow-up",IF(TODAY()=AD184,"Follow up today","")))))))))</f>
        <v/>
      </c>
    </row>
    <row r="185" customFormat="false" ht="15" hidden="false" customHeight="false" outlineLevel="0" collapsed="false">
      <c r="A185" s="17"/>
      <c r="B185" s="40"/>
      <c r="C185" s="41"/>
      <c r="D185" s="17"/>
      <c r="E185" s="17"/>
      <c r="F185" s="17"/>
      <c r="G185" s="17"/>
      <c r="H185" s="17"/>
      <c r="I185" s="42"/>
      <c r="J185" s="17"/>
      <c r="K185" s="17"/>
      <c r="L185" s="17"/>
      <c r="M185" s="17"/>
      <c r="N185" s="40"/>
      <c r="O185" s="41"/>
      <c r="P185" s="43" t="str">
        <f aca="false">IF(OR(B185="",N185=""),"",ROUND(((N185+N(O185))-(B185+N(C185)))*24,1))</f>
        <v/>
      </c>
      <c r="Q185" s="17"/>
      <c r="R185" s="17"/>
      <c r="S185" s="17"/>
      <c r="T185" s="17"/>
      <c r="U185" s="17"/>
      <c r="V185" s="17"/>
      <c r="W185" s="44" t="str">
        <f aca="false">IF(OR(E185="",COUNTA(Q185:V185)=0),"",SUMIFS(Settings!$AA$2:$AA$21,Settings!$Y$2:$Y$21,"Budget AED 5k+/mo?",Settings!$Z$2:$Z$21,Q185)+SUMIFS(Settings!$AA$2:$AA$21,Settings!$Y$2:$Y$21,"Decision-maker?",Settings!$Z$2:$Z$21,R185)+SUMIFS(Settings!$AA$2:$AA$21,Settings!$Y$2:$Y$21,"Someone on camera?",Settings!$Z$2:$Z$21,S185)+SUMIFS(Settings!$AA$2:$AA$21,Settings!$Y$2:$Y$21,"OK with 3-month term?",Settings!$Z$2:$Z$21,T185)+SUMIFS(Settings!$AA$2:$AA$21,Settings!$Y$2:$Y$21,"Start timeline",Settings!$Z$2:$Z$21,U185)+SUMIFS(Settings!$AA$2:$AA$21,Settings!$Y$2:$Y$21,"Social media gap",Settings!$Z$2:$Z$21,V185)+IF(F185="",0,IF(COUNTIF(Settings!$AC$2:$AC$6,F185)&gt;0,Settings!$AA$20,Settings!$AA$21)))</f>
        <v/>
      </c>
      <c r="X185" s="44" t="str">
        <f aca="false">IF(E185="","",IF(COUNTA(Q185:V185)=0,"Not scored",IF(COUNTA(Q185:V185)&lt;6,"Partly scored ("&amp;COUNTA(Q185:V185)&amp;"/6)",IF(W185&gt;=Settings!$S$8,"Hot",IF(W185&gt;=Settings!$S$9,"Warm","Cold")))))</f>
        <v/>
      </c>
      <c r="Y185" s="44" t="str">
        <f aca="false">IF(E185="","",IF(AND(Q185="No",S185="No"),"🚩 Budget  ·  🚩 No one on camera",IF(Q185="No","🚩 Budget under AED 5k",IF(S185="No","🚩 No one on camera",""))))</f>
        <v/>
      </c>
      <c r="Z185" s="17"/>
      <c r="AA185" s="17"/>
      <c r="AB185" s="40"/>
      <c r="AC185" s="17"/>
      <c r="AD185" s="45" t="str">
        <f aca="false">IF(OR(E185="",AB185="",OR(AA185="Contract signed + paid",AA185="Closed – No response",AA185="Lost"),N(AC185)&gt;=Settings!$S$3),"",AB185+Settings!$S$2)</f>
        <v/>
      </c>
      <c r="AE185" s="40"/>
      <c r="AF185" s="41"/>
      <c r="AG185" s="17"/>
      <c r="AH185" s="17"/>
      <c r="AI185" s="17"/>
      <c r="AJ185" s="46" t="str">
        <f aca="true">IF(OR(E185="",B185=""),"",INT(TODAY()-B185))</f>
        <v/>
      </c>
      <c r="AK185" s="44" t="str">
        <f aca="true">IF(E185="","",IF(OR(COUNTIFS(Clients!$C$2:$C$501,E185,Clients!$S$2:$S$501,"Paid")&gt;0,AND(I185&lt;&gt;"",COUNTIFS(Clients!$E$2:$E$501,I185,Clients!$S$2:$S$501,"Paid")&gt;0)),"⚠ Refunded before – no free video",IF(OR(AA185="Contract signed + paid",AA185="Closed – No response",AA185="Lost"),"",IF(AA185="","Set a stage",IF(AND(AA185="Proposal sent",COUNTA(Q185:V185)&lt;6),"Score this lead – proposal sent unscored",IF(N(AC185)&gt;=Settings!$S$3,"Close – 4 follow-ups sent",IF(AD185="",IF(AB185="","Make first contact",""),IF(TODAY()&gt;AD185,"OVERDUE follow-up",IF(TODAY()=AD185,"Follow up today","")))))))))</f>
        <v/>
      </c>
    </row>
    <row r="186" customFormat="false" ht="15" hidden="false" customHeight="false" outlineLevel="0" collapsed="false">
      <c r="A186" s="17"/>
      <c r="B186" s="40"/>
      <c r="C186" s="41"/>
      <c r="D186" s="17"/>
      <c r="E186" s="17"/>
      <c r="F186" s="17"/>
      <c r="G186" s="17"/>
      <c r="H186" s="17"/>
      <c r="I186" s="42"/>
      <c r="J186" s="17"/>
      <c r="K186" s="17"/>
      <c r="L186" s="17"/>
      <c r="M186" s="17"/>
      <c r="N186" s="40"/>
      <c r="O186" s="41"/>
      <c r="P186" s="43" t="str">
        <f aca="false">IF(OR(B186="",N186=""),"",ROUND(((N186+N(O186))-(B186+N(C186)))*24,1))</f>
        <v/>
      </c>
      <c r="Q186" s="17"/>
      <c r="R186" s="17"/>
      <c r="S186" s="17"/>
      <c r="T186" s="17"/>
      <c r="U186" s="17"/>
      <c r="V186" s="17"/>
      <c r="W186" s="44" t="str">
        <f aca="false">IF(OR(E186="",COUNTA(Q186:V186)=0),"",SUMIFS(Settings!$AA$2:$AA$21,Settings!$Y$2:$Y$21,"Budget AED 5k+/mo?",Settings!$Z$2:$Z$21,Q186)+SUMIFS(Settings!$AA$2:$AA$21,Settings!$Y$2:$Y$21,"Decision-maker?",Settings!$Z$2:$Z$21,R186)+SUMIFS(Settings!$AA$2:$AA$21,Settings!$Y$2:$Y$21,"Someone on camera?",Settings!$Z$2:$Z$21,S186)+SUMIFS(Settings!$AA$2:$AA$21,Settings!$Y$2:$Y$21,"OK with 3-month term?",Settings!$Z$2:$Z$21,T186)+SUMIFS(Settings!$AA$2:$AA$21,Settings!$Y$2:$Y$21,"Start timeline",Settings!$Z$2:$Z$21,U186)+SUMIFS(Settings!$AA$2:$AA$21,Settings!$Y$2:$Y$21,"Social media gap",Settings!$Z$2:$Z$21,V186)+IF(F186="",0,IF(COUNTIF(Settings!$AC$2:$AC$6,F186)&gt;0,Settings!$AA$20,Settings!$AA$21)))</f>
        <v/>
      </c>
      <c r="X186" s="44" t="str">
        <f aca="false">IF(E186="","",IF(COUNTA(Q186:V186)=0,"Not scored",IF(COUNTA(Q186:V186)&lt;6,"Partly scored ("&amp;COUNTA(Q186:V186)&amp;"/6)",IF(W186&gt;=Settings!$S$8,"Hot",IF(W186&gt;=Settings!$S$9,"Warm","Cold")))))</f>
        <v/>
      </c>
      <c r="Y186" s="44" t="str">
        <f aca="false">IF(E186="","",IF(AND(Q186="No",S186="No"),"🚩 Budget  ·  🚩 No one on camera",IF(Q186="No","🚩 Budget under AED 5k",IF(S186="No","🚩 No one on camera",""))))</f>
        <v/>
      </c>
      <c r="Z186" s="17"/>
      <c r="AA186" s="17"/>
      <c r="AB186" s="40"/>
      <c r="AC186" s="17"/>
      <c r="AD186" s="45" t="str">
        <f aca="false">IF(OR(E186="",AB186="",OR(AA186="Contract signed + paid",AA186="Closed – No response",AA186="Lost"),N(AC186)&gt;=Settings!$S$3),"",AB186+Settings!$S$2)</f>
        <v/>
      </c>
      <c r="AE186" s="40"/>
      <c r="AF186" s="41"/>
      <c r="AG186" s="17"/>
      <c r="AH186" s="17"/>
      <c r="AI186" s="17"/>
      <c r="AJ186" s="46" t="str">
        <f aca="true">IF(OR(E186="",B186=""),"",INT(TODAY()-B186))</f>
        <v/>
      </c>
      <c r="AK186" s="44" t="str">
        <f aca="true">IF(E186="","",IF(OR(COUNTIFS(Clients!$C$2:$C$501,E186,Clients!$S$2:$S$501,"Paid")&gt;0,AND(I186&lt;&gt;"",COUNTIFS(Clients!$E$2:$E$501,I186,Clients!$S$2:$S$501,"Paid")&gt;0)),"⚠ Refunded before – no free video",IF(OR(AA186="Contract signed + paid",AA186="Closed – No response",AA186="Lost"),"",IF(AA186="","Set a stage",IF(AND(AA186="Proposal sent",COUNTA(Q186:V186)&lt;6),"Score this lead – proposal sent unscored",IF(N(AC186)&gt;=Settings!$S$3,"Close – 4 follow-ups sent",IF(AD186="",IF(AB186="","Make first contact",""),IF(TODAY()&gt;AD186,"OVERDUE follow-up",IF(TODAY()=AD186,"Follow up today","")))))))))</f>
        <v/>
      </c>
    </row>
    <row r="187" customFormat="false" ht="15" hidden="false" customHeight="false" outlineLevel="0" collapsed="false">
      <c r="A187" s="17"/>
      <c r="B187" s="40"/>
      <c r="C187" s="41"/>
      <c r="D187" s="17"/>
      <c r="E187" s="17"/>
      <c r="F187" s="17"/>
      <c r="G187" s="17"/>
      <c r="H187" s="17"/>
      <c r="I187" s="42"/>
      <c r="J187" s="17"/>
      <c r="K187" s="17"/>
      <c r="L187" s="17"/>
      <c r="M187" s="17"/>
      <c r="N187" s="40"/>
      <c r="O187" s="41"/>
      <c r="P187" s="43" t="str">
        <f aca="false">IF(OR(B187="",N187=""),"",ROUND(((N187+N(O187))-(B187+N(C187)))*24,1))</f>
        <v/>
      </c>
      <c r="Q187" s="17"/>
      <c r="R187" s="17"/>
      <c r="S187" s="17"/>
      <c r="T187" s="17"/>
      <c r="U187" s="17"/>
      <c r="V187" s="17"/>
      <c r="W187" s="44" t="str">
        <f aca="false">IF(OR(E187="",COUNTA(Q187:V187)=0),"",SUMIFS(Settings!$AA$2:$AA$21,Settings!$Y$2:$Y$21,"Budget AED 5k+/mo?",Settings!$Z$2:$Z$21,Q187)+SUMIFS(Settings!$AA$2:$AA$21,Settings!$Y$2:$Y$21,"Decision-maker?",Settings!$Z$2:$Z$21,R187)+SUMIFS(Settings!$AA$2:$AA$21,Settings!$Y$2:$Y$21,"Someone on camera?",Settings!$Z$2:$Z$21,S187)+SUMIFS(Settings!$AA$2:$AA$21,Settings!$Y$2:$Y$21,"OK with 3-month term?",Settings!$Z$2:$Z$21,T187)+SUMIFS(Settings!$AA$2:$AA$21,Settings!$Y$2:$Y$21,"Start timeline",Settings!$Z$2:$Z$21,U187)+SUMIFS(Settings!$AA$2:$AA$21,Settings!$Y$2:$Y$21,"Social media gap",Settings!$Z$2:$Z$21,V187)+IF(F187="",0,IF(COUNTIF(Settings!$AC$2:$AC$6,F187)&gt;0,Settings!$AA$20,Settings!$AA$21)))</f>
        <v/>
      </c>
      <c r="X187" s="44" t="str">
        <f aca="false">IF(E187="","",IF(COUNTA(Q187:V187)=0,"Not scored",IF(COUNTA(Q187:V187)&lt;6,"Partly scored ("&amp;COUNTA(Q187:V187)&amp;"/6)",IF(W187&gt;=Settings!$S$8,"Hot",IF(W187&gt;=Settings!$S$9,"Warm","Cold")))))</f>
        <v/>
      </c>
      <c r="Y187" s="44" t="str">
        <f aca="false">IF(E187="","",IF(AND(Q187="No",S187="No"),"🚩 Budget  ·  🚩 No one on camera",IF(Q187="No","🚩 Budget under AED 5k",IF(S187="No","🚩 No one on camera",""))))</f>
        <v/>
      </c>
      <c r="Z187" s="17"/>
      <c r="AA187" s="17"/>
      <c r="AB187" s="40"/>
      <c r="AC187" s="17"/>
      <c r="AD187" s="45" t="str">
        <f aca="false">IF(OR(E187="",AB187="",OR(AA187="Contract signed + paid",AA187="Closed – No response",AA187="Lost"),N(AC187)&gt;=Settings!$S$3),"",AB187+Settings!$S$2)</f>
        <v/>
      </c>
      <c r="AE187" s="40"/>
      <c r="AF187" s="41"/>
      <c r="AG187" s="17"/>
      <c r="AH187" s="17"/>
      <c r="AI187" s="17"/>
      <c r="AJ187" s="46" t="str">
        <f aca="true">IF(OR(E187="",B187=""),"",INT(TODAY()-B187))</f>
        <v/>
      </c>
      <c r="AK187" s="44" t="str">
        <f aca="true">IF(E187="","",IF(OR(COUNTIFS(Clients!$C$2:$C$501,E187,Clients!$S$2:$S$501,"Paid")&gt;0,AND(I187&lt;&gt;"",COUNTIFS(Clients!$E$2:$E$501,I187,Clients!$S$2:$S$501,"Paid")&gt;0)),"⚠ Refunded before – no free video",IF(OR(AA187="Contract signed + paid",AA187="Closed – No response",AA187="Lost"),"",IF(AA187="","Set a stage",IF(AND(AA187="Proposal sent",COUNTA(Q187:V187)&lt;6),"Score this lead – proposal sent unscored",IF(N(AC187)&gt;=Settings!$S$3,"Close – 4 follow-ups sent",IF(AD187="",IF(AB187="","Make first contact",""),IF(TODAY()&gt;AD187,"OVERDUE follow-up",IF(TODAY()=AD187,"Follow up today","")))))))))</f>
        <v/>
      </c>
    </row>
    <row r="188" customFormat="false" ht="15" hidden="false" customHeight="false" outlineLevel="0" collapsed="false">
      <c r="A188" s="17"/>
      <c r="B188" s="40"/>
      <c r="C188" s="41"/>
      <c r="D188" s="17"/>
      <c r="E188" s="17"/>
      <c r="F188" s="17"/>
      <c r="G188" s="17"/>
      <c r="H188" s="17"/>
      <c r="I188" s="42"/>
      <c r="J188" s="17"/>
      <c r="K188" s="17"/>
      <c r="L188" s="17"/>
      <c r="M188" s="17"/>
      <c r="N188" s="40"/>
      <c r="O188" s="41"/>
      <c r="P188" s="43" t="str">
        <f aca="false">IF(OR(B188="",N188=""),"",ROUND(((N188+N(O188))-(B188+N(C188)))*24,1))</f>
        <v/>
      </c>
      <c r="Q188" s="17"/>
      <c r="R188" s="17"/>
      <c r="S188" s="17"/>
      <c r="T188" s="17"/>
      <c r="U188" s="17"/>
      <c r="V188" s="17"/>
      <c r="W188" s="44" t="str">
        <f aca="false">IF(OR(E188="",COUNTA(Q188:V188)=0),"",SUMIFS(Settings!$AA$2:$AA$21,Settings!$Y$2:$Y$21,"Budget AED 5k+/mo?",Settings!$Z$2:$Z$21,Q188)+SUMIFS(Settings!$AA$2:$AA$21,Settings!$Y$2:$Y$21,"Decision-maker?",Settings!$Z$2:$Z$21,R188)+SUMIFS(Settings!$AA$2:$AA$21,Settings!$Y$2:$Y$21,"Someone on camera?",Settings!$Z$2:$Z$21,S188)+SUMIFS(Settings!$AA$2:$AA$21,Settings!$Y$2:$Y$21,"OK with 3-month term?",Settings!$Z$2:$Z$21,T188)+SUMIFS(Settings!$AA$2:$AA$21,Settings!$Y$2:$Y$21,"Start timeline",Settings!$Z$2:$Z$21,U188)+SUMIFS(Settings!$AA$2:$AA$21,Settings!$Y$2:$Y$21,"Social media gap",Settings!$Z$2:$Z$21,V188)+IF(F188="",0,IF(COUNTIF(Settings!$AC$2:$AC$6,F188)&gt;0,Settings!$AA$20,Settings!$AA$21)))</f>
        <v/>
      </c>
      <c r="X188" s="44" t="str">
        <f aca="false">IF(E188="","",IF(COUNTA(Q188:V188)=0,"Not scored",IF(COUNTA(Q188:V188)&lt;6,"Partly scored ("&amp;COUNTA(Q188:V188)&amp;"/6)",IF(W188&gt;=Settings!$S$8,"Hot",IF(W188&gt;=Settings!$S$9,"Warm","Cold")))))</f>
        <v/>
      </c>
      <c r="Y188" s="44" t="str">
        <f aca="false">IF(E188="","",IF(AND(Q188="No",S188="No"),"🚩 Budget  ·  🚩 No one on camera",IF(Q188="No","🚩 Budget under AED 5k",IF(S188="No","🚩 No one on camera",""))))</f>
        <v/>
      </c>
      <c r="Z188" s="17"/>
      <c r="AA188" s="17"/>
      <c r="AB188" s="40"/>
      <c r="AC188" s="17"/>
      <c r="AD188" s="45" t="str">
        <f aca="false">IF(OR(E188="",AB188="",OR(AA188="Contract signed + paid",AA188="Closed – No response",AA188="Lost"),N(AC188)&gt;=Settings!$S$3),"",AB188+Settings!$S$2)</f>
        <v/>
      </c>
      <c r="AE188" s="40"/>
      <c r="AF188" s="41"/>
      <c r="AG188" s="17"/>
      <c r="AH188" s="17"/>
      <c r="AI188" s="17"/>
      <c r="AJ188" s="46" t="str">
        <f aca="true">IF(OR(E188="",B188=""),"",INT(TODAY()-B188))</f>
        <v/>
      </c>
      <c r="AK188" s="44" t="str">
        <f aca="true">IF(E188="","",IF(OR(COUNTIFS(Clients!$C$2:$C$501,E188,Clients!$S$2:$S$501,"Paid")&gt;0,AND(I188&lt;&gt;"",COUNTIFS(Clients!$E$2:$E$501,I188,Clients!$S$2:$S$501,"Paid")&gt;0)),"⚠ Refunded before – no free video",IF(OR(AA188="Contract signed + paid",AA188="Closed – No response",AA188="Lost"),"",IF(AA188="","Set a stage",IF(AND(AA188="Proposal sent",COUNTA(Q188:V188)&lt;6),"Score this lead – proposal sent unscored",IF(N(AC188)&gt;=Settings!$S$3,"Close – 4 follow-ups sent",IF(AD188="",IF(AB188="","Make first contact",""),IF(TODAY()&gt;AD188,"OVERDUE follow-up",IF(TODAY()=AD188,"Follow up today","")))))))))</f>
        <v/>
      </c>
    </row>
    <row r="189" customFormat="false" ht="15" hidden="false" customHeight="false" outlineLevel="0" collapsed="false">
      <c r="A189" s="17"/>
      <c r="B189" s="40"/>
      <c r="C189" s="41"/>
      <c r="D189" s="17"/>
      <c r="E189" s="17"/>
      <c r="F189" s="17"/>
      <c r="G189" s="17"/>
      <c r="H189" s="17"/>
      <c r="I189" s="42"/>
      <c r="J189" s="17"/>
      <c r="K189" s="17"/>
      <c r="L189" s="17"/>
      <c r="M189" s="17"/>
      <c r="N189" s="40"/>
      <c r="O189" s="41"/>
      <c r="P189" s="43" t="str">
        <f aca="false">IF(OR(B189="",N189=""),"",ROUND(((N189+N(O189))-(B189+N(C189)))*24,1))</f>
        <v/>
      </c>
      <c r="Q189" s="17"/>
      <c r="R189" s="17"/>
      <c r="S189" s="17"/>
      <c r="T189" s="17"/>
      <c r="U189" s="17"/>
      <c r="V189" s="17"/>
      <c r="W189" s="44" t="str">
        <f aca="false">IF(OR(E189="",COUNTA(Q189:V189)=0),"",SUMIFS(Settings!$AA$2:$AA$21,Settings!$Y$2:$Y$21,"Budget AED 5k+/mo?",Settings!$Z$2:$Z$21,Q189)+SUMIFS(Settings!$AA$2:$AA$21,Settings!$Y$2:$Y$21,"Decision-maker?",Settings!$Z$2:$Z$21,R189)+SUMIFS(Settings!$AA$2:$AA$21,Settings!$Y$2:$Y$21,"Someone on camera?",Settings!$Z$2:$Z$21,S189)+SUMIFS(Settings!$AA$2:$AA$21,Settings!$Y$2:$Y$21,"OK with 3-month term?",Settings!$Z$2:$Z$21,T189)+SUMIFS(Settings!$AA$2:$AA$21,Settings!$Y$2:$Y$21,"Start timeline",Settings!$Z$2:$Z$21,U189)+SUMIFS(Settings!$AA$2:$AA$21,Settings!$Y$2:$Y$21,"Social media gap",Settings!$Z$2:$Z$21,V189)+IF(F189="",0,IF(COUNTIF(Settings!$AC$2:$AC$6,F189)&gt;0,Settings!$AA$20,Settings!$AA$21)))</f>
        <v/>
      </c>
      <c r="X189" s="44" t="str">
        <f aca="false">IF(E189="","",IF(COUNTA(Q189:V189)=0,"Not scored",IF(COUNTA(Q189:V189)&lt;6,"Partly scored ("&amp;COUNTA(Q189:V189)&amp;"/6)",IF(W189&gt;=Settings!$S$8,"Hot",IF(W189&gt;=Settings!$S$9,"Warm","Cold")))))</f>
        <v/>
      </c>
      <c r="Y189" s="44" t="str">
        <f aca="false">IF(E189="","",IF(AND(Q189="No",S189="No"),"🚩 Budget  ·  🚩 No one on camera",IF(Q189="No","🚩 Budget under AED 5k",IF(S189="No","🚩 No one on camera",""))))</f>
        <v/>
      </c>
      <c r="Z189" s="17"/>
      <c r="AA189" s="17"/>
      <c r="AB189" s="40"/>
      <c r="AC189" s="17"/>
      <c r="AD189" s="45" t="str">
        <f aca="false">IF(OR(E189="",AB189="",OR(AA189="Contract signed + paid",AA189="Closed – No response",AA189="Lost"),N(AC189)&gt;=Settings!$S$3),"",AB189+Settings!$S$2)</f>
        <v/>
      </c>
      <c r="AE189" s="40"/>
      <c r="AF189" s="41"/>
      <c r="AG189" s="17"/>
      <c r="AH189" s="17"/>
      <c r="AI189" s="17"/>
      <c r="AJ189" s="46" t="str">
        <f aca="true">IF(OR(E189="",B189=""),"",INT(TODAY()-B189))</f>
        <v/>
      </c>
      <c r="AK189" s="44" t="str">
        <f aca="true">IF(E189="","",IF(OR(COUNTIFS(Clients!$C$2:$C$501,E189,Clients!$S$2:$S$501,"Paid")&gt;0,AND(I189&lt;&gt;"",COUNTIFS(Clients!$E$2:$E$501,I189,Clients!$S$2:$S$501,"Paid")&gt;0)),"⚠ Refunded before – no free video",IF(OR(AA189="Contract signed + paid",AA189="Closed – No response",AA189="Lost"),"",IF(AA189="","Set a stage",IF(AND(AA189="Proposal sent",COUNTA(Q189:V189)&lt;6),"Score this lead – proposal sent unscored",IF(N(AC189)&gt;=Settings!$S$3,"Close – 4 follow-ups sent",IF(AD189="",IF(AB189="","Make first contact",""),IF(TODAY()&gt;AD189,"OVERDUE follow-up",IF(TODAY()=AD189,"Follow up today","")))))))))</f>
        <v/>
      </c>
    </row>
    <row r="190" customFormat="false" ht="15" hidden="false" customHeight="false" outlineLevel="0" collapsed="false">
      <c r="A190" s="17"/>
      <c r="B190" s="40"/>
      <c r="C190" s="41"/>
      <c r="D190" s="17"/>
      <c r="E190" s="17"/>
      <c r="F190" s="17"/>
      <c r="G190" s="17"/>
      <c r="H190" s="17"/>
      <c r="I190" s="42"/>
      <c r="J190" s="17"/>
      <c r="K190" s="17"/>
      <c r="L190" s="17"/>
      <c r="M190" s="17"/>
      <c r="N190" s="40"/>
      <c r="O190" s="41"/>
      <c r="P190" s="43" t="str">
        <f aca="false">IF(OR(B190="",N190=""),"",ROUND(((N190+N(O190))-(B190+N(C190)))*24,1))</f>
        <v/>
      </c>
      <c r="Q190" s="17"/>
      <c r="R190" s="17"/>
      <c r="S190" s="17"/>
      <c r="T190" s="17"/>
      <c r="U190" s="17"/>
      <c r="V190" s="17"/>
      <c r="W190" s="44" t="str">
        <f aca="false">IF(OR(E190="",COUNTA(Q190:V190)=0),"",SUMIFS(Settings!$AA$2:$AA$21,Settings!$Y$2:$Y$21,"Budget AED 5k+/mo?",Settings!$Z$2:$Z$21,Q190)+SUMIFS(Settings!$AA$2:$AA$21,Settings!$Y$2:$Y$21,"Decision-maker?",Settings!$Z$2:$Z$21,R190)+SUMIFS(Settings!$AA$2:$AA$21,Settings!$Y$2:$Y$21,"Someone on camera?",Settings!$Z$2:$Z$21,S190)+SUMIFS(Settings!$AA$2:$AA$21,Settings!$Y$2:$Y$21,"OK with 3-month term?",Settings!$Z$2:$Z$21,T190)+SUMIFS(Settings!$AA$2:$AA$21,Settings!$Y$2:$Y$21,"Start timeline",Settings!$Z$2:$Z$21,U190)+SUMIFS(Settings!$AA$2:$AA$21,Settings!$Y$2:$Y$21,"Social media gap",Settings!$Z$2:$Z$21,V190)+IF(F190="",0,IF(COUNTIF(Settings!$AC$2:$AC$6,F190)&gt;0,Settings!$AA$20,Settings!$AA$21)))</f>
        <v/>
      </c>
      <c r="X190" s="44" t="str">
        <f aca="false">IF(E190="","",IF(COUNTA(Q190:V190)=0,"Not scored",IF(COUNTA(Q190:V190)&lt;6,"Partly scored ("&amp;COUNTA(Q190:V190)&amp;"/6)",IF(W190&gt;=Settings!$S$8,"Hot",IF(W190&gt;=Settings!$S$9,"Warm","Cold")))))</f>
        <v/>
      </c>
      <c r="Y190" s="44" t="str">
        <f aca="false">IF(E190="","",IF(AND(Q190="No",S190="No"),"🚩 Budget  ·  🚩 No one on camera",IF(Q190="No","🚩 Budget under AED 5k",IF(S190="No","🚩 No one on camera",""))))</f>
        <v/>
      </c>
      <c r="Z190" s="17"/>
      <c r="AA190" s="17"/>
      <c r="AB190" s="40"/>
      <c r="AC190" s="17"/>
      <c r="AD190" s="45" t="str">
        <f aca="false">IF(OR(E190="",AB190="",OR(AA190="Contract signed + paid",AA190="Closed – No response",AA190="Lost"),N(AC190)&gt;=Settings!$S$3),"",AB190+Settings!$S$2)</f>
        <v/>
      </c>
      <c r="AE190" s="40"/>
      <c r="AF190" s="41"/>
      <c r="AG190" s="17"/>
      <c r="AH190" s="17"/>
      <c r="AI190" s="17"/>
      <c r="AJ190" s="46" t="str">
        <f aca="true">IF(OR(E190="",B190=""),"",INT(TODAY()-B190))</f>
        <v/>
      </c>
      <c r="AK190" s="44" t="str">
        <f aca="true">IF(E190="","",IF(OR(COUNTIFS(Clients!$C$2:$C$501,E190,Clients!$S$2:$S$501,"Paid")&gt;0,AND(I190&lt;&gt;"",COUNTIFS(Clients!$E$2:$E$501,I190,Clients!$S$2:$S$501,"Paid")&gt;0)),"⚠ Refunded before – no free video",IF(OR(AA190="Contract signed + paid",AA190="Closed – No response",AA190="Lost"),"",IF(AA190="","Set a stage",IF(AND(AA190="Proposal sent",COUNTA(Q190:V190)&lt;6),"Score this lead – proposal sent unscored",IF(N(AC190)&gt;=Settings!$S$3,"Close – 4 follow-ups sent",IF(AD190="",IF(AB190="","Make first contact",""),IF(TODAY()&gt;AD190,"OVERDUE follow-up",IF(TODAY()=AD190,"Follow up today","")))))))))</f>
        <v/>
      </c>
    </row>
    <row r="191" customFormat="false" ht="15" hidden="false" customHeight="false" outlineLevel="0" collapsed="false">
      <c r="A191" s="17"/>
      <c r="B191" s="40"/>
      <c r="C191" s="41"/>
      <c r="D191" s="17"/>
      <c r="E191" s="17"/>
      <c r="F191" s="17"/>
      <c r="G191" s="17"/>
      <c r="H191" s="17"/>
      <c r="I191" s="42"/>
      <c r="J191" s="17"/>
      <c r="K191" s="17"/>
      <c r="L191" s="17"/>
      <c r="M191" s="17"/>
      <c r="N191" s="40"/>
      <c r="O191" s="41"/>
      <c r="P191" s="43" t="str">
        <f aca="false">IF(OR(B191="",N191=""),"",ROUND(((N191+N(O191))-(B191+N(C191)))*24,1))</f>
        <v/>
      </c>
      <c r="Q191" s="17"/>
      <c r="R191" s="17"/>
      <c r="S191" s="17"/>
      <c r="T191" s="17"/>
      <c r="U191" s="17"/>
      <c r="V191" s="17"/>
      <c r="W191" s="44" t="str">
        <f aca="false">IF(OR(E191="",COUNTA(Q191:V191)=0),"",SUMIFS(Settings!$AA$2:$AA$21,Settings!$Y$2:$Y$21,"Budget AED 5k+/mo?",Settings!$Z$2:$Z$21,Q191)+SUMIFS(Settings!$AA$2:$AA$21,Settings!$Y$2:$Y$21,"Decision-maker?",Settings!$Z$2:$Z$21,R191)+SUMIFS(Settings!$AA$2:$AA$21,Settings!$Y$2:$Y$21,"Someone on camera?",Settings!$Z$2:$Z$21,S191)+SUMIFS(Settings!$AA$2:$AA$21,Settings!$Y$2:$Y$21,"OK with 3-month term?",Settings!$Z$2:$Z$21,T191)+SUMIFS(Settings!$AA$2:$AA$21,Settings!$Y$2:$Y$21,"Start timeline",Settings!$Z$2:$Z$21,U191)+SUMIFS(Settings!$AA$2:$AA$21,Settings!$Y$2:$Y$21,"Social media gap",Settings!$Z$2:$Z$21,V191)+IF(F191="",0,IF(COUNTIF(Settings!$AC$2:$AC$6,F191)&gt;0,Settings!$AA$20,Settings!$AA$21)))</f>
        <v/>
      </c>
      <c r="X191" s="44" t="str">
        <f aca="false">IF(E191="","",IF(COUNTA(Q191:V191)=0,"Not scored",IF(COUNTA(Q191:V191)&lt;6,"Partly scored ("&amp;COUNTA(Q191:V191)&amp;"/6)",IF(W191&gt;=Settings!$S$8,"Hot",IF(W191&gt;=Settings!$S$9,"Warm","Cold")))))</f>
        <v/>
      </c>
      <c r="Y191" s="44" t="str">
        <f aca="false">IF(E191="","",IF(AND(Q191="No",S191="No"),"🚩 Budget  ·  🚩 No one on camera",IF(Q191="No","🚩 Budget under AED 5k",IF(S191="No","🚩 No one on camera",""))))</f>
        <v/>
      </c>
      <c r="Z191" s="17"/>
      <c r="AA191" s="17"/>
      <c r="AB191" s="40"/>
      <c r="AC191" s="17"/>
      <c r="AD191" s="45" t="str">
        <f aca="false">IF(OR(E191="",AB191="",OR(AA191="Contract signed + paid",AA191="Closed – No response",AA191="Lost"),N(AC191)&gt;=Settings!$S$3),"",AB191+Settings!$S$2)</f>
        <v/>
      </c>
      <c r="AE191" s="40"/>
      <c r="AF191" s="41"/>
      <c r="AG191" s="17"/>
      <c r="AH191" s="17"/>
      <c r="AI191" s="17"/>
      <c r="AJ191" s="46" t="str">
        <f aca="true">IF(OR(E191="",B191=""),"",INT(TODAY()-B191))</f>
        <v/>
      </c>
      <c r="AK191" s="44" t="str">
        <f aca="true">IF(E191="","",IF(OR(COUNTIFS(Clients!$C$2:$C$501,E191,Clients!$S$2:$S$501,"Paid")&gt;0,AND(I191&lt;&gt;"",COUNTIFS(Clients!$E$2:$E$501,I191,Clients!$S$2:$S$501,"Paid")&gt;0)),"⚠ Refunded before – no free video",IF(OR(AA191="Contract signed + paid",AA191="Closed – No response",AA191="Lost"),"",IF(AA191="","Set a stage",IF(AND(AA191="Proposal sent",COUNTA(Q191:V191)&lt;6),"Score this lead – proposal sent unscored",IF(N(AC191)&gt;=Settings!$S$3,"Close – 4 follow-ups sent",IF(AD191="",IF(AB191="","Make first contact",""),IF(TODAY()&gt;AD191,"OVERDUE follow-up",IF(TODAY()=AD191,"Follow up today","")))))))))</f>
        <v/>
      </c>
    </row>
    <row r="192" customFormat="false" ht="15" hidden="false" customHeight="false" outlineLevel="0" collapsed="false">
      <c r="A192" s="17"/>
      <c r="B192" s="40"/>
      <c r="C192" s="41"/>
      <c r="D192" s="17"/>
      <c r="E192" s="17"/>
      <c r="F192" s="17"/>
      <c r="G192" s="17"/>
      <c r="H192" s="17"/>
      <c r="I192" s="42"/>
      <c r="J192" s="17"/>
      <c r="K192" s="17"/>
      <c r="L192" s="17"/>
      <c r="M192" s="17"/>
      <c r="N192" s="40"/>
      <c r="O192" s="41"/>
      <c r="P192" s="43" t="str">
        <f aca="false">IF(OR(B192="",N192=""),"",ROUND(((N192+N(O192))-(B192+N(C192)))*24,1))</f>
        <v/>
      </c>
      <c r="Q192" s="17"/>
      <c r="R192" s="17"/>
      <c r="S192" s="17"/>
      <c r="T192" s="17"/>
      <c r="U192" s="17"/>
      <c r="V192" s="17"/>
      <c r="W192" s="44" t="str">
        <f aca="false">IF(OR(E192="",COUNTA(Q192:V192)=0),"",SUMIFS(Settings!$AA$2:$AA$21,Settings!$Y$2:$Y$21,"Budget AED 5k+/mo?",Settings!$Z$2:$Z$21,Q192)+SUMIFS(Settings!$AA$2:$AA$21,Settings!$Y$2:$Y$21,"Decision-maker?",Settings!$Z$2:$Z$21,R192)+SUMIFS(Settings!$AA$2:$AA$21,Settings!$Y$2:$Y$21,"Someone on camera?",Settings!$Z$2:$Z$21,S192)+SUMIFS(Settings!$AA$2:$AA$21,Settings!$Y$2:$Y$21,"OK with 3-month term?",Settings!$Z$2:$Z$21,T192)+SUMIFS(Settings!$AA$2:$AA$21,Settings!$Y$2:$Y$21,"Start timeline",Settings!$Z$2:$Z$21,U192)+SUMIFS(Settings!$AA$2:$AA$21,Settings!$Y$2:$Y$21,"Social media gap",Settings!$Z$2:$Z$21,V192)+IF(F192="",0,IF(COUNTIF(Settings!$AC$2:$AC$6,F192)&gt;0,Settings!$AA$20,Settings!$AA$21)))</f>
        <v/>
      </c>
      <c r="X192" s="44" t="str">
        <f aca="false">IF(E192="","",IF(COUNTA(Q192:V192)=0,"Not scored",IF(COUNTA(Q192:V192)&lt;6,"Partly scored ("&amp;COUNTA(Q192:V192)&amp;"/6)",IF(W192&gt;=Settings!$S$8,"Hot",IF(W192&gt;=Settings!$S$9,"Warm","Cold")))))</f>
        <v/>
      </c>
      <c r="Y192" s="44" t="str">
        <f aca="false">IF(E192="","",IF(AND(Q192="No",S192="No"),"🚩 Budget  ·  🚩 No one on camera",IF(Q192="No","🚩 Budget under AED 5k",IF(S192="No","🚩 No one on camera",""))))</f>
        <v/>
      </c>
      <c r="Z192" s="17"/>
      <c r="AA192" s="17"/>
      <c r="AB192" s="40"/>
      <c r="AC192" s="17"/>
      <c r="AD192" s="45" t="str">
        <f aca="false">IF(OR(E192="",AB192="",OR(AA192="Contract signed + paid",AA192="Closed – No response",AA192="Lost"),N(AC192)&gt;=Settings!$S$3),"",AB192+Settings!$S$2)</f>
        <v/>
      </c>
      <c r="AE192" s="40"/>
      <c r="AF192" s="41"/>
      <c r="AG192" s="17"/>
      <c r="AH192" s="17"/>
      <c r="AI192" s="17"/>
      <c r="AJ192" s="46" t="str">
        <f aca="true">IF(OR(E192="",B192=""),"",INT(TODAY()-B192))</f>
        <v/>
      </c>
      <c r="AK192" s="44" t="str">
        <f aca="true">IF(E192="","",IF(OR(COUNTIFS(Clients!$C$2:$C$501,E192,Clients!$S$2:$S$501,"Paid")&gt;0,AND(I192&lt;&gt;"",COUNTIFS(Clients!$E$2:$E$501,I192,Clients!$S$2:$S$501,"Paid")&gt;0)),"⚠ Refunded before – no free video",IF(OR(AA192="Contract signed + paid",AA192="Closed – No response",AA192="Lost"),"",IF(AA192="","Set a stage",IF(AND(AA192="Proposal sent",COUNTA(Q192:V192)&lt;6),"Score this lead – proposal sent unscored",IF(N(AC192)&gt;=Settings!$S$3,"Close – 4 follow-ups sent",IF(AD192="",IF(AB192="","Make first contact",""),IF(TODAY()&gt;AD192,"OVERDUE follow-up",IF(TODAY()=AD192,"Follow up today","")))))))))</f>
        <v/>
      </c>
    </row>
    <row r="193" customFormat="false" ht="15" hidden="false" customHeight="false" outlineLevel="0" collapsed="false">
      <c r="A193" s="17"/>
      <c r="B193" s="40"/>
      <c r="C193" s="41"/>
      <c r="D193" s="17"/>
      <c r="E193" s="17"/>
      <c r="F193" s="17"/>
      <c r="G193" s="17"/>
      <c r="H193" s="17"/>
      <c r="I193" s="42"/>
      <c r="J193" s="17"/>
      <c r="K193" s="17"/>
      <c r="L193" s="17"/>
      <c r="M193" s="17"/>
      <c r="N193" s="40"/>
      <c r="O193" s="41"/>
      <c r="P193" s="43" t="str">
        <f aca="false">IF(OR(B193="",N193=""),"",ROUND(((N193+N(O193))-(B193+N(C193)))*24,1))</f>
        <v/>
      </c>
      <c r="Q193" s="17"/>
      <c r="R193" s="17"/>
      <c r="S193" s="17"/>
      <c r="T193" s="17"/>
      <c r="U193" s="17"/>
      <c r="V193" s="17"/>
      <c r="W193" s="44" t="str">
        <f aca="false">IF(OR(E193="",COUNTA(Q193:V193)=0),"",SUMIFS(Settings!$AA$2:$AA$21,Settings!$Y$2:$Y$21,"Budget AED 5k+/mo?",Settings!$Z$2:$Z$21,Q193)+SUMIFS(Settings!$AA$2:$AA$21,Settings!$Y$2:$Y$21,"Decision-maker?",Settings!$Z$2:$Z$21,R193)+SUMIFS(Settings!$AA$2:$AA$21,Settings!$Y$2:$Y$21,"Someone on camera?",Settings!$Z$2:$Z$21,S193)+SUMIFS(Settings!$AA$2:$AA$21,Settings!$Y$2:$Y$21,"OK with 3-month term?",Settings!$Z$2:$Z$21,T193)+SUMIFS(Settings!$AA$2:$AA$21,Settings!$Y$2:$Y$21,"Start timeline",Settings!$Z$2:$Z$21,U193)+SUMIFS(Settings!$AA$2:$AA$21,Settings!$Y$2:$Y$21,"Social media gap",Settings!$Z$2:$Z$21,V193)+IF(F193="",0,IF(COUNTIF(Settings!$AC$2:$AC$6,F193)&gt;0,Settings!$AA$20,Settings!$AA$21)))</f>
        <v/>
      </c>
      <c r="X193" s="44" t="str">
        <f aca="false">IF(E193="","",IF(COUNTA(Q193:V193)=0,"Not scored",IF(COUNTA(Q193:V193)&lt;6,"Partly scored ("&amp;COUNTA(Q193:V193)&amp;"/6)",IF(W193&gt;=Settings!$S$8,"Hot",IF(W193&gt;=Settings!$S$9,"Warm","Cold")))))</f>
        <v/>
      </c>
      <c r="Y193" s="44" t="str">
        <f aca="false">IF(E193="","",IF(AND(Q193="No",S193="No"),"🚩 Budget  ·  🚩 No one on camera",IF(Q193="No","🚩 Budget under AED 5k",IF(S193="No","🚩 No one on camera",""))))</f>
        <v/>
      </c>
      <c r="Z193" s="17"/>
      <c r="AA193" s="17"/>
      <c r="AB193" s="40"/>
      <c r="AC193" s="17"/>
      <c r="AD193" s="45" t="str">
        <f aca="false">IF(OR(E193="",AB193="",OR(AA193="Contract signed + paid",AA193="Closed – No response",AA193="Lost"),N(AC193)&gt;=Settings!$S$3),"",AB193+Settings!$S$2)</f>
        <v/>
      </c>
      <c r="AE193" s="40"/>
      <c r="AF193" s="41"/>
      <c r="AG193" s="17"/>
      <c r="AH193" s="17"/>
      <c r="AI193" s="17"/>
      <c r="AJ193" s="46" t="str">
        <f aca="true">IF(OR(E193="",B193=""),"",INT(TODAY()-B193))</f>
        <v/>
      </c>
      <c r="AK193" s="44" t="str">
        <f aca="true">IF(E193="","",IF(OR(COUNTIFS(Clients!$C$2:$C$501,E193,Clients!$S$2:$S$501,"Paid")&gt;0,AND(I193&lt;&gt;"",COUNTIFS(Clients!$E$2:$E$501,I193,Clients!$S$2:$S$501,"Paid")&gt;0)),"⚠ Refunded before – no free video",IF(OR(AA193="Contract signed + paid",AA193="Closed – No response",AA193="Lost"),"",IF(AA193="","Set a stage",IF(AND(AA193="Proposal sent",COUNTA(Q193:V193)&lt;6),"Score this lead – proposal sent unscored",IF(N(AC193)&gt;=Settings!$S$3,"Close – 4 follow-ups sent",IF(AD193="",IF(AB193="","Make first contact",""),IF(TODAY()&gt;AD193,"OVERDUE follow-up",IF(TODAY()=AD193,"Follow up today","")))))))))</f>
        <v/>
      </c>
    </row>
    <row r="194" customFormat="false" ht="15" hidden="false" customHeight="false" outlineLevel="0" collapsed="false">
      <c r="A194" s="17"/>
      <c r="B194" s="40"/>
      <c r="C194" s="41"/>
      <c r="D194" s="17"/>
      <c r="E194" s="17"/>
      <c r="F194" s="17"/>
      <c r="G194" s="17"/>
      <c r="H194" s="17"/>
      <c r="I194" s="42"/>
      <c r="J194" s="17"/>
      <c r="K194" s="17"/>
      <c r="L194" s="17"/>
      <c r="M194" s="17"/>
      <c r="N194" s="40"/>
      <c r="O194" s="41"/>
      <c r="P194" s="43" t="str">
        <f aca="false">IF(OR(B194="",N194=""),"",ROUND(((N194+N(O194))-(B194+N(C194)))*24,1))</f>
        <v/>
      </c>
      <c r="Q194" s="17"/>
      <c r="R194" s="17"/>
      <c r="S194" s="17"/>
      <c r="T194" s="17"/>
      <c r="U194" s="17"/>
      <c r="V194" s="17"/>
      <c r="W194" s="44" t="str">
        <f aca="false">IF(OR(E194="",COUNTA(Q194:V194)=0),"",SUMIFS(Settings!$AA$2:$AA$21,Settings!$Y$2:$Y$21,"Budget AED 5k+/mo?",Settings!$Z$2:$Z$21,Q194)+SUMIFS(Settings!$AA$2:$AA$21,Settings!$Y$2:$Y$21,"Decision-maker?",Settings!$Z$2:$Z$21,R194)+SUMIFS(Settings!$AA$2:$AA$21,Settings!$Y$2:$Y$21,"Someone on camera?",Settings!$Z$2:$Z$21,S194)+SUMIFS(Settings!$AA$2:$AA$21,Settings!$Y$2:$Y$21,"OK with 3-month term?",Settings!$Z$2:$Z$21,T194)+SUMIFS(Settings!$AA$2:$AA$21,Settings!$Y$2:$Y$21,"Start timeline",Settings!$Z$2:$Z$21,U194)+SUMIFS(Settings!$AA$2:$AA$21,Settings!$Y$2:$Y$21,"Social media gap",Settings!$Z$2:$Z$21,V194)+IF(F194="",0,IF(COUNTIF(Settings!$AC$2:$AC$6,F194)&gt;0,Settings!$AA$20,Settings!$AA$21)))</f>
        <v/>
      </c>
      <c r="X194" s="44" t="str">
        <f aca="false">IF(E194="","",IF(COUNTA(Q194:V194)=0,"Not scored",IF(COUNTA(Q194:V194)&lt;6,"Partly scored ("&amp;COUNTA(Q194:V194)&amp;"/6)",IF(W194&gt;=Settings!$S$8,"Hot",IF(W194&gt;=Settings!$S$9,"Warm","Cold")))))</f>
        <v/>
      </c>
      <c r="Y194" s="44" t="str">
        <f aca="false">IF(E194="","",IF(AND(Q194="No",S194="No"),"🚩 Budget  ·  🚩 No one on camera",IF(Q194="No","🚩 Budget under AED 5k",IF(S194="No","🚩 No one on camera",""))))</f>
        <v/>
      </c>
      <c r="Z194" s="17"/>
      <c r="AA194" s="17"/>
      <c r="AB194" s="40"/>
      <c r="AC194" s="17"/>
      <c r="AD194" s="45" t="str">
        <f aca="false">IF(OR(E194="",AB194="",OR(AA194="Contract signed + paid",AA194="Closed – No response",AA194="Lost"),N(AC194)&gt;=Settings!$S$3),"",AB194+Settings!$S$2)</f>
        <v/>
      </c>
      <c r="AE194" s="40"/>
      <c r="AF194" s="41"/>
      <c r="AG194" s="17"/>
      <c r="AH194" s="17"/>
      <c r="AI194" s="17"/>
      <c r="AJ194" s="46" t="str">
        <f aca="true">IF(OR(E194="",B194=""),"",INT(TODAY()-B194))</f>
        <v/>
      </c>
      <c r="AK194" s="44" t="str">
        <f aca="true">IF(E194="","",IF(OR(COUNTIFS(Clients!$C$2:$C$501,E194,Clients!$S$2:$S$501,"Paid")&gt;0,AND(I194&lt;&gt;"",COUNTIFS(Clients!$E$2:$E$501,I194,Clients!$S$2:$S$501,"Paid")&gt;0)),"⚠ Refunded before – no free video",IF(OR(AA194="Contract signed + paid",AA194="Closed – No response",AA194="Lost"),"",IF(AA194="","Set a stage",IF(AND(AA194="Proposal sent",COUNTA(Q194:V194)&lt;6),"Score this lead – proposal sent unscored",IF(N(AC194)&gt;=Settings!$S$3,"Close – 4 follow-ups sent",IF(AD194="",IF(AB194="","Make first contact",""),IF(TODAY()&gt;AD194,"OVERDUE follow-up",IF(TODAY()=AD194,"Follow up today","")))))))))</f>
        <v/>
      </c>
    </row>
    <row r="195" customFormat="false" ht="15" hidden="false" customHeight="false" outlineLevel="0" collapsed="false">
      <c r="A195" s="17"/>
      <c r="B195" s="40"/>
      <c r="C195" s="41"/>
      <c r="D195" s="17"/>
      <c r="E195" s="17"/>
      <c r="F195" s="17"/>
      <c r="G195" s="17"/>
      <c r="H195" s="17"/>
      <c r="I195" s="42"/>
      <c r="J195" s="17"/>
      <c r="K195" s="17"/>
      <c r="L195" s="17"/>
      <c r="M195" s="17"/>
      <c r="N195" s="40"/>
      <c r="O195" s="41"/>
      <c r="P195" s="43" t="str">
        <f aca="false">IF(OR(B195="",N195=""),"",ROUND(((N195+N(O195))-(B195+N(C195)))*24,1))</f>
        <v/>
      </c>
      <c r="Q195" s="17"/>
      <c r="R195" s="17"/>
      <c r="S195" s="17"/>
      <c r="T195" s="17"/>
      <c r="U195" s="17"/>
      <c r="V195" s="17"/>
      <c r="W195" s="44" t="str">
        <f aca="false">IF(OR(E195="",COUNTA(Q195:V195)=0),"",SUMIFS(Settings!$AA$2:$AA$21,Settings!$Y$2:$Y$21,"Budget AED 5k+/mo?",Settings!$Z$2:$Z$21,Q195)+SUMIFS(Settings!$AA$2:$AA$21,Settings!$Y$2:$Y$21,"Decision-maker?",Settings!$Z$2:$Z$21,R195)+SUMIFS(Settings!$AA$2:$AA$21,Settings!$Y$2:$Y$21,"Someone on camera?",Settings!$Z$2:$Z$21,S195)+SUMIFS(Settings!$AA$2:$AA$21,Settings!$Y$2:$Y$21,"OK with 3-month term?",Settings!$Z$2:$Z$21,T195)+SUMIFS(Settings!$AA$2:$AA$21,Settings!$Y$2:$Y$21,"Start timeline",Settings!$Z$2:$Z$21,U195)+SUMIFS(Settings!$AA$2:$AA$21,Settings!$Y$2:$Y$21,"Social media gap",Settings!$Z$2:$Z$21,V195)+IF(F195="",0,IF(COUNTIF(Settings!$AC$2:$AC$6,F195)&gt;0,Settings!$AA$20,Settings!$AA$21)))</f>
        <v/>
      </c>
      <c r="X195" s="44" t="str">
        <f aca="false">IF(E195="","",IF(COUNTA(Q195:V195)=0,"Not scored",IF(COUNTA(Q195:V195)&lt;6,"Partly scored ("&amp;COUNTA(Q195:V195)&amp;"/6)",IF(W195&gt;=Settings!$S$8,"Hot",IF(W195&gt;=Settings!$S$9,"Warm","Cold")))))</f>
        <v/>
      </c>
      <c r="Y195" s="44" t="str">
        <f aca="false">IF(E195="","",IF(AND(Q195="No",S195="No"),"🚩 Budget  ·  🚩 No one on camera",IF(Q195="No","🚩 Budget under AED 5k",IF(S195="No","🚩 No one on camera",""))))</f>
        <v/>
      </c>
      <c r="Z195" s="17"/>
      <c r="AA195" s="17"/>
      <c r="AB195" s="40"/>
      <c r="AC195" s="17"/>
      <c r="AD195" s="45" t="str">
        <f aca="false">IF(OR(E195="",AB195="",OR(AA195="Contract signed + paid",AA195="Closed – No response",AA195="Lost"),N(AC195)&gt;=Settings!$S$3),"",AB195+Settings!$S$2)</f>
        <v/>
      </c>
      <c r="AE195" s="40"/>
      <c r="AF195" s="41"/>
      <c r="AG195" s="17"/>
      <c r="AH195" s="17"/>
      <c r="AI195" s="17"/>
      <c r="AJ195" s="46" t="str">
        <f aca="true">IF(OR(E195="",B195=""),"",INT(TODAY()-B195))</f>
        <v/>
      </c>
      <c r="AK195" s="44" t="str">
        <f aca="true">IF(E195="","",IF(OR(COUNTIFS(Clients!$C$2:$C$501,E195,Clients!$S$2:$S$501,"Paid")&gt;0,AND(I195&lt;&gt;"",COUNTIFS(Clients!$E$2:$E$501,I195,Clients!$S$2:$S$501,"Paid")&gt;0)),"⚠ Refunded before – no free video",IF(OR(AA195="Contract signed + paid",AA195="Closed – No response",AA195="Lost"),"",IF(AA195="","Set a stage",IF(AND(AA195="Proposal sent",COUNTA(Q195:V195)&lt;6),"Score this lead – proposal sent unscored",IF(N(AC195)&gt;=Settings!$S$3,"Close – 4 follow-ups sent",IF(AD195="",IF(AB195="","Make first contact",""),IF(TODAY()&gt;AD195,"OVERDUE follow-up",IF(TODAY()=AD195,"Follow up today","")))))))))</f>
        <v/>
      </c>
    </row>
    <row r="196" customFormat="false" ht="15" hidden="false" customHeight="false" outlineLevel="0" collapsed="false">
      <c r="A196" s="17"/>
      <c r="B196" s="40"/>
      <c r="C196" s="41"/>
      <c r="D196" s="17"/>
      <c r="E196" s="17"/>
      <c r="F196" s="17"/>
      <c r="G196" s="17"/>
      <c r="H196" s="17"/>
      <c r="I196" s="42"/>
      <c r="J196" s="17"/>
      <c r="K196" s="17"/>
      <c r="L196" s="17"/>
      <c r="M196" s="17"/>
      <c r="N196" s="40"/>
      <c r="O196" s="41"/>
      <c r="P196" s="43" t="str">
        <f aca="false">IF(OR(B196="",N196=""),"",ROUND(((N196+N(O196))-(B196+N(C196)))*24,1))</f>
        <v/>
      </c>
      <c r="Q196" s="17"/>
      <c r="R196" s="17"/>
      <c r="S196" s="17"/>
      <c r="T196" s="17"/>
      <c r="U196" s="17"/>
      <c r="V196" s="17"/>
      <c r="W196" s="44" t="str">
        <f aca="false">IF(OR(E196="",COUNTA(Q196:V196)=0),"",SUMIFS(Settings!$AA$2:$AA$21,Settings!$Y$2:$Y$21,"Budget AED 5k+/mo?",Settings!$Z$2:$Z$21,Q196)+SUMIFS(Settings!$AA$2:$AA$21,Settings!$Y$2:$Y$21,"Decision-maker?",Settings!$Z$2:$Z$21,R196)+SUMIFS(Settings!$AA$2:$AA$21,Settings!$Y$2:$Y$21,"Someone on camera?",Settings!$Z$2:$Z$21,S196)+SUMIFS(Settings!$AA$2:$AA$21,Settings!$Y$2:$Y$21,"OK with 3-month term?",Settings!$Z$2:$Z$21,T196)+SUMIFS(Settings!$AA$2:$AA$21,Settings!$Y$2:$Y$21,"Start timeline",Settings!$Z$2:$Z$21,U196)+SUMIFS(Settings!$AA$2:$AA$21,Settings!$Y$2:$Y$21,"Social media gap",Settings!$Z$2:$Z$21,V196)+IF(F196="",0,IF(COUNTIF(Settings!$AC$2:$AC$6,F196)&gt;0,Settings!$AA$20,Settings!$AA$21)))</f>
        <v/>
      </c>
      <c r="X196" s="44" t="str">
        <f aca="false">IF(E196="","",IF(COUNTA(Q196:V196)=0,"Not scored",IF(COUNTA(Q196:V196)&lt;6,"Partly scored ("&amp;COUNTA(Q196:V196)&amp;"/6)",IF(W196&gt;=Settings!$S$8,"Hot",IF(W196&gt;=Settings!$S$9,"Warm","Cold")))))</f>
        <v/>
      </c>
      <c r="Y196" s="44" t="str">
        <f aca="false">IF(E196="","",IF(AND(Q196="No",S196="No"),"🚩 Budget  ·  🚩 No one on camera",IF(Q196="No","🚩 Budget under AED 5k",IF(S196="No","🚩 No one on camera",""))))</f>
        <v/>
      </c>
      <c r="Z196" s="17"/>
      <c r="AA196" s="17"/>
      <c r="AB196" s="40"/>
      <c r="AC196" s="17"/>
      <c r="AD196" s="45" t="str">
        <f aca="false">IF(OR(E196="",AB196="",OR(AA196="Contract signed + paid",AA196="Closed – No response",AA196="Lost"),N(AC196)&gt;=Settings!$S$3),"",AB196+Settings!$S$2)</f>
        <v/>
      </c>
      <c r="AE196" s="40"/>
      <c r="AF196" s="41"/>
      <c r="AG196" s="17"/>
      <c r="AH196" s="17"/>
      <c r="AI196" s="17"/>
      <c r="AJ196" s="46" t="str">
        <f aca="true">IF(OR(E196="",B196=""),"",INT(TODAY()-B196))</f>
        <v/>
      </c>
      <c r="AK196" s="44" t="str">
        <f aca="true">IF(E196="","",IF(OR(COUNTIFS(Clients!$C$2:$C$501,E196,Clients!$S$2:$S$501,"Paid")&gt;0,AND(I196&lt;&gt;"",COUNTIFS(Clients!$E$2:$E$501,I196,Clients!$S$2:$S$501,"Paid")&gt;0)),"⚠ Refunded before – no free video",IF(OR(AA196="Contract signed + paid",AA196="Closed – No response",AA196="Lost"),"",IF(AA196="","Set a stage",IF(AND(AA196="Proposal sent",COUNTA(Q196:V196)&lt;6),"Score this lead – proposal sent unscored",IF(N(AC196)&gt;=Settings!$S$3,"Close – 4 follow-ups sent",IF(AD196="",IF(AB196="","Make first contact",""),IF(TODAY()&gt;AD196,"OVERDUE follow-up",IF(TODAY()=AD196,"Follow up today","")))))))))</f>
        <v/>
      </c>
    </row>
    <row r="197" customFormat="false" ht="15" hidden="false" customHeight="false" outlineLevel="0" collapsed="false">
      <c r="A197" s="17"/>
      <c r="B197" s="40"/>
      <c r="C197" s="41"/>
      <c r="D197" s="17"/>
      <c r="E197" s="17"/>
      <c r="F197" s="17"/>
      <c r="G197" s="17"/>
      <c r="H197" s="17"/>
      <c r="I197" s="42"/>
      <c r="J197" s="17"/>
      <c r="K197" s="17"/>
      <c r="L197" s="17"/>
      <c r="M197" s="17"/>
      <c r="N197" s="40"/>
      <c r="O197" s="41"/>
      <c r="P197" s="43" t="str">
        <f aca="false">IF(OR(B197="",N197=""),"",ROUND(((N197+N(O197))-(B197+N(C197)))*24,1))</f>
        <v/>
      </c>
      <c r="Q197" s="17"/>
      <c r="R197" s="17"/>
      <c r="S197" s="17"/>
      <c r="T197" s="17"/>
      <c r="U197" s="17"/>
      <c r="V197" s="17"/>
      <c r="W197" s="44" t="str">
        <f aca="false">IF(OR(E197="",COUNTA(Q197:V197)=0),"",SUMIFS(Settings!$AA$2:$AA$21,Settings!$Y$2:$Y$21,"Budget AED 5k+/mo?",Settings!$Z$2:$Z$21,Q197)+SUMIFS(Settings!$AA$2:$AA$21,Settings!$Y$2:$Y$21,"Decision-maker?",Settings!$Z$2:$Z$21,R197)+SUMIFS(Settings!$AA$2:$AA$21,Settings!$Y$2:$Y$21,"Someone on camera?",Settings!$Z$2:$Z$21,S197)+SUMIFS(Settings!$AA$2:$AA$21,Settings!$Y$2:$Y$21,"OK with 3-month term?",Settings!$Z$2:$Z$21,T197)+SUMIFS(Settings!$AA$2:$AA$21,Settings!$Y$2:$Y$21,"Start timeline",Settings!$Z$2:$Z$21,U197)+SUMIFS(Settings!$AA$2:$AA$21,Settings!$Y$2:$Y$21,"Social media gap",Settings!$Z$2:$Z$21,V197)+IF(F197="",0,IF(COUNTIF(Settings!$AC$2:$AC$6,F197)&gt;0,Settings!$AA$20,Settings!$AA$21)))</f>
        <v/>
      </c>
      <c r="X197" s="44" t="str">
        <f aca="false">IF(E197="","",IF(COUNTA(Q197:V197)=0,"Not scored",IF(COUNTA(Q197:V197)&lt;6,"Partly scored ("&amp;COUNTA(Q197:V197)&amp;"/6)",IF(W197&gt;=Settings!$S$8,"Hot",IF(W197&gt;=Settings!$S$9,"Warm","Cold")))))</f>
        <v/>
      </c>
      <c r="Y197" s="44" t="str">
        <f aca="false">IF(E197="","",IF(AND(Q197="No",S197="No"),"🚩 Budget  ·  🚩 No one on camera",IF(Q197="No","🚩 Budget under AED 5k",IF(S197="No","🚩 No one on camera",""))))</f>
        <v/>
      </c>
      <c r="Z197" s="17"/>
      <c r="AA197" s="17"/>
      <c r="AB197" s="40"/>
      <c r="AC197" s="17"/>
      <c r="AD197" s="45" t="str">
        <f aca="false">IF(OR(E197="",AB197="",OR(AA197="Contract signed + paid",AA197="Closed – No response",AA197="Lost"),N(AC197)&gt;=Settings!$S$3),"",AB197+Settings!$S$2)</f>
        <v/>
      </c>
      <c r="AE197" s="40"/>
      <c r="AF197" s="41"/>
      <c r="AG197" s="17"/>
      <c r="AH197" s="17"/>
      <c r="AI197" s="17"/>
      <c r="AJ197" s="46" t="str">
        <f aca="true">IF(OR(E197="",B197=""),"",INT(TODAY()-B197))</f>
        <v/>
      </c>
      <c r="AK197" s="44" t="str">
        <f aca="true">IF(E197="","",IF(OR(COUNTIFS(Clients!$C$2:$C$501,E197,Clients!$S$2:$S$501,"Paid")&gt;0,AND(I197&lt;&gt;"",COUNTIFS(Clients!$E$2:$E$501,I197,Clients!$S$2:$S$501,"Paid")&gt;0)),"⚠ Refunded before – no free video",IF(OR(AA197="Contract signed + paid",AA197="Closed – No response",AA197="Lost"),"",IF(AA197="","Set a stage",IF(AND(AA197="Proposal sent",COUNTA(Q197:V197)&lt;6),"Score this lead – proposal sent unscored",IF(N(AC197)&gt;=Settings!$S$3,"Close – 4 follow-ups sent",IF(AD197="",IF(AB197="","Make first contact",""),IF(TODAY()&gt;AD197,"OVERDUE follow-up",IF(TODAY()=AD197,"Follow up today","")))))))))</f>
        <v/>
      </c>
    </row>
    <row r="198" customFormat="false" ht="15" hidden="false" customHeight="false" outlineLevel="0" collapsed="false">
      <c r="A198" s="17"/>
      <c r="B198" s="40"/>
      <c r="C198" s="41"/>
      <c r="D198" s="17"/>
      <c r="E198" s="17"/>
      <c r="F198" s="17"/>
      <c r="G198" s="17"/>
      <c r="H198" s="17"/>
      <c r="I198" s="42"/>
      <c r="J198" s="17"/>
      <c r="K198" s="17"/>
      <c r="L198" s="17"/>
      <c r="M198" s="17"/>
      <c r="N198" s="40"/>
      <c r="O198" s="41"/>
      <c r="P198" s="43" t="str">
        <f aca="false">IF(OR(B198="",N198=""),"",ROUND(((N198+N(O198))-(B198+N(C198)))*24,1))</f>
        <v/>
      </c>
      <c r="Q198" s="17"/>
      <c r="R198" s="17"/>
      <c r="S198" s="17"/>
      <c r="T198" s="17"/>
      <c r="U198" s="17"/>
      <c r="V198" s="17"/>
      <c r="W198" s="44" t="str">
        <f aca="false">IF(OR(E198="",COUNTA(Q198:V198)=0),"",SUMIFS(Settings!$AA$2:$AA$21,Settings!$Y$2:$Y$21,"Budget AED 5k+/mo?",Settings!$Z$2:$Z$21,Q198)+SUMIFS(Settings!$AA$2:$AA$21,Settings!$Y$2:$Y$21,"Decision-maker?",Settings!$Z$2:$Z$21,R198)+SUMIFS(Settings!$AA$2:$AA$21,Settings!$Y$2:$Y$21,"Someone on camera?",Settings!$Z$2:$Z$21,S198)+SUMIFS(Settings!$AA$2:$AA$21,Settings!$Y$2:$Y$21,"OK with 3-month term?",Settings!$Z$2:$Z$21,T198)+SUMIFS(Settings!$AA$2:$AA$21,Settings!$Y$2:$Y$21,"Start timeline",Settings!$Z$2:$Z$21,U198)+SUMIFS(Settings!$AA$2:$AA$21,Settings!$Y$2:$Y$21,"Social media gap",Settings!$Z$2:$Z$21,V198)+IF(F198="",0,IF(COUNTIF(Settings!$AC$2:$AC$6,F198)&gt;0,Settings!$AA$20,Settings!$AA$21)))</f>
        <v/>
      </c>
      <c r="X198" s="44" t="str">
        <f aca="false">IF(E198="","",IF(COUNTA(Q198:V198)=0,"Not scored",IF(COUNTA(Q198:V198)&lt;6,"Partly scored ("&amp;COUNTA(Q198:V198)&amp;"/6)",IF(W198&gt;=Settings!$S$8,"Hot",IF(W198&gt;=Settings!$S$9,"Warm","Cold")))))</f>
        <v/>
      </c>
      <c r="Y198" s="44" t="str">
        <f aca="false">IF(E198="","",IF(AND(Q198="No",S198="No"),"🚩 Budget  ·  🚩 No one on camera",IF(Q198="No","🚩 Budget under AED 5k",IF(S198="No","🚩 No one on camera",""))))</f>
        <v/>
      </c>
      <c r="Z198" s="17"/>
      <c r="AA198" s="17"/>
      <c r="AB198" s="40"/>
      <c r="AC198" s="17"/>
      <c r="AD198" s="45" t="str">
        <f aca="false">IF(OR(E198="",AB198="",OR(AA198="Contract signed + paid",AA198="Closed – No response",AA198="Lost"),N(AC198)&gt;=Settings!$S$3),"",AB198+Settings!$S$2)</f>
        <v/>
      </c>
      <c r="AE198" s="40"/>
      <c r="AF198" s="41"/>
      <c r="AG198" s="17"/>
      <c r="AH198" s="17"/>
      <c r="AI198" s="17"/>
      <c r="AJ198" s="46" t="str">
        <f aca="true">IF(OR(E198="",B198=""),"",INT(TODAY()-B198))</f>
        <v/>
      </c>
      <c r="AK198" s="44" t="str">
        <f aca="true">IF(E198="","",IF(OR(COUNTIFS(Clients!$C$2:$C$501,E198,Clients!$S$2:$S$501,"Paid")&gt;0,AND(I198&lt;&gt;"",COUNTIFS(Clients!$E$2:$E$501,I198,Clients!$S$2:$S$501,"Paid")&gt;0)),"⚠ Refunded before – no free video",IF(OR(AA198="Contract signed + paid",AA198="Closed – No response",AA198="Lost"),"",IF(AA198="","Set a stage",IF(AND(AA198="Proposal sent",COUNTA(Q198:V198)&lt;6),"Score this lead – proposal sent unscored",IF(N(AC198)&gt;=Settings!$S$3,"Close – 4 follow-ups sent",IF(AD198="",IF(AB198="","Make first contact",""),IF(TODAY()&gt;AD198,"OVERDUE follow-up",IF(TODAY()=AD198,"Follow up today","")))))))))</f>
        <v/>
      </c>
    </row>
    <row r="199" customFormat="false" ht="15" hidden="false" customHeight="false" outlineLevel="0" collapsed="false">
      <c r="A199" s="17"/>
      <c r="B199" s="40"/>
      <c r="C199" s="41"/>
      <c r="D199" s="17"/>
      <c r="E199" s="17"/>
      <c r="F199" s="17"/>
      <c r="G199" s="17"/>
      <c r="H199" s="17"/>
      <c r="I199" s="42"/>
      <c r="J199" s="17"/>
      <c r="K199" s="17"/>
      <c r="L199" s="17"/>
      <c r="M199" s="17"/>
      <c r="N199" s="40"/>
      <c r="O199" s="41"/>
      <c r="P199" s="43" t="str">
        <f aca="false">IF(OR(B199="",N199=""),"",ROUND(((N199+N(O199))-(B199+N(C199)))*24,1))</f>
        <v/>
      </c>
      <c r="Q199" s="17"/>
      <c r="R199" s="17"/>
      <c r="S199" s="17"/>
      <c r="T199" s="17"/>
      <c r="U199" s="17"/>
      <c r="V199" s="17"/>
      <c r="W199" s="44" t="str">
        <f aca="false">IF(OR(E199="",COUNTA(Q199:V199)=0),"",SUMIFS(Settings!$AA$2:$AA$21,Settings!$Y$2:$Y$21,"Budget AED 5k+/mo?",Settings!$Z$2:$Z$21,Q199)+SUMIFS(Settings!$AA$2:$AA$21,Settings!$Y$2:$Y$21,"Decision-maker?",Settings!$Z$2:$Z$21,R199)+SUMIFS(Settings!$AA$2:$AA$21,Settings!$Y$2:$Y$21,"Someone on camera?",Settings!$Z$2:$Z$21,S199)+SUMIFS(Settings!$AA$2:$AA$21,Settings!$Y$2:$Y$21,"OK with 3-month term?",Settings!$Z$2:$Z$21,T199)+SUMIFS(Settings!$AA$2:$AA$21,Settings!$Y$2:$Y$21,"Start timeline",Settings!$Z$2:$Z$21,U199)+SUMIFS(Settings!$AA$2:$AA$21,Settings!$Y$2:$Y$21,"Social media gap",Settings!$Z$2:$Z$21,V199)+IF(F199="",0,IF(COUNTIF(Settings!$AC$2:$AC$6,F199)&gt;0,Settings!$AA$20,Settings!$AA$21)))</f>
        <v/>
      </c>
      <c r="X199" s="44" t="str">
        <f aca="false">IF(E199="","",IF(COUNTA(Q199:V199)=0,"Not scored",IF(COUNTA(Q199:V199)&lt;6,"Partly scored ("&amp;COUNTA(Q199:V199)&amp;"/6)",IF(W199&gt;=Settings!$S$8,"Hot",IF(W199&gt;=Settings!$S$9,"Warm","Cold")))))</f>
        <v/>
      </c>
      <c r="Y199" s="44" t="str">
        <f aca="false">IF(E199="","",IF(AND(Q199="No",S199="No"),"🚩 Budget  ·  🚩 No one on camera",IF(Q199="No","🚩 Budget under AED 5k",IF(S199="No","🚩 No one on camera",""))))</f>
        <v/>
      </c>
      <c r="Z199" s="17"/>
      <c r="AA199" s="17"/>
      <c r="AB199" s="40"/>
      <c r="AC199" s="17"/>
      <c r="AD199" s="45" t="str">
        <f aca="false">IF(OR(E199="",AB199="",OR(AA199="Contract signed + paid",AA199="Closed – No response",AA199="Lost"),N(AC199)&gt;=Settings!$S$3),"",AB199+Settings!$S$2)</f>
        <v/>
      </c>
      <c r="AE199" s="40"/>
      <c r="AF199" s="41"/>
      <c r="AG199" s="17"/>
      <c r="AH199" s="17"/>
      <c r="AI199" s="17"/>
      <c r="AJ199" s="46" t="str">
        <f aca="true">IF(OR(E199="",B199=""),"",INT(TODAY()-B199))</f>
        <v/>
      </c>
      <c r="AK199" s="44" t="str">
        <f aca="true">IF(E199="","",IF(OR(COUNTIFS(Clients!$C$2:$C$501,E199,Clients!$S$2:$S$501,"Paid")&gt;0,AND(I199&lt;&gt;"",COUNTIFS(Clients!$E$2:$E$501,I199,Clients!$S$2:$S$501,"Paid")&gt;0)),"⚠ Refunded before – no free video",IF(OR(AA199="Contract signed + paid",AA199="Closed – No response",AA199="Lost"),"",IF(AA199="","Set a stage",IF(AND(AA199="Proposal sent",COUNTA(Q199:V199)&lt;6),"Score this lead – proposal sent unscored",IF(N(AC199)&gt;=Settings!$S$3,"Close – 4 follow-ups sent",IF(AD199="",IF(AB199="","Make first contact",""),IF(TODAY()&gt;AD199,"OVERDUE follow-up",IF(TODAY()=AD199,"Follow up today","")))))))))</f>
        <v/>
      </c>
    </row>
    <row r="200" customFormat="false" ht="15" hidden="false" customHeight="false" outlineLevel="0" collapsed="false">
      <c r="A200" s="17"/>
      <c r="B200" s="40"/>
      <c r="C200" s="41"/>
      <c r="D200" s="17"/>
      <c r="E200" s="17"/>
      <c r="F200" s="17"/>
      <c r="G200" s="17"/>
      <c r="H200" s="17"/>
      <c r="I200" s="42"/>
      <c r="J200" s="17"/>
      <c r="K200" s="17"/>
      <c r="L200" s="17"/>
      <c r="M200" s="17"/>
      <c r="N200" s="40"/>
      <c r="O200" s="41"/>
      <c r="P200" s="43" t="str">
        <f aca="false">IF(OR(B200="",N200=""),"",ROUND(((N200+N(O200))-(B200+N(C200)))*24,1))</f>
        <v/>
      </c>
      <c r="Q200" s="17"/>
      <c r="R200" s="17"/>
      <c r="S200" s="17"/>
      <c r="T200" s="17"/>
      <c r="U200" s="17"/>
      <c r="V200" s="17"/>
      <c r="W200" s="44" t="str">
        <f aca="false">IF(OR(E200="",COUNTA(Q200:V200)=0),"",SUMIFS(Settings!$AA$2:$AA$21,Settings!$Y$2:$Y$21,"Budget AED 5k+/mo?",Settings!$Z$2:$Z$21,Q200)+SUMIFS(Settings!$AA$2:$AA$21,Settings!$Y$2:$Y$21,"Decision-maker?",Settings!$Z$2:$Z$21,R200)+SUMIFS(Settings!$AA$2:$AA$21,Settings!$Y$2:$Y$21,"Someone on camera?",Settings!$Z$2:$Z$21,S200)+SUMIFS(Settings!$AA$2:$AA$21,Settings!$Y$2:$Y$21,"OK with 3-month term?",Settings!$Z$2:$Z$21,T200)+SUMIFS(Settings!$AA$2:$AA$21,Settings!$Y$2:$Y$21,"Start timeline",Settings!$Z$2:$Z$21,U200)+SUMIFS(Settings!$AA$2:$AA$21,Settings!$Y$2:$Y$21,"Social media gap",Settings!$Z$2:$Z$21,V200)+IF(F200="",0,IF(COUNTIF(Settings!$AC$2:$AC$6,F200)&gt;0,Settings!$AA$20,Settings!$AA$21)))</f>
        <v/>
      </c>
      <c r="X200" s="44" t="str">
        <f aca="false">IF(E200="","",IF(COUNTA(Q200:V200)=0,"Not scored",IF(COUNTA(Q200:V200)&lt;6,"Partly scored ("&amp;COUNTA(Q200:V200)&amp;"/6)",IF(W200&gt;=Settings!$S$8,"Hot",IF(W200&gt;=Settings!$S$9,"Warm","Cold")))))</f>
        <v/>
      </c>
      <c r="Y200" s="44" t="str">
        <f aca="false">IF(E200="","",IF(AND(Q200="No",S200="No"),"🚩 Budget  ·  🚩 No one on camera",IF(Q200="No","🚩 Budget under AED 5k",IF(S200="No","🚩 No one on camera",""))))</f>
        <v/>
      </c>
      <c r="Z200" s="17"/>
      <c r="AA200" s="17"/>
      <c r="AB200" s="40"/>
      <c r="AC200" s="17"/>
      <c r="AD200" s="45" t="str">
        <f aca="false">IF(OR(E200="",AB200="",OR(AA200="Contract signed + paid",AA200="Closed – No response",AA200="Lost"),N(AC200)&gt;=Settings!$S$3),"",AB200+Settings!$S$2)</f>
        <v/>
      </c>
      <c r="AE200" s="40"/>
      <c r="AF200" s="41"/>
      <c r="AG200" s="17"/>
      <c r="AH200" s="17"/>
      <c r="AI200" s="17"/>
      <c r="AJ200" s="46" t="str">
        <f aca="true">IF(OR(E200="",B200=""),"",INT(TODAY()-B200))</f>
        <v/>
      </c>
      <c r="AK200" s="44" t="str">
        <f aca="true">IF(E200="","",IF(OR(COUNTIFS(Clients!$C$2:$C$501,E200,Clients!$S$2:$S$501,"Paid")&gt;0,AND(I200&lt;&gt;"",COUNTIFS(Clients!$E$2:$E$501,I200,Clients!$S$2:$S$501,"Paid")&gt;0)),"⚠ Refunded before – no free video",IF(OR(AA200="Contract signed + paid",AA200="Closed – No response",AA200="Lost"),"",IF(AA200="","Set a stage",IF(AND(AA200="Proposal sent",COUNTA(Q200:V200)&lt;6),"Score this lead – proposal sent unscored",IF(N(AC200)&gt;=Settings!$S$3,"Close – 4 follow-ups sent",IF(AD200="",IF(AB200="","Make first contact",""),IF(TODAY()&gt;AD200,"OVERDUE follow-up",IF(TODAY()=AD200,"Follow up today","")))))))))</f>
        <v/>
      </c>
    </row>
    <row r="201" customFormat="false" ht="15" hidden="false" customHeight="false" outlineLevel="0" collapsed="false">
      <c r="A201" s="17"/>
      <c r="B201" s="40"/>
      <c r="C201" s="41"/>
      <c r="D201" s="17"/>
      <c r="E201" s="17"/>
      <c r="F201" s="17"/>
      <c r="G201" s="17"/>
      <c r="H201" s="17"/>
      <c r="I201" s="42"/>
      <c r="J201" s="17"/>
      <c r="K201" s="17"/>
      <c r="L201" s="17"/>
      <c r="M201" s="17"/>
      <c r="N201" s="40"/>
      <c r="O201" s="41"/>
      <c r="P201" s="43" t="str">
        <f aca="false">IF(OR(B201="",N201=""),"",ROUND(((N201+N(O201))-(B201+N(C201)))*24,1))</f>
        <v/>
      </c>
      <c r="Q201" s="17"/>
      <c r="R201" s="17"/>
      <c r="S201" s="17"/>
      <c r="T201" s="17"/>
      <c r="U201" s="17"/>
      <c r="V201" s="17"/>
      <c r="W201" s="44" t="str">
        <f aca="false">IF(OR(E201="",COUNTA(Q201:V201)=0),"",SUMIFS(Settings!$AA$2:$AA$21,Settings!$Y$2:$Y$21,"Budget AED 5k+/mo?",Settings!$Z$2:$Z$21,Q201)+SUMIFS(Settings!$AA$2:$AA$21,Settings!$Y$2:$Y$21,"Decision-maker?",Settings!$Z$2:$Z$21,R201)+SUMIFS(Settings!$AA$2:$AA$21,Settings!$Y$2:$Y$21,"Someone on camera?",Settings!$Z$2:$Z$21,S201)+SUMIFS(Settings!$AA$2:$AA$21,Settings!$Y$2:$Y$21,"OK with 3-month term?",Settings!$Z$2:$Z$21,T201)+SUMIFS(Settings!$AA$2:$AA$21,Settings!$Y$2:$Y$21,"Start timeline",Settings!$Z$2:$Z$21,U201)+SUMIFS(Settings!$AA$2:$AA$21,Settings!$Y$2:$Y$21,"Social media gap",Settings!$Z$2:$Z$21,V201)+IF(F201="",0,IF(COUNTIF(Settings!$AC$2:$AC$6,F201)&gt;0,Settings!$AA$20,Settings!$AA$21)))</f>
        <v/>
      </c>
      <c r="X201" s="44" t="str">
        <f aca="false">IF(E201="","",IF(COUNTA(Q201:V201)=0,"Not scored",IF(COUNTA(Q201:V201)&lt;6,"Partly scored ("&amp;COUNTA(Q201:V201)&amp;"/6)",IF(W201&gt;=Settings!$S$8,"Hot",IF(W201&gt;=Settings!$S$9,"Warm","Cold")))))</f>
        <v/>
      </c>
      <c r="Y201" s="44" t="str">
        <f aca="false">IF(E201="","",IF(AND(Q201="No",S201="No"),"🚩 Budget  ·  🚩 No one on camera",IF(Q201="No","🚩 Budget under AED 5k",IF(S201="No","🚩 No one on camera",""))))</f>
        <v/>
      </c>
      <c r="Z201" s="17"/>
      <c r="AA201" s="17"/>
      <c r="AB201" s="40"/>
      <c r="AC201" s="17"/>
      <c r="AD201" s="45" t="str">
        <f aca="false">IF(OR(E201="",AB201="",OR(AA201="Contract signed + paid",AA201="Closed – No response",AA201="Lost"),N(AC201)&gt;=Settings!$S$3),"",AB201+Settings!$S$2)</f>
        <v/>
      </c>
      <c r="AE201" s="40"/>
      <c r="AF201" s="41"/>
      <c r="AG201" s="17"/>
      <c r="AH201" s="17"/>
      <c r="AI201" s="17"/>
      <c r="AJ201" s="46" t="str">
        <f aca="true">IF(OR(E201="",B201=""),"",INT(TODAY()-B201))</f>
        <v/>
      </c>
      <c r="AK201" s="44" t="str">
        <f aca="true">IF(E201="","",IF(OR(COUNTIFS(Clients!$C$2:$C$501,E201,Clients!$S$2:$S$501,"Paid")&gt;0,AND(I201&lt;&gt;"",COUNTIFS(Clients!$E$2:$E$501,I201,Clients!$S$2:$S$501,"Paid")&gt;0)),"⚠ Refunded before – no free video",IF(OR(AA201="Contract signed + paid",AA201="Closed – No response",AA201="Lost"),"",IF(AA201="","Set a stage",IF(AND(AA201="Proposal sent",COUNTA(Q201:V201)&lt;6),"Score this lead – proposal sent unscored",IF(N(AC201)&gt;=Settings!$S$3,"Close – 4 follow-ups sent",IF(AD201="",IF(AB201="","Make first contact",""),IF(TODAY()&gt;AD201,"OVERDUE follow-up",IF(TODAY()=AD201,"Follow up today","")))))))))</f>
        <v/>
      </c>
    </row>
    <row r="202" customFormat="false" ht="15" hidden="false" customHeight="false" outlineLevel="0" collapsed="false">
      <c r="A202" s="17"/>
      <c r="B202" s="40"/>
      <c r="C202" s="41"/>
      <c r="D202" s="17"/>
      <c r="E202" s="17"/>
      <c r="F202" s="17"/>
      <c r="G202" s="17"/>
      <c r="H202" s="17"/>
      <c r="I202" s="42"/>
      <c r="J202" s="17"/>
      <c r="K202" s="17"/>
      <c r="L202" s="17"/>
      <c r="M202" s="17"/>
      <c r="N202" s="40"/>
      <c r="O202" s="41"/>
      <c r="P202" s="43" t="str">
        <f aca="false">IF(OR(B202="",N202=""),"",ROUND(((N202+N(O202))-(B202+N(C202)))*24,1))</f>
        <v/>
      </c>
      <c r="Q202" s="17"/>
      <c r="R202" s="17"/>
      <c r="S202" s="17"/>
      <c r="T202" s="17"/>
      <c r="U202" s="17"/>
      <c r="V202" s="17"/>
      <c r="W202" s="44" t="str">
        <f aca="false">IF(OR(E202="",COUNTA(Q202:V202)=0),"",SUMIFS(Settings!$AA$2:$AA$21,Settings!$Y$2:$Y$21,"Budget AED 5k+/mo?",Settings!$Z$2:$Z$21,Q202)+SUMIFS(Settings!$AA$2:$AA$21,Settings!$Y$2:$Y$21,"Decision-maker?",Settings!$Z$2:$Z$21,R202)+SUMIFS(Settings!$AA$2:$AA$21,Settings!$Y$2:$Y$21,"Someone on camera?",Settings!$Z$2:$Z$21,S202)+SUMIFS(Settings!$AA$2:$AA$21,Settings!$Y$2:$Y$21,"OK with 3-month term?",Settings!$Z$2:$Z$21,T202)+SUMIFS(Settings!$AA$2:$AA$21,Settings!$Y$2:$Y$21,"Start timeline",Settings!$Z$2:$Z$21,U202)+SUMIFS(Settings!$AA$2:$AA$21,Settings!$Y$2:$Y$21,"Social media gap",Settings!$Z$2:$Z$21,V202)+IF(F202="",0,IF(COUNTIF(Settings!$AC$2:$AC$6,F202)&gt;0,Settings!$AA$20,Settings!$AA$21)))</f>
        <v/>
      </c>
      <c r="X202" s="44" t="str">
        <f aca="false">IF(E202="","",IF(COUNTA(Q202:V202)=0,"Not scored",IF(COUNTA(Q202:V202)&lt;6,"Partly scored ("&amp;COUNTA(Q202:V202)&amp;"/6)",IF(W202&gt;=Settings!$S$8,"Hot",IF(W202&gt;=Settings!$S$9,"Warm","Cold")))))</f>
        <v/>
      </c>
      <c r="Y202" s="44" t="str">
        <f aca="false">IF(E202="","",IF(AND(Q202="No",S202="No"),"🚩 Budget  ·  🚩 No one on camera",IF(Q202="No","🚩 Budget under AED 5k",IF(S202="No","🚩 No one on camera",""))))</f>
        <v/>
      </c>
      <c r="Z202" s="17"/>
      <c r="AA202" s="17"/>
      <c r="AB202" s="40"/>
      <c r="AC202" s="17"/>
      <c r="AD202" s="45" t="str">
        <f aca="false">IF(OR(E202="",AB202="",OR(AA202="Contract signed + paid",AA202="Closed – No response",AA202="Lost"),N(AC202)&gt;=Settings!$S$3),"",AB202+Settings!$S$2)</f>
        <v/>
      </c>
      <c r="AE202" s="40"/>
      <c r="AF202" s="41"/>
      <c r="AG202" s="17"/>
      <c r="AH202" s="17"/>
      <c r="AI202" s="17"/>
      <c r="AJ202" s="46" t="str">
        <f aca="true">IF(OR(E202="",B202=""),"",INT(TODAY()-B202))</f>
        <v/>
      </c>
      <c r="AK202" s="44" t="str">
        <f aca="true">IF(E202="","",IF(OR(COUNTIFS(Clients!$C$2:$C$501,E202,Clients!$S$2:$S$501,"Paid")&gt;0,AND(I202&lt;&gt;"",COUNTIFS(Clients!$E$2:$E$501,I202,Clients!$S$2:$S$501,"Paid")&gt;0)),"⚠ Refunded before – no free video",IF(OR(AA202="Contract signed + paid",AA202="Closed – No response",AA202="Lost"),"",IF(AA202="","Set a stage",IF(AND(AA202="Proposal sent",COUNTA(Q202:V202)&lt;6),"Score this lead – proposal sent unscored",IF(N(AC202)&gt;=Settings!$S$3,"Close – 4 follow-ups sent",IF(AD202="",IF(AB202="","Make first contact",""),IF(TODAY()&gt;AD202,"OVERDUE follow-up",IF(TODAY()=AD202,"Follow up today","")))))))))</f>
        <v/>
      </c>
    </row>
    <row r="203" customFormat="false" ht="15" hidden="false" customHeight="false" outlineLevel="0" collapsed="false">
      <c r="A203" s="17"/>
      <c r="B203" s="40"/>
      <c r="C203" s="41"/>
      <c r="D203" s="17"/>
      <c r="E203" s="17"/>
      <c r="F203" s="17"/>
      <c r="G203" s="17"/>
      <c r="H203" s="17"/>
      <c r="I203" s="42"/>
      <c r="J203" s="17"/>
      <c r="K203" s="17"/>
      <c r="L203" s="17"/>
      <c r="M203" s="17"/>
      <c r="N203" s="40"/>
      <c r="O203" s="41"/>
      <c r="P203" s="43" t="str">
        <f aca="false">IF(OR(B203="",N203=""),"",ROUND(((N203+N(O203))-(B203+N(C203)))*24,1))</f>
        <v/>
      </c>
      <c r="Q203" s="17"/>
      <c r="R203" s="17"/>
      <c r="S203" s="17"/>
      <c r="T203" s="17"/>
      <c r="U203" s="17"/>
      <c r="V203" s="17"/>
      <c r="W203" s="44" t="str">
        <f aca="false">IF(OR(E203="",COUNTA(Q203:V203)=0),"",SUMIFS(Settings!$AA$2:$AA$21,Settings!$Y$2:$Y$21,"Budget AED 5k+/mo?",Settings!$Z$2:$Z$21,Q203)+SUMIFS(Settings!$AA$2:$AA$21,Settings!$Y$2:$Y$21,"Decision-maker?",Settings!$Z$2:$Z$21,R203)+SUMIFS(Settings!$AA$2:$AA$21,Settings!$Y$2:$Y$21,"Someone on camera?",Settings!$Z$2:$Z$21,S203)+SUMIFS(Settings!$AA$2:$AA$21,Settings!$Y$2:$Y$21,"OK with 3-month term?",Settings!$Z$2:$Z$21,T203)+SUMIFS(Settings!$AA$2:$AA$21,Settings!$Y$2:$Y$21,"Start timeline",Settings!$Z$2:$Z$21,U203)+SUMIFS(Settings!$AA$2:$AA$21,Settings!$Y$2:$Y$21,"Social media gap",Settings!$Z$2:$Z$21,V203)+IF(F203="",0,IF(COUNTIF(Settings!$AC$2:$AC$6,F203)&gt;0,Settings!$AA$20,Settings!$AA$21)))</f>
        <v/>
      </c>
      <c r="X203" s="44" t="str">
        <f aca="false">IF(E203="","",IF(COUNTA(Q203:V203)=0,"Not scored",IF(COUNTA(Q203:V203)&lt;6,"Partly scored ("&amp;COUNTA(Q203:V203)&amp;"/6)",IF(W203&gt;=Settings!$S$8,"Hot",IF(W203&gt;=Settings!$S$9,"Warm","Cold")))))</f>
        <v/>
      </c>
      <c r="Y203" s="44" t="str">
        <f aca="false">IF(E203="","",IF(AND(Q203="No",S203="No"),"🚩 Budget  ·  🚩 No one on camera",IF(Q203="No","🚩 Budget under AED 5k",IF(S203="No","🚩 No one on camera",""))))</f>
        <v/>
      </c>
      <c r="Z203" s="17"/>
      <c r="AA203" s="17"/>
      <c r="AB203" s="40"/>
      <c r="AC203" s="17"/>
      <c r="AD203" s="45" t="str">
        <f aca="false">IF(OR(E203="",AB203="",OR(AA203="Contract signed + paid",AA203="Closed – No response",AA203="Lost"),N(AC203)&gt;=Settings!$S$3),"",AB203+Settings!$S$2)</f>
        <v/>
      </c>
      <c r="AE203" s="40"/>
      <c r="AF203" s="41"/>
      <c r="AG203" s="17"/>
      <c r="AH203" s="17"/>
      <c r="AI203" s="17"/>
      <c r="AJ203" s="46" t="str">
        <f aca="true">IF(OR(E203="",B203=""),"",INT(TODAY()-B203))</f>
        <v/>
      </c>
      <c r="AK203" s="44" t="str">
        <f aca="true">IF(E203="","",IF(OR(COUNTIFS(Clients!$C$2:$C$501,E203,Clients!$S$2:$S$501,"Paid")&gt;0,AND(I203&lt;&gt;"",COUNTIFS(Clients!$E$2:$E$501,I203,Clients!$S$2:$S$501,"Paid")&gt;0)),"⚠ Refunded before – no free video",IF(OR(AA203="Contract signed + paid",AA203="Closed – No response",AA203="Lost"),"",IF(AA203="","Set a stage",IF(AND(AA203="Proposal sent",COUNTA(Q203:V203)&lt;6),"Score this lead – proposal sent unscored",IF(N(AC203)&gt;=Settings!$S$3,"Close – 4 follow-ups sent",IF(AD203="",IF(AB203="","Make first contact",""),IF(TODAY()&gt;AD203,"OVERDUE follow-up",IF(TODAY()=AD203,"Follow up today","")))))))))</f>
        <v/>
      </c>
    </row>
    <row r="204" customFormat="false" ht="15" hidden="false" customHeight="false" outlineLevel="0" collapsed="false">
      <c r="A204" s="17"/>
      <c r="B204" s="40"/>
      <c r="C204" s="41"/>
      <c r="D204" s="17"/>
      <c r="E204" s="17"/>
      <c r="F204" s="17"/>
      <c r="G204" s="17"/>
      <c r="H204" s="17"/>
      <c r="I204" s="42"/>
      <c r="J204" s="17"/>
      <c r="K204" s="17"/>
      <c r="L204" s="17"/>
      <c r="M204" s="17"/>
      <c r="N204" s="40"/>
      <c r="O204" s="41"/>
      <c r="P204" s="43" t="str">
        <f aca="false">IF(OR(B204="",N204=""),"",ROUND(((N204+N(O204))-(B204+N(C204)))*24,1))</f>
        <v/>
      </c>
      <c r="Q204" s="17"/>
      <c r="R204" s="17"/>
      <c r="S204" s="17"/>
      <c r="T204" s="17"/>
      <c r="U204" s="17"/>
      <c r="V204" s="17"/>
      <c r="W204" s="44" t="str">
        <f aca="false">IF(OR(E204="",COUNTA(Q204:V204)=0),"",SUMIFS(Settings!$AA$2:$AA$21,Settings!$Y$2:$Y$21,"Budget AED 5k+/mo?",Settings!$Z$2:$Z$21,Q204)+SUMIFS(Settings!$AA$2:$AA$21,Settings!$Y$2:$Y$21,"Decision-maker?",Settings!$Z$2:$Z$21,R204)+SUMIFS(Settings!$AA$2:$AA$21,Settings!$Y$2:$Y$21,"Someone on camera?",Settings!$Z$2:$Z$21,S204)+SUMIFS(Settings!$AA$2:$AA$21,Settings!$Y$2:$Y$21,"OK with 3-month term?",Settings!$Z$2:$Z$21,T204)+SUMIFS(Settings!$AA$2:$AA$21,Settings!$Y$2:$Y$21,"Start timeline",Settings!$Z$2:$Z$21,U204)+SUMIFS(Settings!$AA$2:$AA$21,Settings!$Y$2:$Y$21,"Social media gap",Settings!$Z$2:$Z$21,V204)+IF(F204="",0,IF(COUNTIF(Settings!$AC$2:$AC$6,F204)&gt;0,Settings!$AA$20,Settings!$AA$21)))</f>
        <v/>
      </c>
      <c r="X204" s="44" t="str">
        <f aca="false">IF(E204="","",IF(COUNTA(Q204:V204)=0,"Not scored",IF(COUNTA(Q204:V204)&lt;6,"Partly scored ("&amp;COUNTA(Q204:V204)&amp;"/6)",IF(W204&gt;=Settings!$S$8,"Hot",IF(W204&gt;=Settings!$S$9,"Warm","Cold")))))</f>
        <v/>
      </c>
      <c r="Y204" s="44" t="str">
        <f aca="false">IF(E204="","",IF(AND(Q204="No",S204="No"),"🚩 Budget  ·  🚩 No one on camera",IF(Q204="No","🚩 Budget under AED 5k",IF(S204="No","🚩 No one on camera",""))))</f>
        <v/>
      </c>
      <c r="Z204" s="17"/>
      <c r="AA204" s="17"/>
      <c r="AB204" s="40"/>
      <c r="AC204" s="17"/>
      <c r="AD204" s="45" t="str">
        <f aca="false">IF(OR(E204="",AB204="",OR(AA204="Contract signed + paid",AA204="Closed – No response",AA204="Lost"),N(AC204)&gt;=Settings!$S$3),"",AB204+Settings!$S$2)</f>
        <v/>
      </c>
      <c r="AE204" s="40"/>
      <c r="AF204" s="41"/>
      <c r="AG204" s="17"/>
      <c r="AH204" s="17"/>
      <c r="AI204" s="17"/>
      <c r="AJ204" s="46" t="str">
        <f aca="true">IF(OR(E204="",B204=""),"",INT(TODAY()-B204))</f>
        <v/>
      </c>
      <c r="AK204" s="44" t="str">
        <f aca="true">IF(E204="","",IF(OR(COUNTIFS(Clients!$C$2:$C$501,E204,Clients!$S$2:$S$501,"Paid")&gt;0,AND(I204&lt;&gt;"",COUNTIFS(Clients!$E$2:$E$501,I204,Clients!$S$2:$S$501,"Paid")&gt;0)),"⚠ Refunded before – no free video",IF(OR(AA204="Contract signed + paid",AA204="Closed – No response",AA204="Lost"),"",IF(AA204="","Set a stage",IF(AND(AA204="Proposal sent",COUNTA(Q204:V204)&lt;6),"Score this lead – proposal sent unscored",IF(N(AC204)&gt;=Settings!$S$3,"Close – 4 follow-ups sent",IF(AD204="",IF(AB204="","Make first contact",""),IF(TODAY()&gt;AD204,"OVERDUE follow-up",IF(TODAY()=AD204,"Follow up today","")))))))))</f>
        <v/>
      </c>
    </row>
    <row r="205" customFormat="false" ht="15" hidden="false" customHeight="false" outlineLevel="0" collapsed="false">
      <c r="A205" s="17"/>
      <c r="B205" s="40"/>
      <c r="C205" s="41"/>
      <c r="D205" s="17"/>
      <c r="E205" s="17"/>
      <c r="F205" s="17"/>
      <c r="G205" s="17"/>
      <c r="H205" s="17"/>
      <c r="I205" s="42"/>
      <c r="J205" s="17"/>
      <c r="K205" s="17"/>
      <c r="L205" s="17"/>
      <c r="M205" s="17"/>
      <c r="N205" s="40"/>
      <c r="O205" s="41"/>
      <c r="P205" s="43" t="str">
        <f aca="false">IF(OR(B205="",N205=""),"",ROUND(((N205+N(O205))-(B205+N(C205)))*24,1))</f>
        <v/>
      </c>
      <c r="Q205" s="17"/>
      <c r="R205" s="17"/>
      <c r="S205" s="17"/>
      <c r="T205" s="17"/>
      <c r="U205" s="17"/>
      <c r="V205" s="17"/>
      <c r="W205" s="44" t="str">
        <f aca="false">IF(OR(E205="",COUNTA(Q205:V205)=0),"",SUMIFS(Settings!$AA$2:$AA$21,Settings!$Y$2:$Y$21,"Budget AED 5k+/mo?",Settings!$Z$2:$Z$21,Q205)+SUMIFS(Settings!$AA$2:$AA$21,Settings!$Y$2:$Y$21,"Decision-maker?",Settings!$Z$2:$Z$21,R205)+SUMIFS(Settings!$AA$2:$AA$21,Settings!$Y$2:$Y$21,"Someone on camera?",Settings!$Z$2:$Z$21,S205)+SUMIFS(Settings!$AA$2:$AA$21,Settings!$Y$2:$Y$21,"OK with 3-month term?",Settings!$Z$2:$Z$21,T205)+SUMIFS(Settings!$AA$2:$AA$21,Settings!$Y$2:$Y$21,"Start timeline",Settings!$Z$2:$Z$21,U205)+SUMIFS(Settings!$AA$2:$AA$21,Settings!$Y$2:$Y$21,"Social media gap",Settings!$Z$2:$Z$21,V205)+IF(F205="",0,IF(COUNTIF(Settings!$AC$2:$AC$6,F205)&gt;0,Settings!$AA$20,Settings!$AA$21)))</f>
        <v/>
      </c>
      <c r="X205" s="44" t="str">
        <f aca="false">IF(E205="","",IF(COUNTA(Q205:V205)=0,"Not scored",IF(COUNTA(Q205:V205)&lt;6,"Partly scored ("&amp;COUNTA(Q205:V205)&amp;"/6)",IF(W205&gt;=Settings!$S$8,"Hot",IF(W205&gt;=Settings!$S$9,"Warm","Cold")))))</f>
        <v/>
      </c>
      <c r="Y205" s="44" t="str">
        <f aca="false">IF(E205="","",IF(AND(Q205="No",S205="No"),"🚩 Budget  ·  🚩 No one on camera",IF(Q205="No","🚩 Budget under AED 5k",IF(S205="No","🚩 No one on camera",""))))</f>
        <v/>
      </c>
      <c r="Z205" s="17"/>
      <c r="AA205" s="17"/>
      <c r="AB205" s="40"/>
      <c r="AC205" s="17"/>
      <c r="AD205" s="45" t="str">
        <f aca="false">IF(OR(E205="",AB205="",OR(AA205="Contract signed + paid",AA205="Closed – No response",AA205="Lost"),N(AC205)&gt;=Settings!$S$3),"",AB205+Settings!$S$2)</f>
        <v/>
      </c>
      <c r="AE205" s="40"/>
      <c r="AF205" s="41"/>
      <c r="AG205" s="17"/>
      <c r="AH205" s="17"/>
      <c r="AI205" s="17"/>
      <c r="AJ205" s="46" t="str">
        <f aca="true">IF(OR(E205="",B205=""),"",INT(TODAY()-B205))</f>
        <v/>
      </c>
      <c r="AK205" s="44" t="str">
        <f aca="true">IF(E205="","",IF(OR(COUNTIFS(Clients!$C$2:$C$501,E205,Clients!$S$2:$S$501,"Paid")&gt;0,AND(I205&lt;&gt;"",COUNTIFS(Clients!$E$2:$E$501,I205,Clients!$S$2:$S$501,"Paid")&gt;0)),"⚠ Refunded before – no free video",IF(OR(AA205="Contract signed + paid",AA205="Closed – No response",AA205="Lost"),"",IF(AA205="","Set a stage",IF(AND(AA205="Proposal sent",COUNTA(Q205:V205)&lt;6),"Score this lead – proposal sent unscored",IF(N(AC205)&gt;=Settings!$S$3,"Close – 4 follow-ups sent",IF(AD205="",IF(AB205="","Make first contact",""),IF(TODAY()&gt;AD205,"OVERDUE follow-up",IF(TODAY()=AD205,"Follow up today","")))))))))</f>
        <v/>
      </c>
    </row>
    <row r="206" customFormat="false" ht="15" hidden="false" customHeight="false" outlineLevel="0" collapsed="false">
      <c r="A206" s="17"/>
      <c r="B206" s="40"/>
      <c r="C206" s="41"/>
      <c r="D206" s="17"/>
      <c r="E206" s="17"/>
      <c r="F206" s="17"/>
      <c r="G206" s="17"/>
      <c r="H206" s="17"/>
      <c r="I206" s="42"/>
      <c r="J206" s="17"/>
      <c r="K206" s="17"/>
      <c r="L206" s="17"/>
      <c r="M206" s="17"/>
      <c r="N206" s="40"/>
      <c r="O206" s="41"/>
      <c r="P206" s="43" t="str">
        <f aca="false">IF(OR(B206="",N206=""),"",ROUND(((N206+N(O206))-(B206+N(C206)))*24,1))</f>
        <v/>
      </c>
      <c r="Q206" s="17"/>
      <c r="R206" s="17"/>
      <c r="S206" s="17"/>
      <c r="T206" s="17"/>
      <c r="U206" s="17"/>
      <c r="V206" s="17"/>
      <c r="W206" s="44" t="str">
        <f aca="false">IF(OR(E206="",COUNTA(Q206:V206)=0),"",SUMIFS(Settings!$AA$2:$AA$21,Settings!$Y$2:$Y$21,"Budget AED 5k+/mo?",Settings!$Z$2:$Z$21,Q206)+SUMIFS(Settings!$AA$2:$AA$21,Settings!$Y$2:$Y$21,"Decision-maker?",Settings!$Z$2:$Z$21,R206)+SUMIFS(Settings!$AA$2:$AA$21,Settings!$Y$2:$Y$21,"Someone on camera?",Settings!$Z$2:$Z$21,S206)+SUMIFS(Settings!$AA$2:$AA$21,Settings!$Y$2:$Y$21,"OK with 3-month term?",Settings!$Z$2:$Z$21,T206)+SUMIFS(Settings!$AA$2:$AA$21,Settings!$Y$2:$Y$21,"Start timeline",Settings!$Z$2:$Z$21,U206)+SUMIFS(Settings!$AA$2:$AA$21,Settings!$Y$2:$Y$21,"Social media gap",Settings!$Z$2:$Z$21,V206)+IF(F206="",0,IF(COUNTIF(Settings!$AC$2:$AC$6,F206)&gt;0,Settings!$AA$20,Settings!$AA$21)))</f>
        <v/>
      </c>
      <c r="X206" s="44" t="str">
        <f aca="false">IF(E206="","",IF(COUNTA(Q206:V206)=0,"Not scored",IF(COUNTA(Q206:V206)&lt;6,"Partly scored ("&amp;COUNTA(Q206:V206)&amp;"/6)",IF(W206&gt;=Settings!$S$8,"Hot",IF(W206&gt;=Settings!$S$9,"Warm","Cold")))))</f>
        <v/>
      </c>
      <c r="Y206" s="44" t="str">
        <f aca="false">IF(E206="","",IF(AND(Q206="No",S206="No"),"🚩 Budget  ·  🚩 No one on camera",IF(Q206="No","🚩 Budget under AED 5k",IF(S206="No","🚩 No one on camera",""))))</f>
        <v/>
      </c>
      <c r="Z206" s="17"/>
      <c r="AA206" s="17"/>
      <c r="AB206" s="40"/>
      <c r="AC206" s="17"/>
      <c r="AD206" s="45" t="str">
        <f aca="false">IF(OR(E206="",AB206="",OR(AA206="Contract signed + paid",AA206="Closed – No response",AA206="Lost"),N(AC206)&gt;=Settings!$S$3),"",AB206+Settings!$S$2)</f>
        <v/>
      </c>
      <c r="AE206" s="40"/>
      <c r="AF206" s="41"/>
      <c r="AG206" s="17"/>
      <c r="AH206" s="17"/>
      <c r="AI206" s="17"/>
      <c r="AJ206" s="46" t="str">
        <f aca="true">IF(OR(E206="",B206=""),"",INT(TODAY()-B206))</f>
        <v/>
      </c>
      <c r="AK206" s="44" t="str">
        <f aca="true">IF(E206="","",IF(OR(COUNTIFS(Clients!$C$2:$C$501,E206,Clients!$S$2:$S$501,"Paid")&gt;0,AND(I206&lt;&gt;"",COUNTIFS(Clients!$E$2:$E$501,I206,Clients!$S$2:$S$501,"Paid")&gt;0)),"⚠ Refunded before – no free video",IF(OR(AA206="Contract signed + paid",AA206="Closed – No response",AA206="Lost"),"",IF(AA206="","Set a stage",IF(AND(AA206="Proposal sent",COUNTA(Q206:V206)&lt;6),"Score this lead – proposal sent unscored",IF(N(AC206)&gt;=Settings!$S$3,"Close – 4 follow-ups sent",IF(AD206="",IF(AB206="","Make first contact",""),IF(TODAY()&gt;AD206,"OVERDUE follow-up",IF(TODAY()=AD206,"Follow up today","")))))))))</f>
        <v/>
      </c>
    </row>
    <row r="207" customFormat="false" ht="15" hidden="false" customHeight="false" outlineLevel="0" collapsed="false">
      <c r="A207" s="17"/>
      <c r="B207" s="40"/>
      <c r="C207" s="41"/>
      <c r="D207" s="17"/>
      <c r="E207" s="17"/>
      <c r="F207" s="17"/>
      <c r="G207" s="17"/>
      <c r="H207" s="17"/>
      <c r="I207" s="42"/>
      <c r="J207" s="17"/>
      <c r="K207" s="17"/>
      <c r="L207" s="17"/>
      <c r="M207" s="17"/>
      <c r="N207" s="40"/>
      <c r="O207" s="41"/>
      <c r="P207" s="43" t="str">
        <f aca="false">IF(OR(B207="",N207=""),"",ROUND(((N207+N(O207))-(B207+N(C207)))*24,1))</f>
        <v/>
      </c>
      <c r="Q207" s="17"/>
      <c r="R207" s="17"/>
      <c r="S207" s="17"/>
      <c r="T207" s="17"/>
      <c r="U207" s="17"/>
      <c r="V207" s="17"/>
      <c r="W207" s="44" t="str">
        <f aca="false">IF(OR(E207="",COUNTA(Q207:V207)=0),"",SUMIFS(Settings!$AA$2:$AA$21,Settings!$Y$2:$Y$21,"Budget AED 5k+/mo?",Settings!$Z$2:$Z$21,Q207)+SUMIFS(Settings!$AA$2:$AA$21,Settings!$Y$2:$Y$21,"Decision-maker?",Settings!$Z$2:$Z$21,R207)+SUMIFS(Settings!$AA$2:$AA$21,Settings!$Y$2:$Y$21,"Someone on camera?",Settings!$Z$2:$Z$21,S207)+SUMIFS(Settings!$AA$2:$AA$21,Settings!$Y$2:$Y$21,"OK with 3-month term?",Settings!$Z$2:$Z$21,T207)+SUMIFS(Settings!$AA$2:$AA$21,Settings!$Y$2:$Y$21,"Start timeline",Settings!$Z$2:$Z$21,U207)+SUMIFS(Settings!$AA$2:$AA$21,Settings!$Y$2:$Y$21,"Social media gap",Settings!$Z$2:$Z$21,V207)+IF(F207="",0,IF(COUNTIF(Settings!$AC$2:$AC$6,F207)&gt;0,Settings!$AA$20,Settings!$AA$21)))</f>
        <v/>
      </c>
      <c r="X207" s="44" t="str">
        <f aca="false">IF(E207="","",IF(COUNTA(Q207:V207)=0,"Not scored",IF(COUNTA(Q207:V207)&lt;6,"Partly scored ("&amp;COUNTA(Q207:V207)&amp;"/6)",IF(W207&gt;=Settings!$S$8,"Hot",IF(W207&gt;=Settings!$S$9,"Warm","Cold")))))</f>
        <v/>
      </c>
      <c r="Y207" s="44" t="str">
        <f aca="false">IF(E207="","",IF(AND(Q207="No",S207="No"),"🚩 Budget  ·  🚩 No one on camera",IF(Q207="No","🚩 Budget under AED 5k",IF(S207="No","🚩 No one on camera",""))))</f>
        <v/>
      </c>
      <c r="Z207" s="17"/>
      <c r="AA207" s="17"/>
      <c r="AB207" s="40"/>
      <c r="AC207" s="17"/>
      <c r="AD207" s="45" t="str">
        <f aca="false">IF(OR(E207="",AB207="",OR(AA207="Contract signed + paid",AA207="Closed – No response",AA207="Lost"),N(AC207)&gt;=Settings!$S$3),"",AB207+Settings!$S$2)</f>
        <v/>
      </c>
      <c r="AE207" s="40"/>
      <c r="AF207" s="41"/>
      <c r="AG207" s="17"/>
      <c r="AH207" s="17"/>
      <c r="AI207" s="17"/>
      <c r="AJ207" s="46" t="str">
        <f aca="true">IF(OR(E207="",B207=""),"",INT(TODAY()-B207))</f>
        <v/>
      </c>
      <c r="AK207" s="44" t="str">
        <f aca="true">IF(E207="","",IF(OR(COUNTIFS(Clients!$C$2:$C$501,E207,Clients!$S$2:$S$501,"Paid")&gt;0,AND(I207&lt;&gt;"",COUNTIFS(Clients!$E$2:$E$501,I207,Clients!$S$2:$S$501,"Paid")&gt;0)),"⚠ Refunded before – no free video",IF(OR(AA207="Contract signed + paid",AA207="Closed – No response",AA207="Lost"),"",IF(AA207="","Set a stage",IF(AND(AA207="Proposal sent",COUNTA(Q207:V207)&lt;6),"Score this lead – proposal sent unscored",IF(N(AC207)&gt;=Settings!$S$3,"Close – 4 follow-ups sent",IF(AD207="",IF(AB207="","Make first contact",""),IF(TODAY()&gt;AD207,"OVERDUE follow-up",IF(TODAY()=AD207,"Follow up today","")))))))))</f>
        <v/>
      </c>
    </row>
    <row r="208" customFormat="false" ht="15" hidden="false" customHeight="false" outlineLevel="0" collapsed="false">
      <c r="A208" s="17"/>
      <c r="B208" s="40"/>
      <c r="C208" s="41"/>
      <c r="D208" s="17"/>
      <c r="E208" s="17"/>
      <c r="F208" s="17"/>
      <c r="G208" s="17"/>
      <c r="H208" s="17"/>
      <c r="I208" s="42"/>
      <c r="J208" s="17"/>
      <c r="K208" s="17"/>
      <c r="L208" s="17"/>
      <c r="M208" s="17"/>
      <c r="N208" s="40"/>
      <c r="O208" s="41"/>
      <c r="P208" s="43" t="str">
        <f aca="false">IF(OR(B208="",N208=""),"",ROUND(((N208+N(O208))-(B208+N(C208)))*24,1))</f>
        <v/>
      </c>
      <c r="Q208" s="17"/>
      <c r="R208" s="17"/>
      <c r="S208" s="17"/>
      <c r="T208" s="17"/>
      <c r="U208" s="17"/>
      <c r="V208" s="17"/>
      <c r="W208" s="44" t="str">
        <f aca="false">IF(OR(E208="",COUNTA(Q208:V208)=0),"",SUMIFS(Settings!$AA$2:$AA$21,Settings!$Y$2:$Y$21,"Budget AED 5k+/mo?",Settings!$Z$2:$Z$21,Q208)+SUMIFS(Settings!$AA$2:$AA$21,Settings!$Y$2:$Y$21,"Decision-maker?",Settings!$Z$2:$Z$21,R208)+SUMIFS(Settings!$AA$2:$AA$21,Settings!$Y$2:$Y$21,"Someone on camera?",Settings!$Z$2:$Z$21,S208)+SUMIFS(Settings!$AA$2:$AA$21,Settings!$Y$2:$Y$21,"OK with 3-month term?",Settings!$Z$2:$Z$21,T208)+SUMIFS(Settings!$AA$2:$AA$21,Settings!$Y$2:$Y$21,"Start timeline",Settings!$Z$2:$Z$21,U208)+SUMIFS(Settings!$AA$2:$AA$21,Settings!$Y$2:$Y$21,"Social media gap",Settings!$Z$2:$Z$21,V208)+IF(F208="",0,IF(COUNTIF(Settings!$AC$2:$AC$6,F208)&gt;0,Settings!$AA$20,Settings!$AA$21)))</f>
        <v/>
      </c>
      <c r="X208" s="44" t="str">
        <f aca="false">IF(E208="","",IF(COUNTA(Q208:V208)=0,"Not scored",IF(COUNTA(Q208:V208)&lt;6,"Partly scored ("&amp;COUNTA(Q208:V208)&amp;"/6)",IF(W208&gt;=Settings!$S$8,"Hot",IF(W208&gt;=Settings!$S$9,"Warm","Cold")))))</f>
        <v/>
      </c>
      <c r="Y208" s="44" t="str">
        <f aca="false">IF(E208="","",IF(AND(Q208="No",S208="No"),"🚩 Budget  ·  🚩 No one on camera",IF(Q208="No","🚩 Budget under AED 5k",IF(S208="No","🚩 No one on camera",""))))</f>
        <v/>
      </c>
      <c r="Z208" s="17"/>
      <c r="AA208" s="17"/>
      <c r="AB208" s="40"/>
      <c r="AC208" s="17"/>
      <c r="AD208" s="45" t="str">
        <f aca="false">IF(OR(E208="",AB208="",OR(AA208="Contract signed + paid",AA208="Closed – No response",AA208="Lost"),N(AC208)&gt;=Settings!$S$3),"",AB208+Settings!$S$2)</f>
        <v/>
      </c>
      <c r="AE208" s="40"/>
      <c r="AF208" s="41"/>
      <c r="AG208" s="17"/>
      <c r="AH208" s="17"/>
      <c r="AI208" s="17"/>
      <c r="AJ208" s="46" t="str">
        <f aca="true">IF(OR(E208="",B208=""),"",INT(TODAY()-B208))</f>
        <v/>
      </c>
      <c r="AK208" s="44" t="str">
        <f aca="true">IF(E208="","",IF(OR(COUNTIFS(Clients!$C$2:$C$501,E208,Clients!$S$2:$S$501,"Paid")&gt;0,AND(I208&lt;&gt;"",COUNTIFS(Clients!$E$2:$E$501,I208,Clients!$S$2:$S$501,"Paid")&gt;0)),"⚠ Refunded before – no free video",IF(OR(AA208="Contract signed + paid",AA208="Closed – No response",AA208="Lost"),"",IF(AA208="","Set a stage",IF(AND(AA208="Proposal sent",COUNTA(Q208:V208)&lt;6),"Score this lead – proposal sent unscored",IF(N(AC208)&gt;=Settings!$S$3,"Close – 4 follow-ups sent",IF(AD208="",IF(AB208="","Make first contact",""),IF(TODAY()&gt;AD208,"OVERDUE follow-up",IF(TODAY()=AD208,"Follow up today","")))))))))</f>
        <v/>
      </c>
    </row>
    <row r="209" customFormat="false" ht="15" hidden="false" customHeight="false" outlineLevel="0" collapsed="false">
      <c r="A209" s="17"/>
      <c r="B209" s="40"/>
      <c r="C209" s="41"/>
      <c r="D209" s="17"/>
      <c r="E209" s="17"/>
      <c r="F209" s="17"/>
      <c r="G209" s="17"/>
      <c r="H209" s="17"/>
      <c r="I209" s="42"/>
      <c r="J209" s="17"/>
      <c r="K209" s="17"/>
      <c r="L209" s="17"/>
      <c r="M209" s="17"/>
      <c r="N209" s="40"/>
      <c r="O209" s="41"/>
      <c r="P209" s="43" t="str">
        <f aca="false">IF(OR(B209="",N209=""),"",ROUND(((N209+N(O209))-(B209+N(C209)))*24,1))</f>
        <v/>
      </c>
      <c r="Q209" s="17"/>
      <c r="R209" s="17"/>
      <c r="S209" s="17"/>
      <c r="T209" s="17"/>
      <c r="U209" s="17"/>
      <c r="V209" s="17"/>
      <c r="W209" s="44" t="str">
        <f aca="false">IF(OR(E209="",COUNTA(Q209:V209)=0),"",SUMIFS(Settings!$AA$2:$AA$21,Settings!$Y$2:$Y$21,"Budget AED 5k+/mo?",Settings!$Z$2:$Z$21,Q209)+SUMIFS(Settings!$AA$2:$AA$21,Settings!$Y$2:$Y$21,"Decision-maker?",Settings!$Z$2:$Z$21,R209)+SUMIFS(Settings!$AA$2:$AA$21,Settings!$Y$2:$Y$21,"Someone on camera?",Settings!$Z$2:$Z$21,S209)+SUMIFS(Settings!$AA$2:$AA$21,Settings!$Y$2:$Y$21,"OK with 3-month term?",Settings!$Z$2:$Z$21,T209)+SUMIFS(Settings!$AA$2:$AA$21,Settings!$Y$2:$Y$21,"Start timeline",Settings!$Z$2:$Z$21,U209)+SUMIFS(Settings!$AA$2:$AA$21,Settings!$Y$2:$Y$21,"Social media gap",Settings!$Z$2:$Z$21,V209)+IF(F209="",0,IF(COUNTIF(Settings!$AC$2:$AC$6,F209)&gt;0,Settings!$AA$20,Settings!$AA$21)))</f>
        <v/>
      </c>
      <c r="X209" s="44" t="str">
        <f aca="false">IF(E209="","",IF(COUNTA(Q209:V209)=0,"Not scored",IF(COUNTA(Q209:V209)&lt;6,"Partly scored ("&amp;COUNTA(Q209:V209)&amp;"/6)",IF(W209&gt;=Settings!$S$8,"Hot",IF(W209&gt;=Settings!$S$9,"Warm","Cold")))))</f>
        <v/>
      </c>
      <c r="Y209" s="44" t="str">
        <f aca="false">IF(E209="","",IF(AND(Q209="No",S209="No"),"🚩 Budget  ·  🚩 No one on camera",IF(Q209="No","🚩 Budget under AED 5k",IF(S209="No","🚩 No one on camera",""))))</f>
        <v/>
      </c>
      <c r="Z209" s="17"/>
      <c r="AA209" s="17"/>
      <c r="AB209" s="40"/>
      <c r="AC209" s="17"/>
      <c r="AD209" s="45" t="str">
        <f aca="false">IF(OR(E209="",AB209="",OR(AA209="Contract signed + paid",AA209="Closed – No response",AA209="Lost"),N(AC209)&gt;=Settings!$S$3),"",AB209+Settings!$S$2)</f>
        <v/>
      </c>
      <c r="AE209" s="40"/>
      <c r="AF209" s="41"/>
      <c r="AG209" s="17"/>
      <c r="AH209" s="17"/>
      <c r="AI209" s="17"/>
      <c r="AJ209" s="46" t="str">
        <f aca="true">IF(OR(E209="",B209=""),"",INT(TODAY()-B209))</f>
        <v/>
      </c>
      <c r="AK209" s="44" t="str">
        <f aca="true">IF(E209="","",IF(OR(COUNTIFS(Clients!$C$2:$C$501,E209,Clients!$S$2:$S$501,"Paid")&gt;0,AND(I209&lt;&gt;"",COUNTIFS(Clients!$E$2:$E$501,I209,Clients!$S$2:$S$501,"Paid")&gt;0)),"⚠ Refunded before – no free video",IF(OR(AA209="Contract signed + paid",AA209="Closed – No response",AA209="Lost"),"",IF(AA209="","Set a stage",IF(AND(AA209="Proposal sent",COUNTA(Q209:V209)&lt;6),"Score this lead – proposal sent unscored",IF(N(AC209)&gt;=Settings!$S$3,"Close – 4 follow-ups sent",IF(AD209="",IF(AB209="","Make first contact",""),IF(TODAY()&gt;AD209,"OVERDUE follow-up",IF(TODAY()=AD209,"Follow up today","")))))))))</f>
        <v/>
      </c>
    </row>
    <row r="210" customFormat="false" ht="15" hidden="false" customHeight="false" outlineLevel="0" collapsed="false">
      <c r="A210" s="17"/>
      <c r="B210" s="40"/>
      <c r="C210" s="41"/>
      <c r="D210" s="17"/>
      <c r="E210" s="17"/>
      <c r="F210" s="17"/>
      <c r="G210" s="17"/>
      <c r="H210" s="17"/>
      <c r="I210" s="42"/>
      <c r="J210" s="17"/>
      <c r="K210" s="17"/>
      <c r="L210" s="17"/>
      <c r="M210" s="17"/>
      <c r="N210" s="40"/>
      <c r="O210" s="41"/>
      <c r="P210" s="43" t="str">
        <f aca="false">IF(OR(B210="",N210=""),"",ROUND(((N210+N(O210))-(B210+N(C210)))*24,1))</f>
        <v/>
      </c>
      <c r="Q210" s="17"/>
      <c r="R210" s="17"/>
      <c r="S210" s="17"/>
      <c r="T210" s="17"/>
      <c r="U210" s="17"/>
      <c r="V210" s="17"/>
      <c r="W210" s="44" t="str">
        <f aca="false">IF(OR(E210="",COUNTA(Q210:V210)=0),"",SUMIFS(Settings!$AA$2:$AA$21,Settings!$Y$2:$Y$21,"Budget AED 5k+/mo?",Settings!$Z$2:$Z$21,Q210)+SUMIFS(Settings!$AA$2:$AA$21,Settings!$Y$2:$Y$21,"Decision-maker?",Settings!$Z$2:$Z$21,R210)+SUMIFS(Settings!$AA$2:$AA$21,Settings!$Y$2:$Y$21,"Someone on camera?",Settings!$Z$2:$Z$21,S210)+SUMIFS(Settings!$AA$2:$AA$21,Settings!$Y$2:$Y$21,"OK with 3-month term?",Settings!$Z$2:$Z$21,T210)+SUMIFS(Settings!$AA$2:$AA$21,Settings!$Y$2:$Y$21,"Start timeline",Settings!$Z$2:$Z$21,U210)+SUMIFS(Settings!$AA$2:$AA$21,Settings!$Y$2:$Y$21,"Social media gap",Settings!$Z$2:$Z$21,V210)+IF(F210="",0,IF(COUNTIF(Settings!$AC$2:$AC$6,F210)&gt;0,Settings!$AA$20,Settings!$AA$21)))</f>
        <v/>
      </c>
      <c r="X210" s="44" t="str">
        <f aca="false">IF(E210="","",IF(COUNTA(Q210:V210)=0,"Not scored",IF(COUNTA(Q210:V210)&lt;6,"Partly scored ("&amp;COUNTA(Q210:V210)&amp;"/6)",IF(W210&gt;=Settings!$S$8,"Hot",IF(W210&gt;=Settings!$S$9,"Warm","Cold")))))</f>
        <v/>
      </c>
      <c r="Y210" s="44" t="str">
        <f aca="false">IF(E210="","",IF(AND(Q210="No",S210="No"),"🚩 Budget  ·  🚩 No one on camera",IF(Q210="No","🚩 Budget under AED 5k",IF(S210="No","🚩 No one on camera",""))))</f>
        <v/>
      </c>
      <c r="Z210" s="17"/>
      <c r="AA210" s="17"/>
      <c r="AB210" s="40"/>
      <c r="AC210" s="17"/>
      <c r="AD210" s="45" t="str">
        <f aca="false">IF(OR(E210="",AB210="",OR(AA210="Contract signed + paid",AA210="Closed – No response",AA210="Lost"),N(AC210)&gt;=Settings!$S$3),"",AB210+Settings!$S$2)</f>
        <v/>
      </c>
      <c r="AE210" s="40"/>
      <c r="AF210" s="41"/>
      <c r="AG210" s="17"/>
      <c r="AH210" s="17"/>
      <c r="AI210" s="17"/>
      <c r="AJ210" s="46" t="str">
        <f aca="true">IF(OR(E210="",B210=""),"",INT(TODAY()-B210))</f>
        <v/>
      </c>
      <c r="AK210" s="44" t="str">
        <f aca="true">IF(E210="","",IF(OR(COUNTIFS(Clients!$C$2:$C$501,E210,Clients!$S$2:$S$501,"Paid")&gt;0,AND(I210&lt;&gt;"",COUNTIFS(Clients!$E$2:$E$501,I210,Clients!$S$2:$S$501,"Paid")&gt;0)),"⚠ Refunded before – no free video",IF(OR(AA210="Contract signed + paid",AA210="Closed – No response",AA210="Lost"),"",IF(AA210="","Set a stage",IF(AND(AA210="Proposal sent",COUNTA(Q210:V210)&lt;6),"Score this lead – proposal sent unscored",IF(N(AC210)&gt;=Settings!$S$3,"Close – 4 follow-ups sent",IF(AD210="",IF(AB210="","Make first contact",""),IF(TODAY()&gt;AD210,"OVERDUE follow-up",IF(TODAY()=AD210,"Follow up today","")))))))))</f>
        <v/>
      </c>
    </row>
    <row r="211" customFormat="false" ht="15" hidden="false" customHeight="false" outlineLevel="0" collapsed="false">
      <c r="A211" s="17"/>
      <c r="B211" s="40"/>
      <c r="C211" s="41"/>
      <c r="D211" s="17"/>
      <c r="E211" s="17"/>
      <c r="F211" s="17"/>
      <c r="G211" s="17"/>
      <c r="H211" s="17"/>
      <c r="I211" s="42"/>
      <c r="J211" s="17"/>
      <c r="K211" s="17"/>
      <c r="L211" s="17"/>
      <c r="M211" s="17"/>
      <c r="N211" s="40"/>
      <c r="O211" s="41"/>
      <c r="P211" s="43" t="str">
        <f aca="false">IF(OR(B211="",N211=""),"",ROUND(((N211+N(O211))-(B211+N(C211)))*24,1))</f>
        <v/>
      </c>
      <c r="Q211" s="17"/>
      <c r="R211" s="17"/>
      <c r="S211" s="17"/>
      <c r="T211" s="17"/>
      <c r="U211" s="17"/>
      <c r="V211" s="17"/>
      <c r="W211" s="44" t="str">
        <f aca="false">IF(OR(E211="",COUNTA(Q211:V211)=0),"",SUMIFS(Settings!$AA$2:$AA$21,Settings!$Y$2:$Y$21,"Budget AED 5k+/mo?",Settings!$Z$2:$Z$21,Q211)+SUMIFS(Settings!$AA$2:$AA$21,Settings!$Y$2:$Y$21,"Decision-maker?",Settings!$Z$2:$Z$21,R211)+SUMIFS(Settings!$AA$2:$AA$21,Settings!$Y$2:$Y$21,"Someone on camera?",Settings!$Z$2:$Z$21,S211)+SUMIFS(Settings!$AA$2:$AA$21,Settings!$Y$2:$Y$21,"OK with 3-month term?",Settings!$Z$2:$Z$21,T211)+SUMIFS(Settings!$AA$2:$AA$21,Settings!$Y$2:$Y$21,"Start timeline",Settings!$Z$2:$Z$21,U211)+SUMIFS(Settings!$AA$2:$AA$21,Settings!$Y$2:$Y$21,"Social media gap",Settings!$Z$2:$Z$21,V211)+IF(F211="",0,IF(COUNTIF(Settings!$AC$2:$AC$6,F211)&gt;0,Settings!$AA$20,Settings!$AA$21)))</f>
        <v/>
      </c>
      <c r="X211" s="44" t="str">
        <f aca="false">IF(E211="","",IF(COUNTA(Q211:V211)=0,"Not scored",IF(COUNTA(Q211:V211)&lt;6,"Partly scored ("&amp;COUNTA(Q211:V211)&amp;"/6)",IF(W211&gt;=Settings!$S$8,"Hot",IF(W211&gt;=Settings!$S$9,"Warm","Cold")))))</f>
        <v/>
      </c>
      <c r="Y211" s="44" t="str">
        <f aca="false">IF(E211="","",IF(AND(Q211="No",S211="No"),"🚩 Budget  ·  🚩 No one on camera",IF(Q211="No","🚩 Budget under AED 5k",IF(S211="No","🚩 No one on camera",""))))</f>
        <v/>
      </c>
      <c r="Z211" s="17"/>
      <c r="AA211" s="17"/>
      <c r="AB211" s="40"/>
      <c r="AC211" s="17"/>
      <c r="AD211" s="45" t="str">
        <f aca="false">IF(OR(E211="",AB211="",OR(AA211="Contract signed + paid",AA211="Closed – No response",AA211="Lost"),N(AC211)&gt;=Settings!$S$3),"",AB211+Settings!$S$2)</f>
        <v/>
      </c>
      <c r="AE211" s="40"/>
      <c r="AF211" s="41"/>
      <c r="AG211" s="17"/>
      <c r="AH211" s="17"/>
      <c r="AI211" s="17"/>
      <c r="AJ211" s="46" t="str">
        <f aca="true">IF(OR(E211="",B211=""),"",INT(TODAY()-B211))</f>
        <v/>
      </c>
      <c r="AK211" s="44" t="str">
        <f aca="true">IF(E211="","",IF(OR(COUNTIFS(Clients!$C$2:$C$501,E211,Clients!$S$2:$S$501,"Paid")&gt;0,AND(I211&lt;&gt;"",COUNTIFS(Clients!$E$2:$E$501,I211,Clients!$S$2:$S$501,"Paid")&gt;0)),"⚠ Refunded before – no free video",IF(OR(AA211="Contract signed + paid",AA211="Closed – No response",AA211="Lost"),"",IF(AA211="","Set a stage",IF(AND(AA211="Proposal sent",COUNTA(Q211:V211)&lt;6),"Score this lead – proposal sent unscored",IF(N(AC211)&gt;=Settings!$S$3,"Close – 4 follow-ups sent",IF(AD211="",IF(AB211="","Make first contact",""),IF(TODAY()&gt;AD211,"OVERDUE follow-up",IF(TODAY()=AD211,"Follow up today","")))))))))</f>
        <v/>
      </c>
    </row>
    <row r="212" customFormat="false" ht="15" hidden="false" customHeight="false" outlineLevel="0" collapsed="false">
      <c r="A212" s="17"/>
      <c r="B212" s="40"/>
      <c r="C212" s="41"/>
      <c r="D212" s="17"/>
      <c r="E212" s="17"/>
      <c r="F212" s="17"/>
      <c r="G212" s="17"/>
      <c r="H212" s="17"/>
      <c r="I212" s="42"/>
      <c r="J212" s="17"/>
      <c r="K212" s="17"/>
      <c r="L212" s="17"/>
      <c r="M212" s="17"/>
      <c r="N212" s="40"/>
      <c r="O212" s="41"/>
      <c r="P212" s="43" t="str">
        <f aca="false">IF(OR(B212="",N212=""),"",ROUND(((N212+N(O212))-(B212+N(C212)))*24,1))</f>
        <v/>
      </c>
      <c r="Q212" s="17"/>
      <c r="R212" s="17"/>
      <c r="S212" s="17"/>
      <c r="T212" s="17"/>
      <c r="U212" s="17"/>
      <c r="V212" s="17"/>
      <c r="W212" s="44" t="str">
        <f aca="false">IF(OR(E212="",COUNTA(Q212:V212)=0),"",SUMIFS(Settings!$AA$2:$AA$21,Settings!$Y$2:$Y$21,"Budget AED 5k+/mo?",Settings!$Z$2:$Z$21,Q212)+SUMIFS(Settings!$AA$2:$AA$21,Settings!$Y$2:$Y$21,"Decision-maker?",Settings!$Z$2:$Z$21,R212)+SUMIFS(Settings!$AA$2:$AA$21,Settings!$Y$2:$Y$21,"Someone on camera?",Settings!$Z$2:$Z$21,S212)+SUMIFS(Settings!$AA$2:$AA$21,Settings!$Y$2:$Y$21,"OK with 3-month term?",Settings!$Z$2:$Z$21,T212)+SUMIFS(Settings!$AA$2:$AA$21,Settings!$Y$2:$Y$21,"Start timeline",Settings!$Z$2:$Z$21,U212)+SUMIFS(Settings!$AA$2:$AA$21,Settings!$Y$2:$Y$21,"Social media gap",Settings!$Z$2:$Z$21,V212)+IF(F212="",0,IF(COUNTIF(Settings!$AC$2:$AC$6,F212)&gt;0,Settings!$AA$20,Settings!$AA$21)))</f>
        <v/>
      </c>
      <c r="X212" s="44" t="str">
        <f aca="false">IF(E212="","",IF(COUNTA(Q212:V212)=0,"Not scored",IF(COUNTA(Q212:V212)&lt;6,"Partly scored ("&amp;COUNTA(Q212:V212)&amp;"/6)",IF(W212&gt;=Settings!$S$8,"Hot",IF(W212&gt;=Settings!$S$9,"Warm","Cold")))))</f>
        <v/>
      </c>
      <c r="Y212" s="44" t="str">
        <f aca="false">IF(E212="","",IF(AND(Q212="No",S212="No"),"🚩 Budget  ·  🚩 No one on camera",IF(Q212="No","🚩 Budget under AED 5k",IF(S212="No","🚩 No one on camera",""))))</f>
        <v/>
      </c>
      <c r="Z212" s="17"/>
      <c r="AA212" s="17"/>
      <c r="AB212" s="40"/>
      <c r="AC212" s="17"/>
      <c r="AD212" s="45" t="str">
        <f aca="false">IF(OR(E212="",AB212="",OR(AA212="Contract signed + paid",AA212="Closed – No response",AA212="Lost"),N(AC212)&gt;=Settings!$S$3),"",AB212+Settings!$S$2)</f>
        <v/>
      </c>
      <c r="AE212" s="40"/>
      <c r="AF212" s="41"/>
      <c r="AG212" s="17"/>
      <c r="AH212" s="17"/>
      <c r="AI212" s="17"/>
      <c r="AJ212" s="46" t="str">
        <f aca="true">IF(OR(E212="",B212=""),"",INT(TODAY()-B212))</f>
        <v/>
      </c>
      <c r="AK212" s="44" t="str">
        <f aca="true">IF(E212="","",IF(OR(COUNTIFS(Clients!$C$2:$C$501,E212,Clients!$S$2:$S$501,"Paid")&gt;0,AND(I212&lt;&gt;"",COUNTIFS(Clients!$E$2:$E$501,I212,Clients!$S$2:$S$501,"Paid")&gt;0)),"⚠ Refunded before – no free video",IF(OR(AA212="Contract signed + paid",AA212="Closed – No response",AA212="Lost"),"",IF(AA212="","Set a stage",IF(AND(AA212="Proposal sent",COUNTA(Q212:V212)&lt;6),"Score this lead – proposal sent unscored",IF(N(AC212)&gt;=Settings!$S$3,"Close – 4 follow-ups sent",IF(AD212="",IF(AB212="","Make first contact",""),IF(TODAY()&gt;AD212,"OVERDUE follow-up",IF(TODAY()=AD212,"Follow up today","")))))))))</f>
        <v/>
      </c>
    </row>
    <row r="213" customFormat="false" ht="15" hidden="false" customHeight="false" outlineLevel="0" collapsed="false">
      <c r="A213" s="17"/>
      <c r="B213" s="40"/>
      <c r="C213" s="41"/>
      <c r="D213" s="17"/>
      <c r="E213" s="17"/>
      <c r="F213" s="17"/>
      <c r="G213" s="17"/>
      <c r="H213" s="17"/>
      <c r="I213" s="42"/>
      <c r="J213" s="17"/>
      <c r="K213" s="17"/>
      <c r="L213" s="17"/>
      <c r="M213" s="17"/>
      <c r="N213" s="40"/>
      <c r="O213" s="41"/>
      <c r="P213" s="43" t="str">
        <f aca="false">IF(OR(B213="",N213=""),"",ROUND(((N213+N(O213))-(B213+N(C213)))*24,1))</f>
        <v/>
      </c>
      <c r="Q213" s="17"/>
      <c r="R213" s="17"/>
      <c r="S213" s="17"/>
      <c r="T213" s="17"/>
      <c r="U213" s="17"/>
      <c r="V213" s="17"/>
      <c r="W213" s="44" t="str">
        <f aca="false">IF(OR(E213="",COUNTA(Q213:V213)=0),"",SUMIFS(Settings!$AA$2:$AA$21,Settings!$Y$2:$Y$21,"Budget AED 5k+/mo?",Settings!$Z$2:$Z$21,Q213)+SUMIFS(Settings!$AA$2:$AA$21,Settings!$Y$2:$Y$21,"Decision-maker?",Settings!$Z$2:$Z$21,R213)+SUMIFS(Settings!$AA$2:$AA$21,Settings!$Y$2:$Y$21,"Someone on camera?",Settings!$Z$2:$Z$21,S213)+SUMIFS(Settings!$AA$2:$AA$21,Settings!$Y$2:$Y$21,"OK with 3-month term?",Settings!$Z$2:$Z$21,T213)+SUMIFS(Settings!$AA$2:$AA$21,Settings!$Y$2:$Y$21,"Start timeline",Settings!$Z$2:$Z$21,U213)+SUMIFS(Settings!$AA$2:$AA$21,Settings!$Y$2:$Y$21,"Social media gap",Settings!$Z$2:$Z$21,V213)+IF(F213="",0,IF(COUNTIF(Settings!$AC$2:$AC$6,F213)&gt;0,Settings!$AA$20,Settings!$AA$21)))</f>
        <v/>
      </c>
      <c r="X213" s="44" t="str">
        <f aca="false">IF(E213="","",IF(COUNTA(Q213:V213)=0,"Not scored",IF(COUNTA(Q213:V213)&lt;6,"Partly scored ("&amp;COUNTA(Q213:V213)&amp;"/6)",IF(W213&gt;=Settings!$S$8,"Hot",IF(W213&gt;=Settings!$S$9,"Warm","Cold")))))</f>
        <v/>
      </c>
      <c r="Y213" s="44" t="str">
        <f aca="false">IF(E213="","",IF(AND(Q213="No",S213="No"),"🚩 Budget  ·  🚩 No one on camera",IF(Q213="No","🚩 Budget under AED 5k",IF(S213="No","🚩 No one on camera",""))))</f>
        <v/>
      </c>
      <c r="Z213" s="17"/>
      <c r="AA213" s="17"/>
      <c r="AB213" s="40"/>
      <c r="AC213" s="17"/>
      <c r="AD213" s="45" t="str">
        <f aca="false">IF(OR(E213="",AB213="",OR(AA213="Contract signed + paid",AA213="Closed – No response",AA213="Lost"),N(AC213)&gt;=Settings!$S$3),"",AB213+Settings!$S$2)</f>
        <v/>
      </c>
      <c r="AE213" s="40"/>
      <c r="AF213" s="41"/>
      <c r="AG213" s="17"/>
      <c r="AH213" s="17"/>
      <c r="AI213" s="17"/>
      <c r="AJ213" s="46" t="str">
        <f aca="true">IF(OR(E213="",B213=""),"",INT(TODAY()-B213))</f>
        <v/>
      </c>
      <c r="AK213" s="44" t="str">
        <f aca="true">IF(E213="","",IF(OR(COUNTIFS(Clients!$C$2:$C$501,E213,Clients!$S$2:$S$501,"Paid")&gt;0,AND(I213&lt;&gt;"",COUNTIFS(Clients!$E$2:$E$501,I213,Clients!$S$2:$S$501,"Paid")&gt;0)),"⚠ Refunded before – no free video",IF(OR(AA213="Contract signed + paid",AA213="Closed – No response",AA213="Lost"),"",IF(AA213="","Set a stage",IF(AND(AA213="Proposal sent",COUNTA(Q213:V213)&lt;6),"Score this lead – proposal sent unscored",IF(N(AC213)&gt;=Settings!$S$3,"Close – 4 follow-ups sent",IF(AD213="",IF(AB213="","Make first contact",""),IF(TODAY()&gt;AD213,"OVERDUE follow-up",IF(TODAY()=AD213,"Follow up today","")))))))))</f>
        <v/>
      </c>
    </row>
    <row r="214" customFormat="false" ht="15" hidden="false" customHeight="false" outlineLevel="0" collapsed="false">
      <c r="A214" s="17"/>
      <c r="B214" s="40"/>
      <c r="C214" s="41"/>
      <c r="D214" s="17"/>
      <c r="E214" s="17"/>
      <c r="F214" s="17"/>
      <c r="G214" s="17"/>
      <c r="H214" s="17"/>
      <c r="I214" s="42"/>
      <c r="J214" s="17"/>
      <c r="K214" s="17"/>
      <c r="L214" s="17"/>
      <c r="M214" s="17"/>
      <c r="N214" s="40"/>
      <c r="O214" s="41"/>
      <c r="P214" s="43" t="str">
        <f aca="false">IF(OR(B214="",N214=""),"",ROUND(((N214+N(O214))-(B214+N(C214)))*24,1))</f>
        <v/>
      </c>
      <c r="Q214" s="17"/>
      <c r="R214" s="17"/>
      <c r="S214" s="17"/>
      <c r="T214" s="17"/>
      <c r="U214" s="17"/>
      <c r="V214" s="17"/>
      <c r="W214" s="44" t="str">
        <f aca="false">IF(OR(E214="",COUNTA(Q214:V214)=0),"",SUMIFS(Settings!$AA$2:$AA$21,Settings!$Y$2:$Y$21,"Budget AED 5k+/mo?",Settings!$Z$2:$Z$21,Q214)+SUMIFS(Settings!$AA$2:$AA$21,Settings!$Y$2:$Y$21,"Decision-maker?",Settings!$Z$2:$Z$21,R214)+SUMIFS(Settings!$AA$2:$AA$21,Settings!$Y$2:$Y$21,"Someone on camera?",Settings!$Z$2:$Z$21,S214)+SUMIFS(Settings!$AA$2:$AA$21,Settings!$Y$2:$Y$21,"OK with 3-month term?",Settings!$Z$2:$Z$21,T214)+SUMIFS(Settings!$AA$2:$AA$21,Settings!$Y$2:$Y$21,"Start timeline",Settings!$Z$2:$Z$21,U214)+SUMIFS(Settings!$AA$2:$AA$21,Settings!$Y$2:$Y$21,"Social media gap",Settings!$Z$2:$Z$21,V214)+IF(F214="",0,IF(COUNTIF(Settings!$AC$2:$AC$6,F214)&gt;0,Settings!$AA$20,Settings!$AA$21)))</f>
        <v/>
      </c>
      <c r="X214" s="44" t="str">
        <f aca="false">IF(E214="","",IF(COUNTA(Q214:V214)=0,"Not scored",IF(COUNTA(Q214:V214)&lt;6,"Partly scored ("&amp;COUNTA(Q214:V214)&amp;"/6)",IF(W214&gt;=Settings!$S$8,"Hot",IF(W214&gt;=Settings!$S$9,"Warm","Cold")))))</f>
        <v/>
      </c>
      <c r="Y214" s="44" t="str">
        <f aca="false">IF(E214="","",IF(AND(Q214="No",S214="No"),"🚩 Budget  ·  🚩 No one on camera",IF(Q214="No","🚩 Budget under AED 5k",IF(S214="No","🚩 No one on camera",""))))</f>
        <v/>
      </c>
      <c r="Z214" s="17"/>
      <c r="AA214" s="17"/>
      <c r="AB214" s="40"/>
      <c r="AC214" s="17"/>
      <c r="AD214" s="45" t="str">
        <f aca="false">IF(OR(E214="",AB214="",OR(AA214="Contract signed + paid",AA214="Closed – No response",AA214="Lost"),N(AC214)&gt;=Settings!$S$3),"",AB214+Settings!$S$2)</f>
        <v/>
      </c>
      <c r="AE214" s="40"/>
      <c r="AF214" s="41"/>
      <c r="AG214" s="17"/>
      <c r="AH214" s="17"/>
      <c r="AI214" s="17"/>
      <c r="AJ214" s="46" t="str">
        <f aca="true">IF(OR(E214="",B214=""),"",INT(TODAY()-B214))</f>
        <v/>
      </c>
      <c r="AK214" s="44" t="str">
        <f aca="true">IF(E214="","",IF(OR(COUNTIFS(Clients!$C$2:$C$501,E214,Clients!$S$2:$S$501,"Paid")&gt;0,AND(I214&lt;&gt;"",COUNTIFS(Clients!$E$2:$E$501,I214,Clients!$S$2:$S$501,"Paid")&gt;0)),"⚠ Refunded before – no free video",IF(OR(AA214="Contract signed + paid",AA214="Closed – No response",AA214="Lost"),"",IF(AA214="","Set a stage",IF(AND(AA214="Proposal sent",COUNTA(Q214:V214)&lt;6),"Score this lead – proposal sent unscored",IF(N(AC214)&gt;=Settings!$S$3,"Close – 4 follow-ups sent",IF(AD214="",IF(AB214="","Make first contact",""),IF(TODAY()&gt;AD214,"OVERDUE follow-up",IF(TODAY()=AD214,"Follow up today","")))))))))</f>
        <v/>
      </c>
    </row>
    <row r="215" customFormat="false" ht="15" hidden="false" customHeight="false" outlineLevel="0" collapsed="false">
      <c r="A215" s="17"/>
      <c r="B215" s="40"/>
      <c r="C215" s="41"/>
      <c r="D215" s="17"/>
      <c r="E215" s="17"/>
      <c r="F215" s="17"/>
      <c r="G215" s="17"/>
      <c r="H215" s="17"/>
      <c r="I215" s="42"/>
      <c r="J215" s="17"/>
      <c r="K215" s="17"/>
      <c r="L215" s="17"/>
      <c r="M215" s="17"/>
      <c r="N215" s="40"/>
      <c r="O215" s="41"/>
      <c r="P215" s="43" t="str">
        <f aca="false">IF(OR(B215="",N215=""),"",ROUND(((N215+N(O215))-(B215+N(C215)))*24,1))</f>
        <v/>
      </c>
      <c r="Q215" s="17"/>
      <c r="R215" s="17"/>
      <c r="S215" s="17"/>
      <c r="T215" s="17"/>
      <c r="U215" s="17"/>
      <c r="V215" s="17"/>
      <c r="W215" s="44" t="str">
        <f aca="false">IF(OR(E215="",COUNTA(Q215:V215)=0),"",SUMIFS(Settings!$AA$2:$AA$21,Settings!$Y$2:$Y$21,"Budget AED 5k+/mo?",Settings!$Z$2:$Z$21,Q215)+SUMIFS(Settings!$AA$2:$AA$21,Settings!$Y$2:$Y$21,"Decision-maker?",Settings!$Z$2:$Z$21,R215)+SUMIFS(Settings!$AA$2:$AA$21,Settings!$Y$2:$Y$21,"Someone on camera?",Settings!$Z$2:$Z$21,S215)+SUMIFS(Settings!$AA$2:$AA$21,Settings!$Y$2:$Y$21,"OK with 3-month term?",Settings!$Z$2:$Z$21,T215)+SUMIFS(Settings!$AA$2:$AA$21,Settings!$Y$2:$Y$21,"Start timeline",Settings!$Z$2:$Z$21,U215)+SUMIFS(Settings!$AA$2:$AA$21,Settings!$Y$2:$Y$21,"Social media gap",Settings!$Z$2:$Z$21,V215)+IF(F215="",0,IF(COUNTIF(Settings!$AC$2:$AC$6,F215)&gt;0,Settings!$AA$20,Settings!$AA$21)))</f>
        <v/>
      </c>
      <c r="X215" s="44" t="str">
        <f aca="false">IF(E215="","",IF(COUNTA(Q215:V215)=0,"Not scored",IF(COUNTA(Q215:V215)&lt;6,"Partly scored ("&amp;COUNTA(Q215:V215)&amp;"/6)",IF(W215&gt;=Settings!$S$8,"Hot",IF(W215&gt;=Settings!$S$9,"Warm","Cold")))))</f>
        <v/>
      </c>
      <c r="Y215" s="44" t="str">
        <f aca="false">IF(E215="","",IF(AND(Q215="No",S215="No"),"🚩 Budget  ·  🚩 No one on camera",IF(Q215="No","🚩 Budget under AED 5k",IF(S215="No","🚩 No one on camera",""))))</f>
        <v/>
      </c>
      <c r="Z215" s="17"/>
      <c r="AA215" s="17"/>
      <c r="AB215" s="40"/>
      <c r="AC215" s="17"/>
      <c r="AD215" s="45" t="str">
        <f aca="false">IF(OR(E215="",AB215="",OR(AA215="Contract signed + paid",AA215="Closed – No response",AA215="Lost"),N(AC215)&gt;=Settings!$S$3),"",AB215+Settings!$S$2)</f>
        <v/>
      </c>
      <c r="AE215" s="40"/>
      <c r="AF215" s="41"/>
      <c r="AG215" s="17"/>
      <c r="AH215" s="17"/>
      <c r="AI215" s="17"/>
      <c r="AJ215" s="46" t="str">
        <f aca="true">IF(OR(E215="",B215=""),"",INT(TODAY()-B215))</f>
        <v/>
      </c>
      <c r="AK215" s="44" t="str">
        <f aca="true">IF(E215="","",IF(OR(COUNTIFS(Clients!$C$2:$C$501,E215,Clients!$S$2:$S$501,"Paid")&gt;0,AND(I215&lt;&gt;"",COUNTIFS(Clients!$E$2:$E$501,I215,Clients!$S$2:$S$501,"Paid")&gt;0)),"⚠ Refunded before – no free video",IF(OR(AA215="Contract signed + paid",AA215="Closed – No response",AA215="Lost"),"",IF(AA215="","Set a stage",IF(AND(AA215="Proposal sent",COUNTA(Q215:V215)&lt;6),"Score this lead – proposal sent unscored",IF(N(AC215)&gt;=Settings!$S$3,"Close – 4 follow-ups sent",IF(AD215="",IF(AB215="","Make first contact",""),IF(TODAY()&gt;AD215,"OVERDUE follow-up",IF(TODAY()=AD215,"Follow up today","")))))))))</f>
        <v/>
      </c>
    </row>
    <row r="216" customFormat="false" ht="15" hidden="false" customHeight="false" outlineLevel="0" collapsed="false">
      <c r="A216" s="17"/>
      <c r="B216" s="40"/>
      <c r="C216" s="41"/>
      <c r="D216" s="17"/>
      <c r="E216" s="17"/>
      <c r="F216" s="17"/>
      <c r="G216" s="17"/>
      <c r="H216" s="17"/>
      <c r="I216" s="42"/>
      <c r="J216" s="17"/>
      <c r="K216" s="17"/>
      <c r="L216" s="17"/>
      <c r="M216" s="17"/>
      <c r="N216" s="40"/>
      <c r="O216" s="41"/>
      <c r="P216" s="43" t="str">
        <f aca="false">IF(OR(B216="",N216=""),"",ROUND(((N216+N(O216))-(B216+N(C216)))*24,1))</f>
        <v/>
      </c>
      <c r="Q216" s="17"/>
      <c r="R216" s="17"/>
      <c r="S216" s="17"/>
      <c r="T216" s="17"/>
      <c r="U216" s="17"/>
      <c r="V216" s="17"/>
      <c r="W216" s="44" t="str">
        <f aca="false">IF(OR(E216="",COUNTA(Q216:V216)=0),"",SUMIFS(Settings!$AA$2:$AA$21,Settings!$Y$2:$Y$21,"Budget AED 5k+/mo?",Settings!$Z$2:$Z$21,Q216)+SUMIFS(Settings!$AA$2:$AA$21,Settings!$Y$2:$Y$21,"Decision-maker?",Settings!$Z$2:$Z$21,R216)+SUMIFS(Settings!$AA$2:$AA$21,Settings!$Y$2:$Y$21,"Someone on camera?",Settings!$Z$2:$Z$21,S216)+SUMIFS(Settings!$AA$2:$AA$21,Settings!$Y$2:$Y$21,"OK with 3-month term?",Settings!$Z$2:$Z$21,T216)+SUMIFS(Settings!$AA$2:$AA$21,Settings!$Y$2:$Y$21,"Start timeline",Settings!$Z$2:$Z$21,U216)+SUMIFS(Settings!$AA$2:$AA$21,Settings!$Y$2:$Y$21,"Social media gap",Settings!$Z$2:$Z$21,V216)+IF(F216="",0,IF(COUNTIF(Settings!$AC$2:$AC$6,F216)&gt;0,Settings!$AA$20,Settings!$AA$21)))</f>
        <v/>
      </c>
      <c r="X216" s="44" t="str">
        <f aca="false">IF(E216="","",IF(COUNTA(Q216:V216)=0,"Not scored",IF(COUNTA(Q216:V216)&lt;6,"Partly scored ("&amp;COUNTA(Q216:V216)&amp;"/6)",IF(W216&gt;=Settings!$S$8,"Hot",IF(W216&gt;=Settings!$S$9,"Warm","Cold")))))</f>
        <v/>
      </c>
      <c r="Y216" s="44" t="str">
        <f aca="false">IF(E216="","",IF(AND(Q216="No",S216="No"),"🚩 Budget  ·  🚩 No one on camera",IF(Q216="No","🚩 Budget under AED 5k",IF(S216="No","🚩 No one on camera",""))))</f>
        <v/>
      </c>
      <c r="Z216" s="17"/>
      <c r="AA216" s="17"/>
      <c r="AB216" s="40"/>
      <c r="AC216" s="17"/>
      <c r="AD216" s="45" t="str">
        <f aca="false">IF(OR(E216="",AB216="",OR(AA216="Contract signed + paid",AA216="Closed – No response",AA216="Lost"),N(AC216)&gt;=Settings!$S$3),"",AB216+Settings!$S$2)</f>
        <v/>
      </c>
      <c r="AE216" s="40"/>
      <c r="AF216" s="41"/>
      <c r="AG216" s="17"/>
      <c r="AH216" s="17"/>
      <c r="AI216" s="17"/>
      <c r="AJ216" s="46" t="str">
        <f aca="true">IF(OR(E216="",B216=""),"",INT(TODAY()-B216))</f>
        <v/>
      </c>
      <c r="AK216" s="44" t="str">
        <f aca="true">IF(E216="","",IF(OR(COUNTIFS(Clients!$C$2:$C$501,E216,Clients!$S$2:$S$501,"Paid")&gt;0,AND(I216&lt;&gt;"",COUNTIFS(Clients!$E$2:$E$501,I216,Clients!$S$2:$S$501,"Paid")&gt;0)),"⚠ Refunded before – no free video",IF(OR(AA216="Contract signed + paid",AA216="Closed – No response",AA216="Lost"),"",IF(AA216="","Set a stage",IF(AND(AA216="Proposal sent",COUNTA(Q216:V216)&lt;6),"Score this lead – proposal sent unscored",IF(N(AC216)&gt;=Settings!$S$3,"Close – 4 follow-ups sent",IF(AD216="",IF(AB216="","Make first contact",""),IF(TODAY()&gt;AD216,"OVERDUE follow-up",IF(TODAY()=AD216,"Follow up today","")))))))))</f>
        <v/>
      </c>
    </row>
    <row r="217" customFormat="false" ht="15" hidden="false" customHeight="false" outlineLevel="0" collapsed="false">
      <c r="A217" s="17"/>
      <c r="B217" s="40"/>
      <c r="C217" s="41"/>
      <c r="D217" s="17"/>
      <c r="E217" s="17"/>
      <c r="F217" s="17"/>
      <c r="G217" s="17"/>
      <c r="H217" s="17"/>
      <c r="I217" s="42"/>
      <c r="J217" s="17"/>
      <c r="K217" s="17"/>
      <c r="L217" s="17"/>
      <c r="M217" s="17"/>
      <c r="N217" s="40"/>
      <c r="O217" s="41"/>
      <c r="P217" s="43" t="str">
        <f aca="false">IF(OR(B217="",N217=""),"",ROUND(((N217+N(O217))-(B217+N(C217)))*24,1))</f>
        <v/>
      </c>
      <c r="Q217" s="17"/>
      <c r="R217" s="17"/>
      <c r="S217" s="17"/>
      <c r="T217" s="17"/>
      <c r="U217" s="17"/>
      <c r="V217" s="17"/>
      <c r="W217" s="44" t="str">
        <f aca="false">IF(OR(E217="",COUNTA(Q217:V217)=0),"",SUMIFS(Settings!$AA$2:$AA$21,Settings!$Y$2:$Y$21,"Budget AED 5k+/mo?",Settings!$Z$2:$Z$21,Q217)+SUMIFS(Settings!$AA$2:$AA$21,Settings!$Y$2:$Y$21,"Decision-maker?",Settings!$Z$2:$Z$21,R217)+SUMIFS(Settings!$AA$2:$AA$21,Settings!$Y$2:$Y$21,"Someone on camera?",Settings!$Z$2:$Z$21,S217)+SUMIFS(Settings!$AA$2:$AA$21,Settings!$Y$2:$Y$21,"OK with 3-month term?",Settings!$Z$2:$Z$21,T217)+SUMIFS(Settings!$AA$2:$AA$21,Settings!$Y$2:$Y$21,"Start timeline",Settings!$Z$2:$Z$21,U217)+SUMIFS(Settings!$AA$2:$AA$21,Settings!$Y$2:$Y$21,"Social media gap",Settings!$Z$2:$Z$21,V217)+IF(F217="",0,IF(COUNTIF(Settings!$AC$2:$AC$6,F217)&gt;0,Settings!$AA$20,Settings!$AA$21)))</f>
        <v/>
      </c>
      <c r="X217" s="44" t="str">
        <f aca="false">IF(E217="","",IF(COUNTA(Q217:V217)=0,"Not scored",IF(COUNTA(Q217:V217)&lt;6,"Partly scored ("&amp;COUNTA(Q217:V217)&amp;"/6)",IF(W217&gt;=Settings!$S$8,"Hot",IF(W217&gt;=Settings!$S$9,"Warm","Cold")))))</f>
        <v/>
      </c>
      <c r="Y217" s="44" t="str">
        <f aca="false">IF(E217="","",IF(AND(Q217="No",S217="No"),"🚩 Budget  ·  🚩 No one on camera",IF(Q217="No","🚩 Budget under AED 5k",IF(S217="No","🚩 No one on camera",""))))</f>
        <v/>
      </c>
      <c r="Z217" s="17"/>
      <c r="AA217" s="17"/>
      <c r="AB217" s="40"/>
      <c r="AC217" s="17"/>
      <c r="AD217" s="45" t="str">
        <f aca="false">IF(OR(E217="",AB217="",OR(AA217="Contract signed + paid",AA217="Closed – No response",AA217="Lost"),N(AC217)&gt;=Settings!$S$3),"",AB217+Settings!$S$2)</f>
        <v/>
      </c>
      <c r="AE217" s="40"/>
      <c r="AF217" s="41"/>
      <c r="AG217" s="17"/>
      <c r="AH217" s="17"/>
      <c r="AI217" s="17"/>
      <c r="AJ217" s="46" t="str">
        <f aca="true">IF(OR(E217="",B217=""),"",INT(TODAY()-B217))</f>
        <v/>
      </c>
      <c r="AK217" s="44" t="str">
        <f aca="true">IF(E217="","",IF(OR(COUNTIFS(Clients!$C$2:$C$501,E217,Clients!$S$2:$S$501,"Paid")&gt;0,AND(I217&lt;&gt;"",COUNTIFS(Clients!$E$2:$E$501,I217,Clients!$S$2:$S$501,"Paid")&gt;0)),"⚠ Refunded before – no free video",IF(OR(AA217="Contract signed + paid",AA217="Closed – No response",AA217="Lost"),"",IF(AA217="","Set a stage",IF(AND(AA217="Proposal sent",COUNTA(Q217:V217)&lt;6),"Score this lead – proposal sent unscored",IF(N(AC217)&gt;=Settings!$S$3,"Close – 4 follow-ups sent",IF(AD217="",IF(AB217="","Make first contact",""),IF(TODAY()&gt;AD217,"OVERDUE follow-up",IF(TODAY()=AD217,"Follow up today","")))))))))</f>
        <v/>
      </c>
    </row>
    <row r="218" customFormat="false" ht="15" hidden="false" customHeight="false" outlineLevel="0" collapsed="false">
      <c r="A218" s="17"/>
      <c r="B218" s="40"/>
      <c r="C218" s="41"/>
      <c r="D218" s="17"/>
      <c r="E218" s="17"/>
      <c r="F218" s="17"/>
      <c r="G218" s="17"/>
      <c r="H218" s="17"/>
      <c r="I218" s="42"/>
      <c r="J218" s="17"/>
      <c r="K218" s="17"/>
      <c r="L218" s="17"/>
      <c r="M218" s="17"/>
      <c r="N218" s="40"/>
      <c r="O218" s="41"/>
      <c r="P218" s="43" t="str">
        <f aca="false">IF(OR(B218="",N218=""),"",ROUND(((N218+N(O218))-(B218+N(C218)))*24,1))</f>
        <v/>
      </c>
      <c r="Q218" s="17"/>
      <c r="R218" s="17"/>
      <c r="S218" s="17"/>
      <c r="T218" s="17"/>
      <c r="U218" s="17"/>
      <c r="V218" s="17"/>
      <c r="W218" s="44" t="str">
        <f aca="false">IF(OR(E218="",COUNTA(Q218:V218)=0),"",SUMIFS(Settings!$AA$2:$AA$21,Settings!$Y$2:$Y$21,"Budget AED 5k+/mo?",Settings!$Z$2:$Z$21,Q218)+SUMIFS(Settings!$AA$2:$AA$21,Settings!$Y$2:$Y$21,"Decision-maker?",Settings!$Z$2:$Z$21,R218)+SUMIFS(Settings!$AA$2:$AA$21,Settings!$Y$2:$Y$21,"Someone on camera?",Settings!$Z$2:$Z$21,S218)+SUMIFS(Settings!$AA$2:$AA$21,Settings!$Y$2:$Y$21,"OK with 3-month term?",Settings!$Z$2:$Z$21,T218)+SUMIFS(Settings!$AA$2:$AA$21,Settings!$Y$2:$Y$21,"Start timeline",Settings!$Z$2:$Z$21,U218)+SUMIFS(Settings!$AA$2:$AA$21,Settings!$Y$2:$Y$21,"Social media gap",Settings!$Z$2:$Z$21,V218)+IF(F218="",0,IF(COUNTIF(Settings!$AC$2:$AC$6,F218)&gt;0,Settings!$AA$20,Settings!$AA$21)))</f>
        <v/>
      </c>
      <c r="X218" s="44" t="str">
        <f aca="false">IF(E218="","",IF(COUNTA(Q218:V218)=0,"Not scored",IF(COUNTA(Q218:V218)&lt;6,"Partly scored ("&amp;COUNTA(Q218:V218)&amp;"/6)",IF(W218&gt;=Settings!$S$8,"Hot",IF(W218&gt;=Settings!$S$9,"Warm","Cold")))))</f>
        <v/>
      </c>
      <c r="Y218" s="44" t="str">
        <f aca="false">IF(E218="","",IF(AND(Q218="No",S218="No"),"🚩 Budget  ·  🚩 No one on camera",IF(Q218="No","🚩 Budget under AED 5k",IF(S218="No","🚩 No one on camera",""))))</f>
        <v/>
      </c>
      <c r="Z218" s="17"/>
      <c r="AA218" s="17"/>
      <c r="AB218" s="40"/>
      <c r="AC218" s="17"/>
      <c r="AD218" s="45" t="str">
        <f aca="false">IF(OR(E218="",AB218="",OR(AA218="Contract signed + paid",AA218="Closed – No response",AA218="Lost"),N(AC218)&gt;=Settings!$S$3),"",AB218+Settings!$S$2)</f>
        <v/>
      </c>
      <c r="AE218" s="40"/>
      <c r="AF218" s="41"/>
      <c r="AG218" s="17"/>
      <c r="AH218" s="17"/>
      <c r="AI218" s="17"/>
      <c r="AJ218" s="46" t="str">
        <f aca="true">IF(OR(E218="",B218=""),"",INT(TODAY()-B218))</f>
        <v/>
      </c>
      <c r="AK218" s="44" t="str">
        <f aca="true">IF(E218="","",IF(OR(COUNTIFS(Clients!$C$2:$C$501,E218,Clients!$S$2:$S$501,"Paid")&gt;0,AND(I218&lt;&gt;"",COUNTIFS(Clients!$E$2:$E$501,I218,Clients!$S$2:$S$501,"Paid")&gt;0)),"⚠ Refunded before – no free video",IF(OR(AA218="Contract signed + paid",AA218="Closed – No response",AA218="Lost"),"",IF(AA218="","Set a stage",IF(AND(AA218="Proposal sent",COUNTA(Q218:V218)&lt;6),"Score this lead – proposal sent unscored",IF(N(AC218)&gt;=Settings!$S$3,"Close – 4 follow-ups sent",IF(AD218="",IF(AB218="","Make first contact",""),IF(TODAY()&gt;AD218,"OVERDUE follow-up",IF(TODAY()=AD218,"Follow up today","")))))))))</f>
        <v/>
      </c>
    </row>
    <row r="219" customFormat="false" ht="15" hidden="false" customHeight="false" outlineLevel="0" collapsed="false">
      <c r="A219" s="17"/>
      <c r="B219" s="40"/>
      <c r="C219" s="41"/>
      <c r="D219" s="17"/>
      <c r="E219" s="17"/>
      <c r="F219" s="17"/>
      <c r="G219" s="17"/>
      <c r="H219" s="17"/>
      <c r="I219" s="42"/>
      <c r="J219" s="17"/>
      <c r="K219" s="17"/>
      <c r="L219" s="17"/>
      <c r="M219" s="17"/>
      <c r="N219" s="40"/>
      <c r="O219" s="41"/>
      <c r="P219" s="43" t="str">
        <f aca="false">IF(OR(B219="",N219=""),"",ROUND(((N219+N(O219))-(B219+N(C219)))*24,1))</f>
        <v/>
      </c>
      <c r="Q219" s="17"/>
      <c r="R219" s="17"/>
      <c r="S219" s="17"/>
      <c r="T219" s="17"/>
      <c r="U219" s="17"/>
      <c r="V219" s="17"/>
      <c r="W219" s="44" t="str">
        <f aca="false">IF(OR(E219="",COUNTA(Q219:V219)=0),"",SUMIFS(Settings!$AA$2:$AA$21,Settings!$Y$2:$Y$21,"Budget AED 5k+/mo?",Settings!$Z$2:$Z$21,Q219)+SUMIFS(Settings!$AA$2:$AA$21,Settings!$Y$2:$Y$21,"Decision-maker?",Settings!$Z$2:$Z$21,R219)+SUMIFS(Settings!$AA$2:$AA$21,Settings!$Y$2:$Y$21,"Someone on camera?",Settings!$Z$2:$Z$21,S219)+SUMIFS(Settings!$AA$2:$AA$21,Settings!$Y$2:$Y$21,"OK with 3-month term?",Settings!$Z$2:$Z$21,T219)+SUMIFS(Settings!$AA$2:$AA$21,Settings!$Y$2:$Y$21,"Start timeline",Settings!$Z$2:$Z$21,U219)+SUMIFS(Settings!$AA$2:$AA$21,Settings!$Y$2:$Y$21,"Social media gap",Settings!$Z$2:$Z$21,V219)+IF(F219="",0,IF(COUNTIF(Settings!$AC$2:$AC$6,F219)&gt;0,Settings!$AA$20,Settings!$AA$21)))</f>
        <v/>
      </c>
      <c r="X219" s="44" t="str">
        <f aca="false">IF(E219="","",IF(COUNTA(Q219:V219)=0,"Not scored",IF(COUNTA(Q219:V219)&lt;6,"Partly scored ("&amp;COUNTA(Q219:V219)&amp;"/6)",IF(W219&gt;=Settings!$S$8,"Hot",IF(W219&gt;=Settings!$S$9,"Warm","Cold")))))</f>
        <v/>
      </c>
      <c r="Y219" s="44" t="str">
        <f aca="false">IF(E219="","",IF(AND(Q219="No",S219="No"),"🚩 Budget  ·  🚩 No one on camera",IF(Q219="No","🚩 Budget under AED 5k",IF(S219="No","🚩 No one on camera",""))))</f>
        <v/>
      </c>
      <c r="Z219" s="17"/>
      <c r="AA219" s="17"/>
      <c r="AB219" s="40"/>
      <c r="AC219" s="17"/>
      <c r="AD219" s="45" t="str">
        <f aca="false">IF(OR(E219="",AB219="",OR(AA219="Contract signed + paid",AA219="Closed – No response",AA219="Lost"),N(AC219)&gt;=Settings!$S$3),"",AB219+Settings!$S$2)</f>
        <v/>
      </c>
      <c r="AE219" s="40"/>
      <c r="AF219" s="41"/>
      <c r="AG219" s="17"/>
      <c r="AH219" s="17"/>
      <c r="AI219" s="17"/>
      <c r="AJ219" s="46" t="str">
        <f aca="true">IF(OR(E219="",B219=""),"",INT(TODAY()-B219))</f>
        <v/>
      </c>
      <c r="AK219" s="44" t="str">
        <f aca="true">IF(E219="","",IF(OR(COUNTIFS(Clients!$C$2:$C$501,E219,Clients!$S$2:$S$501,"Paid")&gt;0,AND(I219&lt;&gt;"",COUNTIFS(Clients!$E$2:$E$501,I219,Clients!$S$2:$S$501,"Paid")&gt;0)),"⚠ Refunded before – no free video",IF(OR(AA219="Contract signed + paid",AA219="Closed – No response",AA219="Lost"),"",IF(AA219="","Set a stage",IF(AND(AA219="Proposal sent",COUNTA(Q219:V219)&lt;6),"Score this lead – proposal sent unscored",IF(N(AC219)&gt;=Settings!$S$3,"Close – 4 follow-ups sent",IF(AD219="",IF(AB219="","Make first contact",""),IF(TODAY()&gt;AD219,"OVERDUE follow-up",IF(TODAY()=AD219,"Follow up today","")))))))))</f>
        <v/>
      </c>
    </row>
    <row r="220" customFormat="false" ht="15" hidden="false" customHeight="false" outlineLevel="0" collapsed="false">
      <c r="A220" s="17"/>
      <c r="B220" s="40"/>
      <c r="C220" s="41"/>
      <c r="D220" s="17"/>
      <c r="E220" s="17"/>
      <c r="F220" s="17"/>
      <c r="G220" s="17"/>
      <c r="H220" s="17"/>
      <c r="I220" s="42"/>
      <c r="J220" s="17"/>
      <c r="K220" s="17"/>
      <c r="L220" s="17"/>
      <c r="M220" s="17"/>
      <c r="N220" s="40"/>
      <c r="O220" s="41"/>
      <c r="P220" s="43" t="str">
        <f aca="false">IF(OR(B220="",N220=""),"",ROUND(((N220+N(O220))-(B220+N(C220)))*24,1))</f>
        <v/>
      </c>
      <c r="Q220" s="17"/>
      <c r="R220" s="17"/>
      <c r="S220" s="17"/>
      <c r="T220" s="17"/>
      <c r="U220" s="17"/>
      <c r="V220" s="17"/>
      <c r="W220" s="44" t="str">
        <f aca="false">IF(OR(E220="",COUNTA(Q220:V220)=0),"",SUMIFS(Settings!$AA$2:$AA$21,Settings!$Y$2:$Y$21,"Budget AED 5k+/mo?",Settings!$Z$2:$Z$21,Q220)+SUMIFS(Settings!$AA$2:$AA$21,Settings!$Y$2:$Y$21,"Decision-maker?",Settings!$Z$2:$Z$21,R220)+SUMIFS(Settings!$AA$2:$AA$21,Settings!$Y$2:$Y$21,"Someone on camera?",Settings!$Z$2:$Z$21,S220)+SUMIFS(Settings!$AA$2:$AA$21,Settings!$Y$2:$Y$21,"OK with 3-month term?",Settings!$Z$2:$Z$21,T220)+SUMIFS(Settings!$AA$2:$AA$21,Settings!$Y$2:$Y$21,"Start timeline",Settings!$Z$2:$Z$21,U220)+SUMIFS(Settings!$AA$2:$AA$21,Settings!$Y$2:$Y$21,"Social media gap",Settings!$Z$2:$Z$21,V220)+IF(F220="",0,IF(COUNTIF(Settings!$AC$2:$AC$6,F220)&gt;0,Settings!$AA$20,Settings!$AA$21)))</f>
        <v/>
      </c>
      <c r="X220" s="44" t="str">
        <f aca="false">IF(E220="","",IF(COUNTA(Q220:V220)=0,"Not scored",IF(COUNTA(Q220:V220)&lt;6,"Partly scored ("&amp;COUNTA(Q220:V220)&amp;"/6)",IF(W220&gt;=Settings!$S$8,"Hot",IF(W220&gt;=Settings!$S$9,"Warm","Cold")))))</f>
        <v/>
      </c>
      <c r="Y220" s="44" t="str">
        <f aca="false">IF(E220="","",IF(AND(Q220="No",S220="No"),"🚩 Budget  ·  🚩 No one on camera",IF(Q220="No","🚩 Budget under AED 5k",IF(S220="No","🚩 No one on camera",""))))</f>
        <v/>
      </c>
      <c r="Z220" s="17"/>
      <c r="AA220" s="17"/>
      <c r="AB220" s="40"/>
      <c r="AC220" s="17"/>
      <c r="AD220" s="45" t="str">
        <f aca="false">IF(OR(E220="",AB220="",OR(AA220="Contract signed + paid",AA220="Closed – No response",AA220="Lost"),N(AC220)&gt;=Settings!$S$3),"",AB220+Settings!$S$2)</f>
        <v/>
      </c>
      <c r="AE220" s="40"/>
      <c r="AF220" s="41"/>
      <c r="AG220" s="17"/>
      <c r="AH220" s="17"/>
      <c r="AI220" s="17"/>
      <c r="AJ220" s="46" t="str">
        <f aca="true">IF(OR(E220="",B220=""),"",INT(TODAY()-B220))</f>
        <v/>
      </c>
      <c r="AK220" s="44" t="str">
        <f aca="true">IF(E220="","",IF(OR(COUNTIFS(Clients!$C$2:$C$501,E220,Clients!$S$2:$S$501,"Paid")&gt;0,AND(I220&lt;&gt;"",COUNTIFS(Clients!$E$2:$E$501,I220,Clients!$S$2:$S$501,"Paid")&gt;0)),"⚠ Refunded before – no free video",IF(OR(AA220="Contract signed + paid",AA220="Closed – No response",AA220="Lost"),"",IF(AA220="","Set a stage",IF(AND(AA220="Proposal sent",COUNTA(Q220:V220)&lt;6),"Score this lead – proposal sent unscored",IF(N(AC220)&gt;=Settings!$S$3,"Close – 4 follow-ups sent",IF(AD220="",IF(AB220="","Make first contact",""),IF(TODAY()&gt;AD220,"OVERDUE follow-up",IF(TODAY()=AD220,"Follow up today","")))))))))</f>
        <v/>
      </c>
    </row>
    <row r="221" customFormat="false" ht="15" hidden="false" customHeight="false" outlineLevel="0" collapsed="false">
      <c r="A221" s="17"/>
      <c r="B221" s="40"/>
      <c r="C221" s="41"/>
      <c r="D221" s="17"/>
      <c r="E221" s="17"/>
      <c r="F221" s="17"/>
      <c r="G221" s="17"/>
      <c r="H221" s="17"/>
      <c r="I221" s="42"/>
      <c r="J221" s="17"/>
      <c r="K221" s="17"/>
      <c r="L221" s="17"/>
      <c r="M221" s="17"/>
      <c r="N221" s="40"/>
      <c r="O221" s="41"/>
      <c r="P221" s="43" t="str">
        <f aca="false">IF(OR(B221="",N221=""),"",ROUND(((N221+N(O221))-(B221+N(C221)))*24,1))</f>
        <v/>
      </c>
      <c r="Q221" s="17"/>
      <c r="R221" s="17"/>
      <c r="S221" s="17"/>
      <c r="T221" s="17"/>
      <c r="U221" s="17"/>
      <c r="V221" s="17"/>
      <c r="W221" s="44" t="str">
        <f aca="false">IF(OR(E221="",COUNTA(Q221:V221)=0),"",SUMIFS(Settings!$AA$2:$AA$21,Settings!$Y$2:$Y$21,"Budget AED 5k+/mo?",Settings!$Z$2:$Z$21,Q221)+SUMIFS(Settings!$AA$2:$AA$21,Settings!$Y$2:$Y$21,"Decision-maker?",Settings!$Z$2:$Z$21,R221)+SUMIFS(Settings!$AA$2:$AA$21,Settings!$Y$2:$Y$21,"Someone on camera?",Settings!$Z$2:$Z$21,S221)+SUMIFS(Settings!$AA$2:$AA$21,Settings!$Y$2:$Y$21,"OK with 3-month term?",Settings!$Z$2:$Z$21,T221)+SUMIFS(Settings!$AA$2:$AA$21,Settings!$Y$2:$Y$21,"Start timeline",Settings!$Z$2:$Z$21,U221)+SUMIFS(Settings!$AA$2:$AA$21,Settings!$Y$2:$Y$21,"Social media gap",Settings!$Z$2:$Z$21,V221)+IF(F221="",0,IF(COUNTIF(Settings!$AC$2:$AC$6,F221)&gt;0,Settings!$AA$20,Settings!$AA$21)))</f>
        <v/>
      </c>
      <c r="X221" s="44" t="str">
        <f aca="false">IF(E221="","",IF(COUNTA(Q221:V221)=0,"Not scored",IF(COUNTA(Q221:V221)&lt;6,"Partly scored ("&amp;COUNTA(Q221:V221)&amp;"/6)",IF(W221&gt;=Settings!$S$8,"Hot",IF(W221&gt;=Settings!$S$9,"Warm","Cold")))))</f>
        <v/>
      </c>
      <c r="Y221" s="44" t="str">
        <f aca="false">IF(E221="","",IF(AND(Q221="No",S221="No"),"🚩 Budget  ·  🚩 No one on camera",IF(Q221="No","🚩 Budget under AED 5k",IF(S221="No","🚩 No one on camera",""))))</f>
        <v/>
      </c>
      <c r="Z221" s="17"/>
      <c r="AA221" s="17"/>
      <c r="AB221" s="40"/>
      <c r="AC221" s="17"/>
      <c r="AD221" s="45" t="str">
        <f aca="false">IF(OR(E221="",AB221="",OR(AA221="Contract signed + paid",AA221="Closed – No response",AA221="Lost"),N(AC221)&gt;=Settings!$S$3),"",AB221+Settings!$S$2)</f>
        <v/>
      </c>
      <c r="AE221" s="40"/>
      <c r="AF221" s="41"/>
      <c r="AG221" s="17"/>
      <c r="AH221" s="17"/>
      <c r="AI221" s="17"/>
      <c r="AJ221" s="46" t="str">
        <f aca="true">IF(OR(E221="",B221=""),"",INT(TODAY()-B221))</f>
        <v/>
      </c>
      <c r="AK221" s="44" t="str">
        <f aca="true">IF(E221="","",IF(OR(COUNTIFS(Clients!$C$2:$C$501,E221,Clients!$S$2:$S$501,"Paid")&gt;0,AND(I221&lt;&gt;"",COUNTIFS(Clients!$E$2:$E$501,I221,Clients!$S$2:$S$501,"Paid")&gt;0)),"⚠ Refunded before – no free video",IF(OR(AA221="Contract signed + paid",AA221="Closed – No response",AA221="Lost"),"",IF(AA221="","Set a stage",IF(AND(AA221="Proposal sent",COUNTA(Q221:V221)&lt;6),"Score this lead – proposal sent unscored",IF(N(AC221)&gt;=Settings!$S$3,"Close – 4 follow-ups sent",IF(AD221="",IF(AB221="","Make first contact",""),IF(TODAY()&gt;AD221,"OVERDUE follow-up",IF(TODAY()=AD221,"Follow up today","")))))))))</f>
        <v/>
      </c>
    </row>
    <row r="222" customFormat="false" ht="15" hidden="false" customHeight="false" outlineLevel="0" collapsed="false">
      <c r="A222" s="17"/>
      <c r="B222" s="40"/>
      <c r="C222" s="41"/>
      <c r="D222" s="17"/>
      <c r="E222" s="17"/>
      <c r="F222" s="17"/>
      <c r="G222" s="17"/>
      <c r="H222" s="17"/>
      <c r="I222" s="42"/>
      <c r="J222" s="17"/>
      <c r="K222" s="17"/>
      <c r="L222" s="17"/>
      <c r="M222" s="17"/>
      <c r="N222" s="40"/>
      <c r="O222" s="41"/>
      <c r="P222" s="43" t="str">
        <f aca="false">IF(OR(B222="",N222=""),"",ROUND(((N222+N(O222))-(B222+N(C222)))*24,1))</f>
        <v/>
      </c>
      <c r="Q222" s="17"/>
      <c r="R222" s="17"/>
      <c r="S222" s="17"/>
      <c r="T222" s="17"/>
      <c r="U222" s="17"/>
      <c r="V222" s="17"/>
      <c r="W222" s="44" t="str">
        <f aca="false">IF(OR(E222="",COUNTA(Q222:V222)=0),"",SUMIFS(Settings!$AA$2:$AA$21,Settings!$Y$2:$Y$21,"Budget AED 5k+/mo?",Settings!$Z$2:$Z$21,Q222)+SUMIFS(Settings!$AA$2:$AA$21,Settings!$Y$2:$Y$21,"Decision-maker?",Settings!$Z$2:$Z$21,R222)+SUMIFS(Settings!$AA$2:$AA$21,Settings!$Y$2:$Y$21,"Someone on camera?",Settings!$Z$2:$Z$21,S222)+SUMIFS(Settings!$AA$2:$AA$21,Settings!$Y$2:$Y$21,"OK with 3-month term?",Settings!$Z$2:$Z$21,T222)+SUMIFS(Settings!$AA$2:$AA$21,Settings!$Y$2:$Y$21,"Start timeline",Settings!$Z$2:$Z$21,U222)+SUMIFS(Settings!$AA$2:$AA$21,Settings!$Y$2:$Y$21,"Social media gap",Settings!$Z$2:$Z$21,V222)+IF(F222="",0,IF(COUNTIF(Settings!$AC$2:$AC$6,F222)&gt;0,Settings!$AA$20,Settings!$AA$21)))</f>
        <v/>
      </c>
      <c r="X222" s="44" t="str">
        <f aca="false">IF(E222="","",IF(COUNTA(Q222:V222)=0,"Not scored",IF(COUNTA(Q222:V222)&lt;6,"Partly scored ("&amp;COUNTA(Q222:V222)&amp;"/6)",IF(W222&gt;=Settings!$S$8,"Hot",IF(W222&gt;=Settings!$S$9,"Warm","Cold")))))</f>
        <v/>
      </c>
      <c r="Y222" s="44" t="str">
        <f aca="false">IF(E222="","",IF(AND(Q222="No",S222="No"),"🚩 Budget  ·  🚩 No one on camera",IF(Q222="No","🚩 Budget under AED 5k",IF(S222="No","🚩 No one on camera",""))))</f>
        <v/>
      </c>
      <c r="Z222" s="17"/>
      <c r="AA222" s="17"/>
      <c r="AB222" s="40"/>
      <c r="AC222" s="17"/>
      <c r="AD222" s="45" t="str">
        <f aca="false">IF(OR(E222="",AB222="",OR(AA222="Contract signed + paid",AA222="Closed – No response",AA222="Lost"),N(AC222)&gt;=Settings!$S$3),"",AB222+Settings!$S$2)</f>
        <v/>
      </c>
      <c r="AE222" s="40"/>
      <c r="AF222" s="41"/>
      <c r="AG222" s="17"/>
      <c r="AH222" s="17"/>
      <c r="AI222" s="17"/>
      <c r="AJ222" s="46" t="str">
        <f aca="true">IF(OR(E222="",B222=""),"",INT(TODAY()-B222))</f>
        <v/>
      </c>
      <c r="AK222" s="44" t="str">
        <f aca="true">IF(E222="","",IF(OR(COUNTIFS(Clients!$C$2:$C$501,E222,Clients!$S$2:$S$501,"Paid")&gt;0,AND(I222&lt;&gt;"",COUNTIFS(Clients!$E$2:$E$501,I222,Clients!$S$2:$S$501,"Paid")&gt;0)),"⚠ Refunded before – no free video",IF(OR(AA222="Contract signed + paid",AA222="Closed – No response",AA222="Lost"),"",IF(AA222="","Set a stage",IF(AND(AA222="Proposal sent",COUNTA(Q222:V222)&lt;6),"Score this lead – proposal sent unscored",IF(N(AC222)&gt;=Settings!$S$3,"Close – 4 follow-ups sent",IF(AD222="",IF(AB222="","Make first contact",""),IF(TODAY()&gt;AD222,"OVERDUE follow-up",IF(TODAY()=AD222,"Follow up today","")))))))))</f>
        <v/>
      </c>
    </row>
    <row r="223" customFormat="false" ht="15" hidden="false" customHeight="false" outlineLevel="0" collapsed="false">
      <c r="A223" s="17"/>
      <c r="B223" s="40"/>
      <c r="C223" s="41"/>
      <c r="D223" s="17"/>
      <c r="E223" s="17"/>
      <c r="F223" s="17"/>
      <c r="G223" s="17"/>
      <c r="H223" s="17"/>
      <c r="I223" s="42"/>
      <c r="J223" s="17"/>
      <c r="K223" s="17"/>
      <c r="L223" s="17"/>
      <c r="M223" s="17"/>
      <c r="N223" s="40"/>
      <c r="O223" s="41"/>
      <c r="P223" s="43" t="str">
        <f aca="false">IF(OR(B223="",N223=""),"",ROUND(((N223+N(O223))-(B223+N(C223)))*24,1))</f>
        <v/>
      </c>
      <c r="Q223" s="17"/>
      <c r="R223" s="17"/>
      <c r="S223" s="17"/>
      <c r="T223" s="17"/>
      <c r="U223" s="17"/>
      <c r="V223" s="17"/>
      <c r="W223" s="44" t="str">
        <f aca="false">IF(OR(E223="",COUNTA(Q223:V223)=0),"",SUMIFS(Settings!$AA$2:$AA$21,Settings!$Y$2:$Y$21,"Budget AED 5k+/mo?",Settings!$Z$2:$Z$21,Q223)+SUMIFS(Settings!$AA$2:$AA$21,Settings!$Y$2:$Y$21,"Decision-maker?",Settings!$Z$2:$Z$21,R223)+SUMIFS(Settings!$AA$2:$AA$21,Settings!$Y$2:$Y$21,"Someone on camera?",Settings!$Z$2:$Z$21,S223)+SUMIFS(Settings!$AA$2:$AA$21,Settings!$Y$2:$Y$21,"OK with 3-month term?",Settings!$Z$2:$Z$21,T223)+SUMIFS(Settings!$AA$2:$AA$21,Settings!$Y$2:$Y$21,"Start timeline",Settings!$Z$2:$Z$21,U223)+SUMIFS(Settings!$AA$2:$AA$21,Settings!$Y$2:$Y$21,"Social media gap",Settings!$Z$2:$Z$21,V223)+IF(F223="",0,IF(COUNTIF(Settings!$AC$2:$AC$6,F223)&gt;0,Settings!$AA$20,Settings!$AA$21)))</f>
        <v/>
      </c>
      <c r="X223" s="44" t="str">
        <f aca="false">IF(E223="","",IF(COUNTA(Q223:V223)=0,"Not scored",IF(COUNTA(Q223:V223)&lt;6,"Partly scored ("&amp;COUNTA(Q223:V223)&amp;"/6)",IF(W223&gt;=Settings!$S$8,"Hot",IF(W223&gt;=Settings!$S$9,"Warm","Cold")))))</f>
        <v/>
      </c>
      <c r="Y223" s="44" t="str">
        <f aca="false">IF(E223="","",IF(AND(Q223="No",S223="No"),"🚩 Budget  ·  🚩 No one on camera",IF(Q223="No","🚩 Budget under AED 5k",IF(S223="No","🚩 No one on camera",""))))</f>
        <v/>
      </c>
      <c r="Z223" s="17"/>
      <c r="AA223" s="17"/>
      <c r="AB223" s="40"/>
      <c r="AC223" s="17"/>
      <c r="AD223" s="45" t="str">
        <f aca="false">IF(OR(E223="",AB223="",OR(AA223="Contract signed + paid",AA223="Closed – No response",AA223="Lost"),N(AC223)&gt;=Settings!$S$3),"",AB223+Settings!$S$2)</f>
        <v/>
      </c>
      <c r="AE223" s="40"/>
      <c r="AF223" s="41"/>
      <c r="AG223" s="17"/>
      <c r="AH223" s="17"/>
      <c r="AI223" s="17"/>
      <c r="AJ223" s="46" t="str">
        <f aca="true">IF(OR(E223="",B223=""),"",INT(TODAY()-B223))</f>
        <v/>
      </c>
      <c r="AK223" s="44" t="str">
        <f aca="true">IF(E223="","",IF(OR(COUNTIFS(Clients!$C$2:$C$501,E223,Clients!$S$2:$S$501,"Paid")&gt;0,AND(I223&lt;&gt;"",COUNTIFS(Clients!$E$2:$E$501,I223,Clients!$S$2:$S$501,"Paid")&gt;0)),"⚠ Refunded before – no free video",IF(OR(AA223="Contract signed + paid",AA223="Closed – No response",AA223="Lost"),"",IF(AA223="","Set a stage",IF(AND(AA223="Proposal sent",COUNTA(Q223:V223)&lt;6),"Score this lead – proposal sent unscored",IF(N(AC223)&gt;=Settings!$S$3,"Close – 4 follow-ups sent",IF(AD223="",IF(AB223="","Make first contact",""),IF(TODAY()&gt;AD223,"OVERDUE follow-up",IF(TODAY()=AD223,"Follow up today","")))))))))</f>
        <v/>
      </c>
    </row>
    <row r="224" customFormat="false" ht="15" hidden="false" customHeight="false" outlineLevel="0" collapsed="false">
      <c r="A224" s="17"/>
      <c r="B224" s="40"/>
      <c r="C224" s="41"/>
      <c r="D224" s="17"/>
      <c r="E224" s="17"/>
      <c r="F224" s="17"/>
      <c r="G224" s="17"/>
      <c r="H224" s="17"/>
      <c r="I224" s="42"/>
      <c r="J224" s="17"/>
      <c r="K224" s="17"/>
      <c r="L224" s="17"/>
      <c r="M224" s="17"/>
      <c r="N224" s="40"/>
      <c r="O224" s="41"/>
      <c r="P224" s="43" t="str">
        <f aca="false">IF(OR(B224="",N224=""),"",ROUND(((N224+N(O224))-(B224+N(C224)))*24,1))</f>
        <v/>
      </c>
      <c r="Q224" s="17"/>
      <c r="R224" s="17"/>
      <c r="S224" s="17"/>
      <c r="T224" s="17"/>
      <c r="U224" s="17"/>
      <c r="V224" s="17"/>
      <c r="W224" s="44" t="str">
        <f aca="false">IF(OR(E224="",COUNTA(Q224:V224)=0),"",SUMIFS(Settings!$AA$2:$AA$21,Settings!$Y$2:$Y$21,"Budget AED 5k+/mo?",Settings!$Z$2:$Z$21,Q224)+SUMIFS(Settings!$AA$2:$AA$21,Settings!$Y$2:$Y$21,"Decision-maker?",Settings!$Z$2:$Z$21,R224)+SUMIFS(Settings!$AA$2:$AA$21,Settings!$Y$2:$Y$21,"Someone on camera?",Settings!$Z$2:$Z$21,S224)+SUMIFS(Settings!$AA$2:$AA$21,Settings!$Y$2:$Y$21,"OK with 3-month term?",Settings!$Z$2:$Z$21,T224)+SUMIFS(Settings!$AA$2:$AA$21,Settings!$Y$2:$Y$21,"Start timeline",Settings!$Z$2:$Z$21,U224)+SUMIFS(Settings!$AA$2:$AA$21,Settings!$Y$2:$Y$21,"Social media gap",Settings!$Z$2:$Z$21,V224)+IF(F224="",0,IF(COUNTIF(Settings!$AC$2:$AC$6,F224)&gt;0,Settings!$AA$20,Settings!$AA$21)))</f>
        <v/>
      </c>
      <c r="X224" s="44" t="str">
        <f aca="false">IF(E224="","",IF(COUNTA(Q224:V224)=0,"Not scored",IF(COUNTA(Q224:V224)&lt;6,"Partly scored ("&amp;COUNTA(Q224:V224)&amp;"/6)",IF(W224&gt;=Settings!$S$8,"Hot",IF(W224&gt;=Settings!$S$9,"Warm","Cold")))))</f>
        <v/>
      </c>
      <c r="Y224" s="44" t="str">
        <f aca="false">IF(E224="","",IF(AND(Q224="No",S224="No"),"🚩 Budget  ·  🚩 No one on camera",IF(Q224="No","🚩 Budget under AED 5k",IF(S224="No","🚩 No one on camera",""))))</f>
        <v/>
      </c>
      <c r="Z224" s="17"/>
      <c r="AA224" s="17"/>
      <c r="AB224" s="40"/>
      <c r="AC224" s="17"/>
      <c r="AD224" s="45" t="str">
        <f aca="false">IF(OR(E224="",AB224="",OR(AA224="Contract signed + paid",AA224="Closed – No response",AA224="Lost"),N(AC224)&gt;=Settings!$S$3),"",AB224+Settings!$S$2)</f>
        <v/>
      </c>
      <c r="AE224" s="40"/>
      <c r="AF224" s="41"/>
      <c r="AG224" s="17"/>
      <c r="AH224" s="17"/>
      <c r="AI224" s="17"/>
      <c r="AJ224" s="46" t="str">
        <f aca="true">IF(OR(E224="",B224=""),"",INT(TODAY()-B224))</f>
        <v/>
      </c>
      <c r="AK224" s="44" t="str">
        <f aca="true">IF(E224="","",IF(OR(COUNTIFS(Clients!$C$2:$C$501,E224,Clients!$S$2:$S$501,"Paid")&gt;0,AND(I224&lt;&gt;"",COUNTIFS(Clients!$E$2:$E$501,I224,Clients!$S$2:$S$501,"Paid")&gt;0)),"⚠ Refunded before – no free video",IF(OR(AA224="Contract signed + paid",AA224="Closed – No response",AA224="Lost"),"",IF(AA224="","Set a stage",IF(AND(AA224="Proposal sent",COUNTA(Q224:V224)&lt;6),"Score this lead – proposal sent unscored",IF(N(AC224)&gt;=Settings!$S$3,"Close – 4 follow-ups sent",IF(AD224="",IF(AB224="","Make first contact",""),IF(TODAY()&gt;AD224,"OVERDUE follow-up",IF(TODAY()=AD224,"Follow up today","")))))))))</f>
        <v/>
      </c>
    </row>
    <row r="225" customFormat="false" ht="15" hidden="false" customHeight="false" outlineLevel="0" collapsed="false">
      <c r="A225" s="17"/>
      <c r="B225" s="40"/>
      <c r="C225" s="41"/>
      <c r="D225" s="17"/>
      <c r="E225" s="17"/>
      <c r="F225" s="17"/>
      <c r="G225" s="17"/>
      <c r="H225" s="17"/>
      <c r="I225" s="42"/>
      <c r="J225" s="17"/>
      <c r="K225" s="17"/>
      <c r="L225" s="17"/>
      <c r="M225" s="17"/>
      <c r="N225" s="40"/>
      <c r="O225" s="41"/>
      <c r="P225" s="43" t="str">
        <f aca="false">IF(OR(B225="",N225=""),"",ROUND(((N225+N(O225))-(B225+N(C225)))*24,1))</f>
        <v/>
      </c>
      <c r="Q225" s="17"/>
      <c r="R225" s="17"/>
      <c r="S225" s="17"/>
      <c r="T225" s="17"/>
      <c r="U225" s="17"/>
      <c r="V225" s="17"/>
      <c r="W225" s="44" t="str">
        <f aca="false">IF(OR(E225="",COUNTA(Q225:V225)=0),"",SUMIFS(Settings!$AA$2:$AA$21,Settings!$Y$2:$Y$21,"Budget AED 5k+/mo?",Settings!$Z$2:$Z$21,Q225)+SUMIFS(Settings!$AA$2:$AA$21,Settings!$Y$2:$Y$21,"Decision-maker?",Settings!$Z$2:$Z$21,R225)+SUMIFS(Settings!$AA$2:$AA$21,Settings!$Y$2:$Y$21,"Someone on camera?",Settings!$Z$2:$Z$21,S225)+SUMIFS(Settings!$AA$2:$AA$21,Settings!$Y$2:$Y$21,"OK with 3-month term?",Settings!$Z$2:$Z$21,T225)+SUMIFS(Settings!$AA$2:$AA$21,Settings!$Y$2:$Y$21,"Start timeline",Settings!$Z$2:$Z$21,U225)+SUMIFS(Settings!$AA$2:$AA$21,Settings!$Y$2:$Y$21,"Social media gap",Settings!$Z$2:$Z$21,V225)+IF(F225="",0,IF(COUNTIF(Settings!$AC$2:$AC$6,F225)&gt;0,Settings!$AA$20,Settings!$AA$21)))</f>
        <v/>
      </c>
      <c r="X225" s="44" t="str">
        <f aca="false">IF(E225="","",IF(COUNTA(Q225:V225)=0,"Not scored",IF(COUNTA(Q225:V225)&lt;6,"Partly scored ("&amp;COUNTA(Q225:V225)&amp;"/6)",IF(W225&gt;=Settings!$S$8,"Hot",IF(W225&gt;=Settings!$S$9,"Warm","Cold")))))</f>
        <v/>
      </c>
      <c r="Y225" s="44" t="str">
        <f aca="false">IF(E225="","",IF(AND(Q225="No",S225="No"),"🚩 Budget  ·  🚩 No one on camera",IF(Q225="No","🚩 Budget under AED 5k",IF(S225="No","🚩 No one on camera",""))))</f>
        <v/>
      </c>
      <c r="Z225" s="17"/>
      <c r="AA225" s="17"/>
      <c r="AB225" s="40"/>
      <c r="AC225" s="17"/>
      <c r="AD225" s="45" t="str">
        <f aca="false">IF(OR(E225="",AB225="",OR(AA225="Contract signed + paid",AA225="Closed – No response",AA225="Lost"),N(AC225)&gt;=Settings!$S$3),"",AB225+Settings!$S$2)</f>
        <v/>
      </c>
      <c r="AE225" s="40"/>
      <c r="AF225" s="41"/>
      <c r="AG225" s="17"/>
      <c r="AH225" s="17"/>
      <c r="AI225" s="17"/>
      <c r="AJ225" s="46" t="str">
        <f aca="true">IF(OR(E225="",B225=""),"",INT(TODAY()-B225))</f>
        <v/>
      </c>
      <c r="AK225" s="44" t="str">
        <f aca="true">IF(E225="","",IF(OR(COUNTIFS(Clients!$C$2:$C$501,E225,Clients!$S$2:$S$501,"Paid")&gt;0,AND(I225&lt;&gt;"",COUNTIFS(Clients!$E$2:$E$501,I225,Clients!$S$2:$S$501,"Paid")&gt;0)),"⚠ Refunded before – no free video",IF(OR(AA225="Contract signed + paid",AA225="Closed – No response",AA225="Lost"),"",IF(AA225="","Set a stage",IF(AND(AA225="Proposal sent",COUNTA(Q225:V225)&lt;6),"Score this lead – proposal sent unscored",IF(N(AC225)&gt;=Settings!$S$3,"Close – 4 follow-ups sent",IF(AD225="",IF(AB225="","Make first contact",""),IF(TODAY()&gt;AD225,"OVERDUE follow-up",IF(TODAY()=AD225,"Follow up today","")))))))))</f>
        <v/>
      </c>
    </row>
    <row r="226" customFormat="false" ht="15" hidden="false" customHeight="false" outlineLevel="0" collapsed="false">
      <c r="A226" s="17"/>
      <c r="B226" s="40"/>
      <c r="C226" s="41"/>
      <c r="D226" s="17"/>
      <c r="E226" s="17"/>
      <c r="F226" s="17"/>
      <c r="G226" s="17"/>
      <c r="H226" s="17"/>
      <c r="I226" s="42"/>
      <c r="J226" s="17"/>
      <c r="K226" s="17"/>
      <c r="L226" s="17"/>
      <c r="M226" s="17"/>
      <c r="N226" s="40"/>
      <c r="O226" s="41"/>
      <c r="P226" s="43" t="str">
        <f aca="false">IF(OR(B226="",N226=""),"",ROUND(((N226+N(O226))-(B226+N(C226)))*24,1))</f>
        <v/>
      </c>
      <c r="Q226" s="17"/>
      <c r="R226" s="17"/>
      <c r="S226" s="17"/>
      <c r="T226" s="17"/>
      <c r="U226" s="17"/>
      <c r="V226" s="17"/>
      <c r="W226" s="44" t="str">
        <f aca="false">IF(OR(E226="",COUNTA(Q226:V226)=0),"",SUMIFS(Settings!$AA$2:$AA$21,Settings!$Y$2:$Y$21,"Budget AED 5k+/mo?",Settings!$Z$2:$Z$21,Q226)+SUMIFS(Settings!$AA$2:$AA$21,Settings!$Y$2:$Y$21,"Decision-maker?",Settings!$Z$2:$Z$21,R226)+SUMIFS(Settings!$AA$2:$AA$21,Settings!$Y$2:$Y$21,"Someone on camera?",Settings!$Z$2:$Z$21,S226)+SUMIFS(Settings!$AA$2:$AA$21,Settings!$Y$2:$Y$21,"OK with 3-month term?",Settings!$Z$2:$Z$21,T226)+SUMIFS(Settings!$AA$2:$AA$21,Settings!$Y$2:$Y$21,"Start timeline",Settings!$Z$2:$Z$21,U226)+SUMIFS(Settings!$AA$2:$AA$21,Settings!$Y$2:$Y$21,"Social media gap",Settings!$Z$2:$Z$21,V226)+IF(F226="",0,IF(COUNTIF(Settings!$AC$2:$AC$6,F226)&gt;0,Settings!$AA$20,Settings!$AA$21)))</f>
        <v/>
      </c>
      <c r="X226" s="44" t="str">
        <f aca="false">IF(E226="","",IF(COUNTA(Q226:V226)=0,"Not scored",IF(COUNTA(Q226:V226)&lt;6,"Partly scored ("&amp;COUNTA(Q226:V226)&amp;"/6)",IF(W226&gt;=Settings!$S$8,"Hot",IF(W226&gt;=Settings!$S$9,"Warm","Cold")))))</f>
        <v/>
      </c>
      <c r="Y226" s="44" t="str">
        <f aca="false">IF(E226="","",IF(AND(Q226="No",S226="No"),"🚩 Budget  ·  🚩 No one on camera",IF(Q226="No","🚩 Budget under AED 5k",IF(S226="No","🚩 No one on camera",""))))</f>
        <v/>
      </c>
      <c r="Z226" s="17"/>
      <c r="AA226" s="17"/>
      <c r="AB226" s="40"/>
      <c r="AC226" s="17"/>
      <c r="AD226" s="45" t="str">
        <f aca="false">IF(OR(E226="",AB226="",OR(AA226="Contract signed + paid",AA226="Closed – No response",AA226="Lost"),N(AC226)&gt;=Settings!$S$3),"",AB226+Settings!$S$2)</f>
        <v/>
      </c>
      <c r="AE226" s="40"/>
      <c r="AF226" s="41"/>
      <c r="AG226" s="17"/>
      <c r="AH226" s="17"/>
      <c r="AI226" s="17"/>
      <c r="AJ226" s="46" t="str">
        <f aca="true">IF(OR(E226="",B226=""),"",INT(TODAY()-B226))</f>
        <v/>
      </c>
      <c r="AK226" s="44" t="str">
        <f aca="true">IF(E226="","",IF(OR(COUNTIFS(Clients!$C$2:$C$501,E226,Clients!$S$2:$S$501,"Paid")&gt;0,AND(I226&lt;&gt;"",COUNTIFS(Clients!$E$2:$E$501,I226,Clients!$S$2:$S$501,"Paid")&gt;0)),"⚠ Refunded before – no free video",IF(OR(AA226="Contract signed + paid",AA226="Closed – No response",AA226="Lost"),"",IF(AA226="","Set a stage",IF(AND(AA226="Proposal sent",COUNTA(Q226:V226)&lt;6),"Score this lead – proposal sent unscored",IF(N(AC226)&gt;=Settings!$S$3,"Close – 4 follow-ups sent",IF(AD226="",IF(AB226="","Make first contact",""),IF(TODAY()&gt;AD226,"OVERDUE follow-up",IF(TODAY()=AD226,"Follow up today","")))))))))</f>
        <v/>
      </c>
    </row>
    <row r="227" customFormat="false" ht="15" hidden="false" customHeight="false" outlineLevel="0" collapsed="false">
      <c r="A227" s="17"/>
      <c r="B227" s="40"/>
      <c r="C227" s="41"/>
      <c r="D227" s="17"/>
      <c r="E227" s="17"/>
      <c r="F227" s="17"/>
      <c r="G227" s="17"/>
      <c r="H227" s="17"/>
      <c r="I227" s="42"/>
      <c r="J227" s="17"/>
      <c r="K227" s="17"/>
      <c r="L227" s="17"/>
      <c r="M227" s="17"/>
      <c r="N227" s="40"/>
      <c r="O227" s="41"/>
      <c r="P227" s="43" t="str">
        <f aca="false">IF(OR(B227="",N227=""),"",ROUND(((N227+N(O227))-(B227+N(C227)))*24,1))</f>
        <v/>
      </c>
      <c r="Q227" s="17"/>
      <c r="R227" s="17"/>
      <c r="S227" s="17"/>
      <c r="T227" s="17"/>
      <c r="U227" s="17"/>
      <c r="V227" s="17"/>
      <c r="W227" s="44" t="str">
        <f aca="false">IF(OR(E227="",COUNTA(Q227:V227)=0),"",SUMIFS(Settings!$AA$2:$AA$21,Settings!$Y$2:$Y$21,"Budget AED 5k+/mo?",Settings!$Z$2:$Z$21,Q227)+SUMIFS(Settings!$AA$2:$AA$21,Settings!$Y$2:$Y$21,"Decision-maker?",Settings!$Z$2:$Z$21,R227)+SUMIFS(Settings!$AA$2:$AA$21,Settings!$Y$2:$Y$21,"Someone on camera?",Settings!$Z$2:$Z$21,S227)+SUMIFS(Settings!$AA$2:$AA$21,Settings!$Y$2:$Y$21,"OK with 3-month term?",Settings!$Z$2:$Z$21,T227)+SUMIFS(Settings!$AA$2:$AA$21,Settings!$Y$2:$Y$21,"Start timeline",Settings!$Z$2:$Z$21,U227)+SUMIFS(Settings!$AA$2:$AA$21,Settings!$Y$2:$Y$21,"Social media gap",Settings!$Z$2:$Z$21,V227)+IF(F227="",0,IF(COUNTIF(Settings!$AC$2:$AC$6,F227)&gt;0,Settings!$AA$20,Settings!$AA$21)))</f>
        <v/>
      </c>
      <c r="X227" s="44" t="str">
        <f aca="false">IF(E227="","",IF(COUNTA(Q227:V227)=0,"Not scored",IF(COUNTA(Q227:V227)&lt;6,"Partly scored ("&amp;COUNTA(Q227:V227)&amp;"/6)",IF(W227&gt;=Settings!$S$8,"Hot",IF(W227&gt;=Settings!$S$9,"Warm","Cold")))))</f>
        <v/>
      </c>
      <c r="Y227" s="44" t="str">
        <f aca="false">IF(E227="","",IF(AND(Q227="No",S227="No"),"🚩 Budget  ·  🚩 No one on camera",IF(Q227="No","🚩 Budget under AED 5k",IF(S227="No","🚩 No one on camera",""))))</f>
        <v/>
      </c>
      <c r="Z227" s="17"/>
      <c r="AA227" s="17"/>
      <c r="AB227" s="40"/>
      <c r="AC227" s="17"/>
      <c r="AD227" s="45" t="str">
        <f aca="false">IF(OR(E227="",AB227="",OR(AA227="Contract signed + paid",AA227="Closed – No response",AA227="Lost"),N(AC227)&gt;=Settings!$S$3),"",AB227+Settings!$S$2)</f>
        <v/>
      </c>
      <c r="AE227" s="40"/>
      <c r="AF227" s="41"/>
      <c r="AG227" s="17"/>
      <c r="AH227" s="17"/>
      <c r="AI227" s="17"/>
      <c r="AJ227" s="46" t="str">
        <f aca="true">IF(OR(E227="",B227=""),"",INT(TODAY()-B227))</f>
        <v/>
      </c>
      <c r="AK227" s="44" t="str">
        <f aca="true">IF(E227="","",IF(OR(COUNTIFS(Clients!$C$2:$C$501,E227,Clients!$S$2:$S$501,"Paid")&gt;0,AND(I227&lt;&gt;"",COUNTIFS(Clients!$E$2:$E$501,I227,Clients!$S$2:$S$501,"Paid")&gt;0)),"⚠ Refunded before – no free video",IF(OR(AA227="Contract signed + paid",AA227="Closed – No response",AA227="Lost"),"",IF(AA227="","Set a stage",IF(AND(AA227="Proposal sent",COUNTA(Q227:V227)&lt;6),"Score this lead – proposal sent unscored",IF(N(AC227)&gt;=Settings!$S$3,"Close – 4 follow-ups sent",IF(AD227="",IF(AB227="","Make first contact",""),IF(TODAY()&gt;AD227,"OVERDUE follow-up",IF(TODAY()=AD227,"Follow up today","")))))))))</f>
        <v/>
      </c>
    </row>
    <row r="228" customFormat="false" ht="15" hidden="false" customHeight="false" outlineLevel="0" collapsed="false">
      <c r="A228" s="17"/>
      <c r="B228" s="40"/>
      <c r="C228" s="41"/>
      <c r="D228" s="17"/>
      <c r="E228" s="17"/>
      <c r="F228" s="17"/>
      <c r="G228" s="17"/>
      <c r="H228" s="17"/>
      <c r="I228" s="42"/>
      <c r="J228" s="17"/>
      <c r="K228" s="17"/>
      <c r="L228" s="17"/>
      <c r="M228" s="17"/>
      <c r="N228" s="40"/>
      <c r="O228" s="41"/>
      <c r="P228" s="43" t="str">
        <f aca="false">IF(OR(B228="",N228=""),"",ROUND(((N228+N(O228))-(B228+N(C228)))*24,1))</f>
        <v/>
      </c>
      <c r="Q228" s="17"/>
      <c r="R228" s="17"/>
      <c r="S228" s="17"/>
      <c r="T228" s="17"/>
      <c r="U228" s="17"/>
      <c r="V228" s="17"/>
      <c r="W228" s="44" t="str">
        <f aca="false">IF(OR(E228="",COUNTA(Q228:V228)=0),"",SUMIFS(Settings!$AA$2:$AA$21,Settings!$Y$2:$Y$21,"Budget AED 5k+/mo?",Settings!$Z$2:$Z$21,Q228)+SUMIFS(Settings!$AA$2:$AA$21,Settings!$Y$2:$Y$21,"Decision-maker?",Settings!$Z$2:$Z$21,R228)+SUMIFS(Settings!$AA$2:$AA$21,Settings!$Y$2:$Y$21,"Someone on camera?",Settings!$Z$2:$Z$21,S228)+SUMIFS(Settings!$AA$2:$AA$21,Settings!$Y$2:$Y$21,"OK with 3-month term?",Settings!$Z$2:$Z$21,T228)+SUMIFS(Settings!$AA$2:$AA$21,Settings!$Y$2:$Y$21,"Start timeline",Settings!$Z$2:$Z$21,U228)+SUMIFS(Settings!$AA$2:$AA$21,Settings!$Y$2:$Y$21,"Social media gap",Settings!$Z$2:$Z$21,V228)+IF(F228="",0,IF(COUNTIF(Settings!$AC$2:$AC$6,F228)&gt;0,Settings!$AA$20,Settings!$AA$21)))</f>
        <v/>
      </c>
      <c r="X228" s="44" t="str">
        <f aca="false">IF(E228="","",IF(COUNTA(Q228:V228)=0,"Not scored",IF(COUNTA(Q228:V228)&lt;6,"Partly scored ("&amp;COUNTA(Q228:V228)&amp;"/6)",IF(W228&gt;=Settings!$S$8,"Hot",IF(W228&gt;=Settings!$S$9,"Warm","Cold")))))</f>
        <v/>
      </c>
      <c r="Y228" s="44" t="str">
        <f aca="false">IF(E228="","",IF(AND(Q228="No",S228="No"),"🚩 Budget  ·  🚩 No one on camera",IF(Q228="No","🚩 Budget under AED 5k",IF(S228="No","🚩 No one on camera",""))))</f>
        <v/>
      </c>
      <c r="Z228" s="17"/>
      <c r="AA228" s="17"/>
      <c r="AB228" s="40"/>
      <c r="AC228" s="17"/>
      <c r="AD228" s="45" t="str">
        <f aca="false">IF(OR(E228="",AB228="",OR(AA228="Contract signed + paid",AA228="Closed – No response",AA228="Lost"),N(AC228)&gt;=Settings!$S$3),"",AB228+Settings!$S$2)</f>
        <v/>
      </c>
      <c r="AE228" s="40"/>
      <c r="AF228" s="41"/>
      <c r="AG228" s="17"/>
      <c r="AH228" s="17"/>
      <c r="AI228" s="17"/>
      <c r="AJ228" s="46" t="str">
        <f aca="true">IF(OR(E228="",B228=""),"",INT(TODAY()-B228))</f>
        <v/>
      </c>
      <c r="AK228" s="44" t="str">
        <f aca="true">IF(E228="","",IF(OR(COUNTIFS(Clients!$C$2:$C$501,E228,Clients!$S$2:$S$501,"Paid")&gt;0,AND(I228&lt;&gt;"",COUNTIFS(Clients!$E$2:$E$501,I228,Clients!$S$2:$S$501,"Paid")&gt;0)),"⚠ Refunded before – no free video",IF(OR(AA228="Contract signed + paid",AA228="Closed – No response",AA228="Lost"),"",IF(AA228="","Set a stage",IF(AND(AA228="Proposal sent",COUNTA(Q228:V228)&lt;6),"Score this lead – proposal sent unscored",IF(N(AC228)&gt;=Settings!$S$3,"Close – 4 follow-ups sent",IF(AD228="",IF(AB228="","Make first contact",""),IF(TODAY()&gt;AD228,"OVERDUE follow-up",IF(TODAY()=AD228,"Follow up today","")))))))))</f>
        <v/>
      </c>
    </row>
    <row r="229" customFormat="false" ht="15" hidden="false" customHeight="false" outlineLevel="0" collapsed="false">
      <c r="A229" s="17"/>
      <c r="B229" s="40"/>
      <c r="C229" s="41"/>
      <c r="D229" s="17"/>
      <c r="E229" s="17"/>
      <c r="F229" s="17"/>
      <c r="G229" s="17"/>
      <c r="H229" s="17"/>
      <c r="I229" s="42"/>
      <c r="J229" s="17"/>
      <c r="K229" s="17"/>
      <c r="L229" s="17"/>
      <c r="M229" s="17"/>
      <c r="N229" s="40"/>
      <c r="O229" s="41"/>
      <c r="P229" s="43" t="str">
        <f aca="false">IF(OR(B229="",N229=""),"",ROUND(((N229+N(O229))-(B229+N(C229)))*24,1))</f>
        <v/>
      </c>
      <c r="Q229" s="17"/>
      <c r="R229" s="17"/>
      <c r="S229" s="17"/>
      <c r="T229" s="17"/>
      <c r="U229" s="17"/>
      <c r="V229" s="17"/>
      <c r="W229" s="44" t="str">
        <f aca="false">IF(OR(E229="",COUNTA(Q229:V229)=0),"",SUMIFS(Settings!$AA$2:$AA$21,Settings!$Y$2:$Y$21,"Budget AED 5k+/mo?",Settings!$Z$2:$Z$21,Q229)+SUMIFS(Settings!$AA$2:$AA$21,Settings!$Y$2:$Y$21,"Decision-maker?",Settings!$Z$2:$Z$21,R229)+SUMIFS(Settings!$AA$2:$AA$21,Settings!$Y$2:$Y$21,"Someone on camera?",Settings!$Z$2:$Z$21,S229)+SUMIFS(Settings!$AA$2:$AA$21,Settings!$Y$2:$Y$21,"OK with 3-month term?",Settings!$Z$2:$Z$21,T229)+SUMIFS(Settings!$AA$2:$AA$21,Settings!$Y$2:$Y$21,"Start timeline",Settings!$Z$2:$Z$21,U229)+SUMIFS(Settings!$AA$2:$AA$21,Settings!$Y$2:$Y$21,"Social media gap",Settings!$Z$2:$Z$21,V229)+IF(F229="",0,IF(COUNTIF(Settings!$AC$2:$AC$6,F229)&gt;0,Settings!$AA$20,Settings!$AA$21)))</f>
        <v/>
      </c>
      <c r="X229" s="44" t="str">
        <f aca="false">IF(E229="","",IF(COUNTA(Q229:V229)=0,"Not scored",IF(COUNTA(Q229:V229)&lt;6,"Partly scored ("&amp;COUNTA(Q229:V229)&amp;"/6)",IF(W229&gt;=Settings!$S$8,"Hot",IF(W229&gt;=Settings!$S$9,"Warm","Cold")))))</f>
        <v/>
      </c>
      <c r="Y229" s="44" t="str">
        <f aca="false">IF(E229="","",IF(AND(Q229="No",S229="No"),"🚩 Budget  ·  🚩 No one on camera",IF(Q229="No","🚩 Budget under AED 5k",IF(S229="No","🚩 No one on camera",""))))</f>
        <v/>
      </c>
      <c r="Z229" s="17"/>
      <c r="AA229" s="17"/>
      <c r="AB229" s="40"/>
      <c r="AC229" s="17"/>
      <c r="AD229" s="45" t="str">
        <f aca="false">IF(OR(E229="",AB229="",OR(AA229="Contract signed + paid",AA229="Closed – No response",AA229="Lost"),N(AC229)&gt;=Settings!$S$3),"",AB229+Settings!$S$2)</f>
        <v/>
      </c>
      <c r="AE229" s="40"/>
      <c r="AF229" s="41"/>
      <c r="AG229" s="17"/>
      <c r="AH229" s="17"/>
      <c r="AI229" s="17"/>
      <c r="AJ229" s="46" t="str">
        <f aca="true">IF(OR(E229="",B229=""),"",INT(TODAY()-B229))</f>
        <v/>
      </c>
      <c r="AK229" s="44" t="str">
        <f aca="true">IF(E229="","",IF(OR(COUNTIFS(Clients!$C$2:$C$501,E229,Clients!$S$2:$S$501,"Paid")&gt;0,AND(I229&lt;&gt;"",COUNTIFS(Clients!$E$2:$E$501,I229,Clients!$S$2:$S$501,"Paid")&gt;0)),"⚠ Refunded before – no free video",IF(OR(AA229="Contract signed + paid",AA229="Closed – No response",AA229="Lost"),"",IF(AA229="","Set a stage",IF(AND(AA229="Proposal sent",COUNTA(Q229:V229)&lt;6),"Score this lead – proposal sent unscored",IF(N(AC229)&gt;=Settings!$S$3,"Close – 4 follow-ups sent",IF(AD229="",IF(AB229="","Make first contact",""),IF(TODAY()&gt;AD229,"OVERDUE follow-up",IF(TODAY()=AD229,"Follow up today","")))))))))</f>
        <v/>
      </c>
    </row>
    <row r="230" customFormat="false" ht="15" hidden="false" customHeight="false" outlineLevel="0" collapsed="false">
      <c r="A230" s="17"/>
      <c r="B230" s="40"/>
      <c r="C230" s="41"/>
      <c r="D230" s="17"/>
      <c r="E230" s="17"/>
      <c r="F230" s="17"/>
      <c r="G230" s="17"/>
      <c r="H230" s="17"/>
      <c r="I230" s="42"/>
      <c r="J230" s="17"/>
      <c r="K230" s="17"/>
      <c r="L230" s="17"/>
      <c r="M230" s="17"/>
      <c r="N230" s="40"/>
      <c r="O230" s="41"/>
      <c r="P230" s="43" t="str">
        <f aca="false">IF(OR(B230="",N230=""),"",ROUND(((N230+N(O230))-(B230+N(C230)))*24,1))</f>
        <v/>
      </c>
      <c r="Q230" s="17"/>
      <c r="R230" s="17"/>
      <c r="S230" s="17"/>
      <c r="T230" s="17"/>
      <c r="U230" s="17"/>
      <c r="V230" s="17"/>
      <c r="W230" s="44" t="str">
        <f aca="false">IF(OR(E230="",COUNTA(Q230:V230)=0),"",SUMIFS(Settings!$AA$2:$AA$21,Settings!$Y$2:$Y$21,"Budget AED 5k+/mo?",Settings!$Z$2:$Z$21,Q230)+SUMIFS(Settings!$AA$2:$AA$21,Settings!$Y$2:$Y$21,"Decision-maker?",Settings!$Z$2:$Z$21,R230)+SUMIFS(Settings!$AA$2:$AA$21,Settings!$Y$2:$Y$21,"Someone on camera?",Settings!$Z$2:$Z$21,S230)+SUMIFS(Settings!$AA$2:$AA$21,Settings!$Y$2:$Y$21,"OK with 3-month term?",Settings!$Z$2:$Z$21,T230)+SUMIFS(Settings!$AA$2:$AA$21,Settings!$Y$2:$Y$21,"Start timeline",Settings!$Z$2:$Z$21,U230)+SUMIFS(Settings!$AA$2:$AA$21,Settings!$Y$2:$Y$21,"Social media gap",Settings!$Z$2:$Z$21,V230)+IF(F230="",0,IF(COUNTIF(Settings!$AC$2:$AC$6,F230)&gt;0,Settings!$AA$20,Settings!$AA$21)))</f>
        <v/>
      </c>
      <c r="X230" s="44" t="str">
        <f aca="false">IF(E230="","",IF(COUNTA(Q230:V230)=0,"Not scored",IF(COUNTA(Q230:V230)&lt;6,"Partly scored ("&amp;COUNTA(Q230:V230)&amp;"/6)",IF(W230&gt;=Settings!$S$8,"Hot",IF(W230&gt;=Settings!$S$9,"Warm","Cold")))))</f>
        <v/>
      </c>
      <c r="Y230" s="44" t="str">
        <f aca="false">IF(E230="","",IF(AND(Q230="No",S230="No"),"🚩 Budget  ·  🚩 No one on camera",IF(Q230="No","🚩 Budget under AED 5k",IF(S230="No","🚩 No one on camera",""))))</f>
        <v/>
      </c>
      <c r="Z230" s="17"/>
      <c r="AA230" s="17"/>
      <c r="AB230" s="40"/>
      <c r="AC230" s="17"/>
      <c r="AD230" s="45" t="str">
        <f aca="false">IF(OR(E230="",AB230="",OR(AA230="Contract signed + paid",AA230="Closed – No response",AA230="Lost"),N(AC230)&gt;=Settings!$S$3),"",AB230+Settings!$S$2)</f>
        <v/>
      </c>
      <c r="AE230" s="40"/>
      <c r="AF230" s="41"/>
      <c r="AG230" s="17"/>
      <c r="AH230" s="17"/>
      <c r="AI230" s="17"/>
      <c r="AJ230" s="46" t="str">
        <f aca="true">IF(OR(E230="",B230=""),"",INT(TODAY()-B230))</f>
        <v/>
      </c>
      <c r="AK230" s="44" t="str">
        <f aca="true">IF(E230="","",IF(OR(COUNTIFS(Clients!$C$2:$C$501,E230,Clients!$S$2:$S$501,"Paid")&gt;0,AND(I230&lt;&gt;"",COUNTIFS(Clients!$E$2:$E$501,I230,Clients!$S$2:$S$501,"Paid")&gt;0)),"⚠ Refunded before – no free video",IF(OR(AA230="Contract signed + paid",AA230="Closed – No response",AA230="Lost"),"",IF(AA230="","Set a stage",IF(AND(AA230="Proposal sent",COUNTA(Q230:V230)&lt;6),"Score this lead – proposal sent unscored",IF(N(AC230)&gt;=Settings!$S$3,"Close – 4 follow-ups sent",IF(AD230="",IF(AB230="","Make first contact",""),IF(TODAY()&gt;AD230,"OVERDUE follow-up",IF(TODAY()=AD230,"Follow up today","")))))))))</f>
        <v/>
      </c>
    </row>
    <row r="231" customFormat="false" ht="15" hidden="false" customHeight="false" outlineLevel="0" collapsed="false">
      <c r="A231" s="17"/>
      <c r="B231" s="40"/>
      <c r="C231" s="41"/>
      <c r="D231" s="17"/>
      <c r="E231" s="17"/>
      <c r="F231" s="17"/>
      <c r="G231" s="17"/>
      <c r="H231" s="17"/>
      <c r="I231" s="42"/>
      <c r="J231" s="17"/>
      <c r="K231" s="17"/>
      <c r="L231" s="17"/>
      <c r="M231" s="17"/>
      <c r="N231" s="40"/>
      <c r="O231" s="41"/>
      <c r="P231" s="43" t="str">
        <f aca="false">IF(OR(B231="",N231=""),"",ROUND(((N231+N(O231))-(B231+N(C231)))*24,1))</f>
        <v/>
      </c>
      <c r="Q231" s="17"/>
      <c r="R231" s="17"/>
      <c r="S231" s="17"/>
      <c r="T231" s="17"/>
      <c r="U231" s="17"/>
      <c r="V231" s="17"/>
      <c r="W231" s="44" t="str">
        <f aca="false">IF(OR(E231="",COUNTA(Q231:V231)=0),"",SUMIFS(Settings!$AA$2:$AA$21,Settings!$Y$2:$Y$21,"Budget AED 5k+/mo?",Settings!$Z$2:$Z$21,Q231)+SUMIFS(Settings!$AA$2:$AA$21,Settings!$Y$2:$Y$21,"Decision-maker?",Settings!$Z$2:$Z$21,R231)+SUMIFS(Settings!$AA$2:$AA$21,Settings!$Y$2:$Y$21,"Someone on camera?",Settings!$Z$2:$Z$21,S231)+SUMIFS(Settings!$AA$2:$AA$21,Settings!$Y$2:$Y$21,"OK with 3-month term?",Settings!$Z$2:$Z$21,T231)+SUMIFS(Settings!$AA$2:$AA$21,Settings!$Y$2:$Y$21,"Start timeline",Settings!$Z$2:$Z$21,U231)+SUMIFS(Settings!$AA$2:$AA$21,Settings!$Y$2:$Y$21,"Social media gap",Settings!$Z$2:$Z$21,V231)+IF(F231="",0,IF(COUNTIF(Settings!$AC$2:$AC$6,F231)&gt;0,Settings!$AA$20,Settings!$AA$21)))</f>
        <v/>
      </c>
      <c r="X231" s="44" t="str">
        <f aca="false">IF(E231="","",IF(COUNTA(Q231:V231)=0,"Not scored",IF(COUNTA(Q231:V231)&lt;6,"Partly scored ("&amp;COUNTA(Q231:V231)&amp;"/6)",IF(W231&gt;=Settings!$S$8,"Hot",IF(W231&gt;=Settings!$S$9,"Warm","Cold")))))</f>
        <v/>
      </c>
      <c r="Y231" s="44" t="str">
        <f aca="false">IF(E231="","",IF(AND(Q231="No",S231="No"),"🚩 Budget  ·  🚩 No one on camera",IF(Q231="No","🚩 Budget under AED 5k",IF(S231="No","🚩 No one on camera",""))))</f>
        <v/>
      </c>
      <c r="Z231" s="17"/>
      <c r="AA231" s="17"/>
      <c r="AB231" s="40"/>
      <c r="AC231" s="17"/>
      <c r="AD231" s="45" t="str">
        <f aca="false">IF(OR(E231="",AB231="",OR(AA231="Contract signed + paid",AA231="Closed – No response",AA231="Lost"),N(AC231)&gt;=Settings!$S$3),"",AB231+Settings!$S$2)</f>
        <v/>
      </c>
      <c r="AE231" s="40"/>
      <c r="AF231" s="41"/>
      <c r="AG231" s="17"/>
      <c r="AH231" s="17"/>
      <c r="AI231" s="17"/>
      <c r="AJ231" s="46" t="str">
        <f aca="true">IF(OR(E231="",B231=""),"",INT(TODAY()-B231))</f>
        <v/>
      </c>
      <c r="AK231" s="44" t="str">
        <f aca="true">IF(E231="","",IF(OR(COUNTIFS(Clients!$C$2:$C$501,E231,Clients!$S$2:$S$501,"Paid")&gt;0,AND(I231&lt;&gt;"",COUNTIFS(Clients!$E$2:$E$501,I231,Clients!$S$2:$S$501,"Paid")&gt;0)),"⚠ Refunded before – no free video",IF(OR(AA231="Contract signed + paid",AA231="Closed – No response",AA231="Lost"),"",IF(AA231="","Set a stage",IF(AND(AA231="Proposal sent",COUNTA(Q231:V231)&lt;6),"Score this lead – proposal sent unscored",IF(N(AC231)&gt;=Settings!$S$3,"Close – 4 follow-ups sent",IF(AD231="",IF(AB231="","Make first contact",""),IF(TODAY()&gt;AD231,"OVERDUE follow-up",IF(TODAY()=AD231,"Follow up today","")))))))))</f>
        <v/>
      </c>
    </row>
    <row r="232" customFormat="false" ht="15" hidden="false" customHeight="false" outlineLevel="0" collapsed="false">
      <c r="A232" s="17"/>
      <c r="B232" s="40"/>
      <c r="C232" s="41"/>
      <c r="D232" s="17"/>
      <c r="E232" s="17"/>
      <c r="F232" s="17"/>
      <c r="G232" s="17"/>
      <c r="H232" s="17"/>
      <c r="I232" s="42"/>
      <c r="J232" s="17"/>
      <c r="K232" s="17"/>
      <c r="L232" s="17"/>
      <c r="M232" s="17"/>
      <c r="N232" s="40"/>
      <c r="O232" s="41"/>
      <c r="P232" s="43" t="str">
        <f aca="false">IF(OR(B232="",N232=""),"",ROUND(((N232+N(O232))-(B232+N(C232)))*24,1))</f>
        <v/>
      </c>
      <c r="Q232" s="17"/>
      <c r="R232" s="17"/>
      <c r="S232" s="17"/>
      <c r="T232" s="17"/>
      <c r="U232" s="17"/>
      <c r="V232" s="17"/>
      <c r="W232" s="44" t="str">
        <f aca="false">IF(OR(E232="",COUNTA(Q232:V232)=0),"",SUMIFS(Settings!$AA$2:$AA$21,Settings!$Y$2:$Y$21,"Budget AED 5k+/mo?",Settings!$Z$2:$Z$21,Q232)+SUMIFS(Settings!$AA$2:$AA$21,Settings!$Y$2:$Y$21,"Decision-maker?",Settings!$Z$2:$Z$21,R232)+SUMIFS(Settings!$AA$2:$AA$21,Settings!$Y$2:$Y$21,"Someone on camera?",Settings!$Z$2:$Z$21,S232)+SUMIFS(Settings!$AA$2:$AA$21,Settings!$Y$2:$Y$21,"OK with 3-month term?",Settings!$Z$2:$Z$21,T232)+SUMIFS(Settings!$AA$2:$AA$21,Settings!$Y$2:$Y$21,"Start timeline",Settings!$Z$2:$Z$21,U232)+SUMIFS(Settings!$AA$2:$AA$21,Settings!$Y$2:$Y$21,"Social media gap",Settings!$Z$2:$Z$21,V232)+IF(F232="",0,IF(COUNTIF(Settings!$AC$2:$AC$6,F232)&gt;0,Settings!$AA$20,Settings!$AA$21)))</f>
        <v/>
      </c>
      <c r="X232" s="44" t="str">
        <f aca="false">IF(E232="","",IF(COUNTA(Q232:V232)=0,"Not scored",IF(COUNTA(Q232:V232)&lt;6,"Partly scored ("&amp;COUNTA(Q232:V232)&amp;"/6)",IF(W232&gt;=Settings!$S$8,"Hot",IF(W232&gt;=Settings!$S$9,"Warm","Cold")))))</f>
        <v/>
      </c>
      <c r="Y232" s="44" t="str">
        <f aca="false">IF(E232="","",IF(AND(Q232="No",S232="No"),"🚩 Budget  ·  🚩 No one on camera",IF(Q232="No","🚩 Budget under AED 5k",IF(S232="No","🚩 No one on camera",""))))</f>
        <v/>
      </c>
      <c r="Z232" s="17"/>
      <c r="AA232" s="17"/>
      <c r="AB232" s="40"/>
      <c r="AC232" s="17"/>
      <c r="AD232" s="45" t="str">
        <f aca="false">IF(OR(E232="",AB232="",OR(AA232="Contract signed + paid",AA232="Closed – No response",AA232="Lost"),N(AC232)&gt;=Settings!$S$3),"",AB232+Settings!$S$2)</f>
        <v/>
      </c>
      <c r="AE232" s="40"/>
      <c r="AF232" s="41"/>
      <c r="AG232" s="17"/>
      <c r="AH232" s="17"/>
      <c r="AI232" s="17"/>
      <c r="AJ232" s="46" t="str">
        <f aca="true">IF(OR(E232="",B232=""),"",INT(TODAY()-B232))</f>
        <v/>
      </c>
      <c r="AK232" s="44" t="str">
        <f aca="true">IF(E232="","",IF(OR(COUNTIFS(Clients!$C$2:$C$501,E232,Clients!$S$2:$S$501,"Paid")&gt;0,AND(I232&lt;&gt;"",COUNTIFS(Clients!$E$2:$E$501,I232,Clients!$S$2:$S$501,"Paid")&gt;0)),"⚠ Refunded before – no free video",IF(OR(AA232="Contract signed + paid",AA232="Closed – No response",AA232="Lost"),"",IF(AA232="","Set a stage",IF(AND(AA232="Proposal sent",COUNTA(Q232:V232)&lt;6),"Score this lead – proposal sent unscored",IF(N(AC232)&gt;=Settings!$S$3,"Close – 4 follow-ups sent",IF(AD232="",IF(AB232="","Make first contact",""),IF(TODAY()&gt;AD232,"OVERDUE follow-up",IF(TODAY()=AD232,"Follow up today","")))))))))</f>
        <v/>
      </c>
    </row>
    <row r="233" customFormat="false" ht="15" hidden="false" customHeight="false" outlineLevel="0" collapsed="false">
      <c r="A233" s="17"/>
      <c r="B233" s="40"/>
      <c r="C233" s="41"/>
      <c r="D233" s="17"/>
      <c r="E233" s="17"/>
      <c r="F233" s="17"/>
      <c r="G233" s="17"/>
      <c r="H233" s="17"/>
      <c r="I233" s="42"/>
      <c r="J233" s="17"/>
      <c r="K233" s="17"/>
      <c r="L233" s="17"/>
      <c r="M233" s="17"/>
      <c r="N233" s="40"/>
      <c r="O233" s="41"/>
      <c r="P233" s="43" t="str">
        <f aca="false">IF(OR(B233="",N233=""),"",ROUND(((N233+N(O233))-(B233+N(C233)))*24,1))</f>
        <v/>
      </c>
      <c r="Q233" s="17"/>
      <c r="R233" s="17"/>
      <c r="S233" s="17"/>
      <c r="T233" s="17"/>
      <c r="U233" s="17"/>
      <c r="V233" s="17"/>
      <c r="W233" s="44" t="str">
        <f aca="false">IF(OR(E233="",COUNTA(Q233:V233)=0),"",SUMIFS(Settings!$AA$2:$AA$21,Settings!$Y$2:$Y$21,"Budget AED 5k+/mo?",Settings!$Z$2:$Z$21,Q233)+SUMIFS(Settings!$AA$2:$AA$21,Settings!$Y$2:$Y$21,"Decision-maker?",Settings!$Z$2:$Z$21,R233)+SUMIFS(Settings!$AA$2:$AA$21,Settings!$Y$2:$Y$21,"Someone on camera?",Settings!$Z$2:$Z$21,S233)+SUMIFS(Settings!$AA$2:$AA$21,Settings!$Y$2:$Y$21,"OK with 3-month term?",Settings!$Z$2:$Z$21,T233)+SUMIFS(Settings!$AA$2:$AA$21,Settings!$Y$2:$Y$21,"Start timeline",Settings!$Z$2:$Z$21,U233)+SUMIFS(Settings!$AA$2:$AA$21,Settings!$Y$2:$Y$21,"Social media gap",Settings!$Z$2:$Z$21,V233)+IF(F233="",0,IF(COUNTIF(Settings!$AC$2:$AC$6,F233)&gt;0,Settings!$AA$20,Settings!$AA$21)))</f>
        <v/>
      </c>
      <c r="X233" s="44" t="str">
        <f aca="false">IF(E233="","",IF(COUNTA(Q233:V233)=0,"Not scored",IF(COUNTA(Q233:V233)&lt;6,"Partly scored ("&amp;COUNTA(Q233:V233)&amp;"/6)",IF(W233&gt;=Settings!$S$8,"Hot",IF(W233&gt;=Settings!$S$9,"Warm","Cold")))))</f>
        <v/>
      </c>
      <c r="Y233" s="44" t="str">
        <f aca="false">IF(E233="","",IF(AND(Q233="No",S233="No"),"🚩 Budget  ·  🚩 No one on camera",IF(Q233="No","🚩 Budget under AED 5k",IF(S233="No","🚩 No one on camera",""))))</f>
        <v/>
      </c>
      <c r="Z233" s="17"/>
      <c r="AA233" s="17"/>
      <c r="AB233" s="40"/>
      <c r="AC233" s="17"/>
      <c r="AD233" s="45" t="str">
        <f aca="false">IF(OR(E233="",AB233="",OR(AA233="Contract signed + paid",AA233="Closed – No response",AA233="Lost"),N(AC233)&gt;=Settings!$S$3),"",AB233+Settings!$S$2)</f>
        <v/>
      </c>
      <c r="AE233" s="40"/>
      <c r="AF233" s="41"/>
      <c r="AG233" s="17"/>
      <c r="AH233" s="17"/>
      <c r="AI233" s="17"/>
      <c r="AJ233" s="46" t="str">
        <f aca="true">IF(OR(E233="",B233=""),"",INT(TODAY()-B233))</f>
        <v/>
      </c>
      <c r="AK233" s="44" t="str">
        <f aca="true">IF(E233="","",IF(OR(COUNTIFS(Clients!$C$2:$C$501,E233,Clients!$S$2:$S$501,"Paid")&gt;0,AND(I233&lt;&gt;"",COUNTIFS(Clients!$E$2:$E$501,I233,Clients!$S$2:$S$501,"Paid")&gt;0)),"⚠ Refunded before – no free video",IF(OR(AA233="Contract signed + paid",AA233="Closed – No response",AA233="Lost"),"",IF(AA233="","Set a stage",IF(AND(AA233="Proposal sent",COUNTA(Q233:V233)&lt;6),"Score this lead – proposal sent unscored",IF(N(AC233)&gt;=Settings!$S$3,"Close – 4 follow-ups sent",IF(AD233="",IF(AB233="","Make first contact",""),IF(TODAY()&gt;AD233,"OVERDUE follow-up",IF(TODAY()=AD233,"Follow up today","")))))))))</f>
        <v/>
      </c>
    </row>
    <row r="234" customFormat="false" ht="15" hidden="false" customHeight="false" outlineLevel="0" collapsed="false">
      <c r="A234" s="17"/>
      <c r="B234" s="40"/>
      <c r="C234" s="41"/>
      <c r="D234" s="17"/>
      <c r="E234" s="17"/>
      <c r="F234" s="17"/>
      <c r="G234" s="17"/>
      <c r="H234" s="17"/>
      <c r="I234" s="42"/>
      <c r="J234" s="17"/>
      <c r="K234" s="17"/>
      <c r="L234" s="17"/>
      <c r="M234" s="17"/>
      <c r="N234" s="40"/>
      <c r="O234" s="41"/>
      <c r="P234" s="43" t="str">
        <f aca="false">IF(OR(B234="",N234=""),"",ROUND(((N234+N(O234))-(B234+N(C234)))*24,1))</f>
        <v/>
      </c>
      <c r="Q234" s="17"/>
      <c r="R234" s="17"/>
      <c r="S234" s="17"/>
      <c r="T234" s="17"/>
      <c r="U234" s="17"/>
      <c r="V234" s="17"/>
      <c r="W234" s="44" t="str">
        <f aca="false">IF(OR(E234="",COUNTA(Q234:V234)=0),"",SUMIFS(Settings!$AA$2:$AA$21,Settings!$Y$2:$Y$21,"Budget AED 5k+/mo?",Settings!$Z$2:$Z$21,Q234)+SUMIFS(Settings!$AA$2:$AA$21,Settings!$Y$2:$Y$21,"Decision-maker?",Settings!$Z$2:$Z$21,R234)+SUMIFS(Settings!$AA$2:$AA$21,Settings!$Y$2:$Y$21,"Someone on camera?",Settings!$Z$2:$Z$21,S234)+SUMIFS(Settings!$AA$2:$AA$21,Settings!$Y$2:$Y$21,"OK with 3-month term?",Settings!$Z$2:$Z$21,T234)+SUMIFS(Settings!$AA$2:$AA$21,Settings!$Y$2:$Y$21,"Start timeline",Settings!$Z$2:$Z$21,U234)+SUMIFS(Settings!$AA$2:$AA$21,Settings!$Y$2:$Y$21,"Social media gap",Settings!$Z$2:$Z$21,V234)+IF(F234="",0,IF(COUNTIF(Settings!$AC$2:$AC$6,F234)&gt;0,Settings!$AA$20,Settings!$AA$21)))</f>
        <v/>
      </c>
      <c r="X234" s="44" t="str">
        <f aca="false">IF(E234="","",IF(COUNTA(Q234:V234)=0,"Not scored",IF(COUNTA(Q234:V234)&lt;6,"Partly scored ("&amp;COUNTA(Q234:V234)&amp;"/6)",IF(W234&gt;=Settings!$S$8,"Hot",IF(W234&gt;=Settings!$S$9,"Warm","Cold")))))</f>
        <v/>
      </c>
      <c r="Y234" s="44" t="str">
        <f aca="false">IF(E234="","",IF(AND(Q234="No",S234="No"),"🚩 Budget  ·  🚩 No one on camera",IF(Q234="No","🚩 Budget under AED 5k",IF(S234="No","🚩 No one on camera",""))))</f>
        <v/>
      </c>
      <c r="Z234" s="17"/>
      <c r="AA234" s="17"/>
      <c r="AB234" s="40"/>
      <c r="AC234" s="17"/>
      <c r="AD234" s="45" t="str">
        <f aca="false">IF(OR(E234="",AB234="",OR(AA234="Contract signed + paid",AA234="Closed – No response",AA234="Lost"),N(AC234)&gt;=Settings!$S$3),"",AB234+Settings!$S$2)</f>
        <v/>
      </c>
      <c r="AE234" s="40"/>
      <c r="AF234" s="41"/>
      <c r="AG234" s="17"/>
      <c r="AH234" s="17"/>
      <c r="AI234" s="17"/>
      <c r="AJ234" s="46" t="str">
        <f aca="true">IF(OR(E234="",B234=""),"",INT(TODAY()-B234))</f>
        <v/>
      </c>
      <c r="AK234" s="44" t="str">
        <f aca="true">IF(E234="","",IF(OR(COUNTIFS(Clients!$C$2:$C$501,E234,Clients!$S$2:$S$501,"Paid")&gt;0,AND(I234&lt;&gt;"",COUNTIFS(Clients!$E$2:$E$501,I234,Clients!$S$2:$S$501,"Paid")&gt;0)),"⚠ Refunded before – no free video",IF(OR(AA234="Contract signed + paid",AA234="Closed – No response",AA234="Lost"),"",IF(AA234="","Set a stage",IF(AND(AA234="Proposal sent",COUNTA(Q234:V234)&lt;6),"Score this lead – proposal sent unscored",IF(N(AC234)&gt;=Settings!$S$3,"Close – 4 follow-ups sent",IF(AD234="",IF(AB234="","Make first contact",""),IF(TODAY()&gt;AD234,"OVERDUE follow-up",IF(TODAY()=AD234,"Follow up today","")))))))))</f>
        <v/>
      </c>
    </row>
    <row r="235" customFormat="false" ht="15" hidden="false" customHeight="false" outlineLevel="0" collapsed="false">
      <c r="A235" s="17"/>
      <c r="B235" s="40"/>
      <c r="C235" s="41"/>
      <c r="D235" s="17"/>
      <c r="E235" s="17"/>
      <c r="F235" s="17"/>
      <c r="G235" s="17"/>
      <c r="H235" s="17"/>
      <c r="I235" s="42"/>
      <c r="J235" s="17"/>
      <c r="K235" s="17"/>
      <c r="L235" s="17"/>
      <c r="M235" s="17"/>
      <c r="N235" s="40"/>
      <c r="O235" s="41"/>
      <c r="P235" s="43" t="str">
        <f aca="false">IF(OR(B235="",N235=""),"",ROUND(((N235+N(O235))-(B235+N(C235)))*24,1))</f>
        <v/>
      </c>
      <c r="Q235" s="17"/>
      <c r="R235" s="17"/>
      <c r="S235" s="17"/>
      <c r="T235" s="17"/>
      <c r="U235" s="17"/>
      <c r="V235" s="17"/>
      <c r="W235" s="44" t="str">
        <f aca="false">IF(OR(E235="",COUNTA(Q235:V235)=0),"",SUMIFS(Settings!$AA$2:$AA$21,Settings!$Y$2:$Y$21,"Budget AED 5k+/mo?",Settings!$Z$2:$Z$21,Q235)+SUMIFS(Settings!$AA$2:$AA$21,Settings!$Y$2:$Y$21,"Decision-maker?",Settings!$Z$2:$Z$21,R235)+SUMIFS(Settings!$AA$2:$AA$21,Settings!$Y$2:$Y$21,"Someone on camera?",Settings!$Z$2:$Z$21,S235)+SUMIFS(Settings!$AA$2:$AA$21,Settings!$Y$2:$Y$21,"OK with 3-month term?",Settings!$Z$2:$Z$21,T235)+SUMIFS(Settings!$AA$2:$AA$21,Settings!$Y$2:$Y$21,"Start timeline",Settings!$Z$2:$Z$21,U235)+SUMIFS(Settings!$AA$2:$AA$21,Settings!$Y$2:$Y$21,"Social media gap",Settings!$Z$2:$Z$21,V235)+IF(F235="",0,IF(COUNTIF(Settings!$AC$2:$AC$6,F235)&gt;0,Settings!$AA$20,Settings!$AA$21)))</f>
        <v/>
      </c>
      <c r="X235" s="44" t="str">
        <f aca="false">IF(E235="","",IF(COUNTA(Q235:V235)=0,"Not scored",IF(COUNTA(Q235:V235)&lt;6,"Partly scored ("&amp;COUNTA(Q235:V235)&amp;"/6)",IF(W235&gt;=Settings!$S$8,"Hot",IF(W235&gt;=Settings!$S$9,"Warm","Cold")))))</f>
        <v/>
      </c>
      <c r="Y235" s="44" t="str">
        <f aca="false">IF(E235="","",IF(AND(Q235="No",S235="No"),"🚩 Budget  ·  🚩 No one on camera",IF(Q235="No","🚩 Budget under AED 5k",IF(S235="No","🚩 No one on camera",""))))</f>
        <v/>
      </c>
      <c r="Z235" s="17"/>
      <c r="AA235" s="17"/>
      <c r="AB235" s="40"/>
      <c r="AC235" s="17"/>
      <c r="AD235" s="45" t="str">
        <f aca="false">IF(OR(E235="",AB235="",OR(AA235="Contract signed + paid",AA235="Closed – No response",AA235="Lost"),N(AC235)&gt;=Settings!$S$3),"",AB235+Settings!$S$2)</f>
        <v/>
      </c>
      <c r="AE235" s="40"/>
      <c r="AF235" s="41"/>
      <c r="AG235" s="17"/>
      <c r="AH235" s="17"/>
      <c r="AI235" s="17"/>
      <c r="AJ235" s="46" t="str">
        <f aca="true">IF(OR(E235="",B235=""),"",INT(TODAY()-B235))</f>
        <v/>
      </c>
      <c r="AK235" s="44" t="str">
        <f aca="true">IF(E235="","",IF(OR(COUNTIFS(Clients!$C$2:$C$501,E235,Clients!$S$2:$S$501,"Paid")&gt;0,AND(I235&lt;&gt;"",COUNTIFS(Clients!$E$2:$E$501,I235,Clients!$S$2:$S$501,"Paid")&gt;0)),"⚠ Refunded before – no free video",IF(OR(AA235="Contract signed + paid",AA235="Closed – No response",AA235="Lost"),"",IF(AA235="","Set a stage",IF(AND(AA235="Proposal sent",COUNTA(Q235:V235)&lt;6),"Score this lead – proposal sent unscored",IF(N(AC235)&gt;=Settings!$S$3,"Close – 4 follow-ups sent",IF(AD235="",IF(AB235="","Make first contact",""),IF(TODAY()&gt;AD235,"OVERDUE follow-up",IF(TODAY()=AD235,"Follow up today","")))))))))</f>
        <v/>
      </c>
    </row>
    <row r="236" customFormat="false" ht="15" hidden="false" customHeight="false" outlineLevel="0" collapsed="false">
      <c r="A236" s="17"/>
      <c r="B236" s="40"/>
      <c r="C236" s="41"/>
      <c r="D236" s="17"/>
      <c r="E236" s="17"/>
      <c r="F236" s="17"/>
      <c r="G236" s="17"/>
      <c r="H236" s="17"/>
      <c r="I236" s="42"/>
      <c r="J236" s="17"/>
      <c r="K236" s="17"/>
      <c r="L236" s="17"/>
      <c r="M236" s="17"/>
      <c r="N236" s="40"/>
      <c r="O236" s="41"/>
      <c r="P236" s="43" t="str">
        <f aca="false">IF(OR(B236="",N236=""),"",ROUND(((N236+N(O236))-(B236+N(C236)))*24,1))</f>
        <v/>
      </c>
      <c r="Q236" s="17"/>
      <c r="R236" s="17"/>
      <c r="S236" s="17"/>
      <c r="T236" s="17"/>
      <c r="U236" s="17"/>
      <c r="V236" s="17"/>
      <c r="W236" s="44" t="str">
        <f aca="false">IF(OR(E236="",COUNTA(Q236:V236)=0),"",SUMIFS(Settings!$AA$2:$AA$21,Settings!$Y$2:$Y$21,"Budget AED 5k+/mo?",Settings!$Z$2:$Z$21,Q236)+SUMIFS(Settings!$AA$2:$AA$21,Settings!$Y$2:$Y$21,"Decision-maker?",Settings!$Z$2:$Z$21,R236)+SUMIFS(Settings!$AA$2:$AA$21,Settings!$Y$2:$Y$21,"Someone on camera?",Settings!$Z$2:$Z$21,S236)+SUMIFS(Settings!$AA$2:$AA$21,Settings!$Y$2:$Y$21,"OK with 3-month term?",Settings!$Z$2:$Z$21,T236)+SUMIFS(Settings!$AA$2:$AA$21,Settings!$Y$2:$Y$21,"Start timeline",Settings!$Z$2:$Z$21,U236)+SUMIFS(Settings!$AA$2:$AA$21,Settings!$Y$2:$Y$21,"Social media gap",Settings!$Z$2:$Z$21,V236)+IF(F236="",0,IF(COUNTIF(Settings!$AC$2:$AC$6,F236)&gt;0,Settings!$AA$20,Settings!$AA$21)))</f>
        <v/>
      </c>
      <c r="X236" s="44" t="str">
        <f aca="false">IF(E236="","",IF(COUNTA(Q236:V236)=0,"Not scored",IF(COUNTA(Q236:V236)&lt;6,"Partly scored ("&amp;COUNTA(Q236:V236)&amp;"/6)",IF(W236&gt;=Settings!$S$8,"Hot",IF(W236&gt;=Settings!$S$9,"Warm","Cold")))))</f>
        <v/>
      </c>
      <c r="Y236" s="44" t="str">
        <f aca="false">IF(E236="","",IF(AND(Q236="No",S236="No"),"🚩 Budget  ·  🚩 No one on camera",IF(Q236="No","🚩 Budget under AED 5k",IF(S236="No","🚩 No one on camera",""))))</f>
        <v/>
      </c>
      <c r="Z236" s="17"/>
      <c r="AA236" s="17"/>
      <c r="AB236" s="40"/>
      <c r="AC236" s="17"/>
      <c r="AD236" s="45" t="str">
        <f aca="false">IF(OR(E236="",AB236="",OR(AA236="Contract signed + paid",AA236="Closed – No response",AA236="Lost"),N(AC236)&gt;=Settings!$S$3),"",AB236+Settings!$S$2)</f>
        <v/>
      </c>
      <c r="AE236" s="40"/>
      <c r="AF236" s="41"/>
      <c r="AG236" s="17"/>
      <c r="AH236" s="17"/>
      <c r="AI236" s="17"/>
      <c r="AJ236" s="46" t="str">
        <f aca="true">IF(OR(E236="",B236=""),"",INT(TODAY()-B236))</f>
        <v/>
      </c>
      <c r="AK236" s="44" t="str">
        <f aca="true">IF(E236="","",IF(OR(COUNTIFS(Clients!$C$2:$C$501,E236,Clients!$S$2:$S$501,"Paid")&gt;0,AND(I236&lt;&gt;"",COUNTIFS(Clients!$E$2:$E$501,I236,Clients!$S$2:$S$501,"Paid")&gt;0)),"⚠ Refunded before – no free video",IF(OR(AA236="Contract signed + paid",AA236="Closed – No response",AA236="Lost"),"",IF(AA236="","Set a stage",IF(AND(AA236="Proposal sent",COUNTA(Q236:V236)&lt;6),"Score this lead – proposal sent unscored",IF(N(AC236)&gt;=Settings!$S$3,"Close – 4 follow-ups sent",IF(AD236="",IF(AB236="","Make first contact",""),IF(TODAY()&gt;AD236,"OVERDUE follow-up",IF(TODAY()=AD236,"Follow up today","")))))))))</f>
        <v/>
      </c>
    </row>
    <row r="237" customFormat="false" ht="15" hidden="false" customHeight="false" outlineLevel="0" collapsed="false">
      <c r="A237" s="17"/>
      <c r="B237" s="40"/>
      <c r="C237" s="41"/>
      <c r="D237" s="17"/>
      <c r="E237" s="17"/>
      <c r="F237" s="17"/>
      <c r="G237" s="17"/>
      <c r="H237" s="17"/>
      <c r="I237" s="42"/>
      <c r="J237" s="17"/>
      <c r="K237" s="17"/>
      <c r="L237" s="17"/>
      <c r="M237" s="17"/>
      <c r="N237" s="40"/>
      <c r="O237" s="41"/>
      <c r="P237" s="43" t="str">
        <f aca="false">IF(OR(B237="",N237=""),"",ROUND(((N237+N(O237))-(B237+N(C237)))*24,1))</f>
        <v/>
      </c>
      <c r="Q237" s="17"/>
      <c r="R237" s="17"/>
      <c r="S237" s="17"/>
      <c r="T237" s="17"/>
      <c r="U237" s="17"/>
      <c r="V237" s="17"/>
      <c r="W237" s="44" t="str">
        <f aca="false">IF(OR(E237="",COUNTA(Q237:V237)=0),"",SUMIFS(Settings!$AA$2:$AA$21,Settings!$Y$2:$Y$21,"Budget AED 5k+/mo?",Settings!$Z$2:$Z$21,Q237)+SUMIFS(Settings!$AA$2:$AA$21,Settings!$Y$2:$Y$21,"Decision-maker?",Settings!$Z$2:$Z$21,R237)+SUMIFS(Settings!$AA$2:$AA$21,Settings!$Y$2:$Y$21,"Someone on camera?",Settings!$Z$2:$Z$21,S237)+SUMIFS(Settings!$AA$2:$AA$21,Settings!$Y$2:$Y$21,"OK with 3-month term?",Settings!$Z$2:$Z$21,T237)+SUMIFS(Settings!$AA$2:$AA$21,Settings!$Y$2:$Y$21,"Start timeline",Settings!$Z$2:$Z$21,U237)+SUMIFS(Settings!$AA$2:$AA$21,Settings!$Y$2:$Y$21,"Social media gap",Settings!$Z$2:$Z$21,V237)+IF(F237="",0,IF(COUNTIF(Settings!$AC$2:$AC$6,F237)&gt;0,Settings!$AA$20,Settings!$AA$21)))</f>
        <v/>
      </c>
      <c r="X237" s="44" t="str">
        <f aca="false">IF(E237="","",IF(COUNTA(Q237:V237)=0,"Not scored",IF(COUNTA(Q237:V237)&lt;6,"Partly scored ("&amp;COUNTA(Q237:V237)&amp;"/6)",IF(W237&gt;=Settings!$S$8,"Hot",IF(W237&gt;=Settings!$S$9,"Warm","Cold")))))</f>
        <v/>
      </c>
      <c r="Y237" s="44" t="str">
        <f aca="false">IF(E237="","",IF(AND(Q237="No",S237="No"),"🚩 Budget  ·  🚩 No one on camera",IF(Q237="No","🚩 Budget under AED 5k",IF(S237="No","🚩 No one on camera",""))))</f>
        <v/>
      </c>
      <c r="Z237" s="17"/>
      <c r="AA237" s="17"/>
      <c r="AB237" s="40"/>
      <c r="AC237" s="17"/>
      <c r="AD237" s="45" t="str">
        <f aca="false">IF(OR(E237="",AB237="",OR(AA237="Contract signed + paid",AA237="Closed – No response",AA237="Lost"),N(AC237)&gt;=Settings!$S$3),"",AB237+Settings!$S$2)</f>
        <v/>
      </c>
      <c r="AE237" s="40"/>
      <c r="AF237" s="41"/>
      <c r="AG237" s="17"/>
      <c r="AH237" s="17"/>
      <c r="AI237" s="17"/>
      <c r="AJ237" s="46" t="str">
        <f aca="true">IF(OR(E237="",B237=""),"",INT(TODAY()-B237))</f>
        <v/>
      </c>
      <c r="AK237" s="44" t="str">
        <f aca="true">IF(E237="","",IF(OR(COUNTIFS(Clients!$C$2:$C$501,E237,Clients!$S$2:$S$501,"Paid")&gt;0,AND(I237&lt;&gt;"",COUNTIFS(Clients!$E$2:$E$501,I237,Clients!$S$2:$S$501,"Paid")&gt;0)),"⚠ Refunded before – no free video",IF(OR(AA237="Contract signed + paid",AA237="Closed – No response",AA237="Lost"),"",IF(AA237="","Set a stage",IF(AND(AA237="Proposal sent",COUNTA(Q237:V237)&lt;6),"Score this lead – proposal sent unscored",IF(N(AC237)&gt;=Settings!$S$3,"Close – 4 follow-ups sent",IF(AD237="",IF(AB237="","Make first contact",""),IF(TODAY()&gt;AD237,"OVERDUE follow-up",IF(TODAY()=AD237,"Follow up today","")))))))))</f>
        <v/>
      </c>
    </row>
    <row r="238" customFormat="false" ht="15" hidden="false" customHeight="false" outlineLevel="0" collapsed="false">
      <c r="A238" s="17"/>
      <c r="B238" s="40"/>
      <c r="C238" s="41"/>
      <c r="D238" s="17"/>
      <c r="E238" s="17"/>
      <c r="F238" s="17"/>
      <c r="G238" s="17"/>
      <c r="H238" s="17"/>
      <c r="I238" s="42"/>
      <c r="J238" s="17"/>
      <c r="K238" s="17"/>
      <c r="L238" s="17"/>
      <c r="M238" s="17"/>
      <c r="N238" s="40"/>
      <c r="O238" s="41"/>
      <c r="P238" s="43" t="str">
        <f aca="false">IF(OR(B238="",N238=""),"",ROUND(((N238+N(O238))-(B238+N(C238)))*24,1))</f>
        <v/>
      </c>
      <c r="Q238" s="17"/>
      <c r="R238" s="17"/>
      <c r="S238" s="17"/>
      <c r="T238" s="17"/>
      <c r="U238" s="17"/>
      <c r="V238" s="17"/>
      <c r="W238" s="44" t="str">
        <f aca="false">IF(OR(E238="",COUNTA(Q238:V238)=0),"",SUMIFS(Settings!$AA$2:$AA$21,Settings!$Y$2:$Y$21,"Budget AED 5k+/mo?",Settings!$Z$2:$Z$21,Q238)+SUMIFS(Settings!$AA$2:$AA$21,Settings!$Y$2:$Y$21,"Decision-maker?",Settings!$Z$2:$Z$21,R238)+SUMIFS(Settings!$AA$2:$AA$21,Settings!$Y$2:$Y$21,"Someone on camera?",Settings!$Z$2:$Z$21,S238)+SUMIFS(Settings!$AA$2:$AA$21,Settings!$Y$2:$Y$21,"OK with 3-month term?",Settings!$Z$2:$Z$21,T238)+SUMIFS(Settings!$AA$2:$AA$21,Settings!$Y$2:$Y$21,"Start timeline",Settings!$Z$2:$Z$21,U238)+SUMIFS(Settings!$AA$2:$AA$21,Settings!$Y$2:$Y$21,"Social media gap",Settings!$Z$2:$Z$21,V238)+IF(F238="",0,IF(COUNTIF(Settings!$AC$2:$AC$6,F238)&gt;0,Settings!$AA$20,Settings!$AA$21)))</f>
        <v/>
      </c>
      <c r="X238" s="44" t="str">
        <f aca="false">IF(E238="","",IF(COUNTA(Q238:V238)=0,"Not scored",IF(COUNTA(Q238:V238)&lt;6,"Partly scored ("&amp;COUNTA(Q238:V238)&amp;"/6)",IF(W238&gt;=Settings!$S$8,"Hot",IF(W238&gt;=Settings!$S$9,"Warm","Cold")))))</f>
        <v/>
      </c>
      <c r="Y238" s="44" t="str">
        <f aca="false">IF(E238="","",IF(AND(Q238="No",S238="No"),"🚩 Budget  ·  🚩 No one on camera",IF(Q238="No","🚩 Budget under AED 5k",IF(S238="No","🚩 No one on camera",""))))</f>
        <v/>
      </c>
      <c r="Z238" s="17"/>
      <c r="AA238" s="17"/>
      <c r="AB238" s="40"/>
      <c r="AC238" s="17"/>
      <c r="AD238" s="45" t="str">
        <f aca="false">IF(OR(E238="",AB238="",OR(AA238="Contract signed + paid",AA238="Closed – No response",AA238="Lost"),N(AC238)&gt;=Settings!$S$3),"",AB238+Settings!$S$2)</f>
        <v/>
      </c>
      <c r="AE238" s="40"/>
      <c r="AF238" s="41"/>
      <c r="AG238" s="17"/>
      <c r="AH238" s="17"/>
      <c r="AI238" s="17"/>
      <c r="AJ238" s="46" t="str">
        <f aca="true">IF(OR(E238="",B238=""),"",INT(TODAY()-B238))</f>
        <v/>
      </c>
      <c r="AK238" s="44" t="str">
        <f aca="true">IF(E238="","",IF(OR(COUNTIFS(Clients!$C$2:$C$501,E238,Clients!$S$2:$S$501,"Paid")&gt;0,AND(I238&lt;&gt;"",COUNTIFS(Clients!$E$2:$E$501,I238,Clients!$S$2:$S$501,"Paid")&gt;0)),"⚠ Refunded before – no free video",IF(OR(AA238="Contract signed + paid",AA238="Closed – No response",AA238="Lost"),"",IF(AA238="","Set a stage",IF(AND(AA238="Proposal sent",COUNTA(Q238:V238)&lt;6),"Score this lead – proposal sent unscored",IF(N(AC238)&gt;=Settings!$S$3,"Close – 4 follow-ups sent",IF(AD238="",IF(AB238="","Make first contact",""),IF(TODAY()&gt;AD238,"OVERDUE follow-up",IF(TODAY()=AD238,"Follow up today","")))))))))</f>
        <v/>
      </c>
    </row>
    <row r="239" customFormat="false" ht="15" hidden="false" customHeight="false" outlineLevel="0" collapsed="false">
      <c r="A239" s="17"/>
      <c r="B239" s="40"/>
      <c r="C239" s="41"/>
      <c r="D239" s="17"/>
      <c r="E239" s="17"/>
      <c r="F239" s="17"/>
      <c r="G239" s="17"/>
      <c r="H239" s="17"/>
      <c r="I239" s="42"/>
      <c r="J239" s="17"/>
      <c r="K239" s="17"/>
      <c r="L239" s="17"/>
      <c r="M239" s="17"/>
      <c r="N239" s="40"/>
      <c r="O239" s="41"/>
      <c r="P239" s="43" t="str">
        <f aca="false">IF(OR(B239="",N239=""),"",ROUND(((N239+N(O239))-(B239+N(C239)))*24,1))</f>
        <v/>
      </c>
      <c r="Q239" s="17"/>
      <c r="R239" s="17"/>
      <c r="S239" s="17"/>
      <c r="T239" s="17"/>
      <c r="U239" s="17"/>
      <c r="V239" s="17"/>
      <c r="W239" s="44" t="str">
        <f aca="false">IF(OR(E239="",COUNTA(Q239:V239)=0),"",SUMIFS(Settings!$AA$2:$AA$21,Settings!$Y$2:$Y$21,"Budget AED 5k+/mo?",Settings!$Z$2:$Z$21,Q239)+SUMIFS(Settings!$AA$2:$AA$21,Settings!$Y$2:$Y$21,"Decision-maker?",Settings!$Z$2:$Z$21,R239)+SUMIFS(Settings!$AA$2:$AA$21,Settings!$Y$2:$Y$21,"Someone on camera?",Settings!$Z$2:$Z$21,S239)+SUMIFS(Settings!$AA$2:$AA$21,Settings!$Y$2:$Y$21,"OK with 3-month term?",Settings!$Z$2:$Z$21,T239)+SUMIFS(Settings!$AA$2:$AA$21,Settings!$Y$2:$Y$21,"Start timeline",Settings!$Z$2:$Z$21,U239)+SUMIFS(Settings!$AA$2:$AA$21,Settings!$Y$2:$Y$21,"Social media gap",Settings!$Z$2:$Z$21,V239)+IF(F239="",0,IF(COUNTIF(Settings!$AC$2:$AC$6,F239)&gt;0,Settings!$AA$20,Settings!$AA$21)))</f>
        <v/>
      </c>
      <c r="X239" s="44" t="str">
        <f aca="false">IF(E239="","",IF(COUNTA(Q239:V239)=0,"Not scored",IF(COUNTA(Q239:V239)&lt;6,"Partly scored ("&amp;COUNTA(Q239:V239)&amp;"/6)",IF(W239&gt;=Settings!$S$8,"Hot",IF(W239&gt;=Settings!$S$9,"Warm","Cold")))))</f>
        <v/>
      </c>
      <c r="Y239" s="44" t="str">
        <f aca="false">IF(E239="","",IF(AND(Q239="No",S239="No"),"🚩 Budget  ·  🚩 No one on camera",IF(Q239="No","🚩 Budget under AED 5k",IF(S239="No","🚩 No one on camera",""))))</f>
        <v/>
      </c>
      <c r="Z239" s="17"/>
      <c r="AA239" s="17"/>
      <c r="AB239" s="40"/>
      <c r="AC239" s="17"/>
      <c r="AD239" s="45" t="str">
        <f aca="false">IF(OR(E239="",AB239="",OR(AA239="Contract signed + paid",AA239="Closed – No response",AA239="Lost"),N(AC239)&gt;=Settings!$S$3),"",AB239+Settings!$S$2)</f>
        <v/>
      </c>
      <c r="AE239" s="40"/>
      <c r="AF239" s="41"/>
      <c r="AG239" s="17"/>
      <c r="AH239" s="17"/>
      <c r="AI239" s="17"/>
      <c r="AJ239" s="46" t="str">
        <f aca="true">IF(OR(E239="",B239=""),"",INT(TODAY()-B239))</f>
        <v/>
      </c>
      <c r="AK239" s="44" t="str">
        <f aca="true">IF(E239="","",IF(OR(COUNTIFS(Clients!$C$2:$C$501,E239,Clients!$S$2:$S$501,"Paid")&gt;0,AND(I239&lt;&gt;"",COUNTIFS(Clients!$E$2:$E$501,I239,Clients!$S$2:$S$501,"Paid")&gt;0)),"⚠ Refunded before – no free video",IF(OR(AA239="Contract signed + paid",AA239="Closed – No response",AA239="Lost"),"",IF(AA239="","Set a stage",IF(AND(AA239="Proposal sent",COUNTA(Q239:V239)&lt;6),"Score this lead – proposal sent unscored",IF(N(AC239)&gt;=Settings!$S$3,"Close – 4 follow-ups sent",IF(AD239="",IF(AB239="","Make first contact",""),IF(TODAY()&gt;AD239,"OVERDUE follow-up",IF(TODAY()=AD239,"Follow up today","")))))))))</f>
        <v/>
      </c>
    </row>
    <row r="240" customFormat="false" ht="15" hidden="false" customHeight="false" outlineLevel="0" collapsed="false">
      <c r="A240" s="17"/>
      <c r="B240" s="40"/>
      <c r="C240" s="41"/>
      <c r="D240" s="17"/>
      <c r="E240" s="17"/>
      <c r="F240" s="17"/>
      <c r="G240" s="17"/>
      <c r="H240" s="17"/>
      <c r="I240" s="42"/>
      <c r="J240" s="17"/>
      <c r="K240" s="17"/>
      <c r="L240" s="17"/>
      <c r="M240" s="17"/>
      <c r="N240" s="40"/>
      <c r="O240" s="41"/>
      <c r="P240" s="43" t="str">
        <f aca="false">IF(OR(B240="",N240=""),"",ROUND(((N240+N(O240))-(B240+N(C240)))*24,1))</f>
        <v/>
      </c>
      <c r="Q240" s="17"/>
      <c r="R240" s="17"/>
      <c r="S240" s="17"/>
      <c r="T240" s="17"/>
      <c r="U240" s="17"/>
      <c r="V240" s="17"/>
      <c r="W240" s="44" t="str">
        <f aca="false">IF(OR(E240="",COUNTA(Q240:V240)=0),"",SUMIFS(Settings!$AA$2:$AA$21,Settings!$Y$2:$Y$21,"Budget AED 5k+/mo?",Settings!$Z$2:$Z$21,Q240)+SUMIFS(Settings!$AA$2:$AA$21,Settings!$Y$2:$Y$21,"Decision-maker?",Settings!$Z$2:$Z$21,R240)+SUMIFS(Settings!$AA$2:$AA$21,Settings!$Y$2:$Y$21,"Someone on camera?",Settings!$Z$2:$Z$21,S240)+SUMIFS(Settings!$AA$2:$AA$21,Settings!$Y$2:$Y$21,"OK with 3-month term?",Settings!$Z$2:$Z$21,T240)+SUMIFS(Settings!$AA$2:$AA$21,Settings!$Y$2:$Y$21,"Start timeline",Settings!$Z$2:$Z$21,U240)+SUMIFS(Settings!$AA$2:$AA$21,Settings!$Y$2:$Y$21,"Social media gap",Settings!$Z$2:$Z$21,V240)+IF(F240="",0,IF(COUNTIF(Settings!$AC$2:$AC$6,F240)&gt;0,Settings!$AA$20,Settings!$AA$21)))</f>
        <v/>
      </c>
      <c r="X240" s="44" t="str">
        <f aca="false">IF(E240="","",IF(COUNTA(Q240:V240)=0,"Not scored",IF(COUNTA(Q240:V240)&lt;6,"Partly scored ("&amp;COUNTA(Q240:V240)&amp;"/6)",IF(W240&gt;=Settings!$S$8,"Hot",IF(W240&gt;=Settings!$S$9,"Warm","Cold")))))</f>
        <v/>
      </c>
      <c r="Y240" s="44" t="str">
        <f aca="false">IF(E240="","",IF(AND(Q240="No",S240="No"),"🚩 Budget  ·  🚩 No one on camera",IF(Q240="No","🚩 Budget under AED 5k",IF(S240="No","🚩 No one on camera",""))))</f>
        <v/>
      </c>
      <c r="Z240" s="17"/>
      <c r="AA240" s="17"/>
      <c r="AB240" s="40"/>
      <c r="AC240" s="17"/>
      <c r="AD240" s="45" t="str">
        <f aca="false">IF(OR(E240="",AB240="",OR(AA240="Contract signed + paid",AA240="Closed – No response",AA240="Lost"),N(AC240)&gt;=Settings!$S$3),"",AB240+Settings!$S$2)</f>
        <v/>
      </c>
      <c r="AE240" s="40"/>
      <c r="AF240" s="41"/>
      <c r="AG240" s="17"/>
      <c r="AH240" s="17"/>
      <c r="AI240" s="17"/>
      <c r="AJ240" s="46" t="str">
        <f aca="true">IF(OR(E240="",B240=""),"",INT(TODAY()-B240))</f>
        <v/>
      </c>
      <c r="AK240" s="44" t="str">
        <f aca="true">IF(E240="","",IF(OR(COUNTIFS(Clients!$C$2:$C$501,E240,Clients!$S$2:$S$501,"Paid")&gt;0,AND(I240&lt;&gt;"",COUNTIFS(Clients!$E$2:$E$501,I240,Clients!$S$2:$S$501,"Paid")&gt;0)),"⚠ Refunded before – no free video",IF(OR(AA240="Contract signed + paid",AA240="Closed – No response",AA240="Lost"),"",IF(AA240="","Set a stage",IF(AND(AA240="Proposal sent",COUNTA(Q240:V240)&lt;6),"Score this lead – proposal sent unscored",IF(N(AC240)&gt;=Settings!$S$3,"Close – 4 follow-ups sent",IF(AD240="",IF(AB240="","Make first contact",""),IF(TODAY()&gt;AD240,"OVERDUE follow-up",IF(TODAY()=AD240,"Follow up today","")))))))))</f>
        <v/>
      </c>
    </row>
    <row r="241" customFormat="false" ht="15" hidden="false" customHeight="false" outlineLevel="0" collapsed="false">
      <c r="A241" s="17"/>
      <c r="B241" s="40"/>
      <c r="C241" s="41"/>
      <c r="D241" s="17"/>
      <c r="E241" s="17"/>
      <c r="F241" s="17"/>
      <c r="G241" s="17"/>
      <c r="H241" s="17"/>
      <c r="I241" s="42"/>
      <c r="J241" s="17"/>
      <c r="K241" s="17"/>
      <c r="L241" s="17"/>
      <c r="M241" s="17"/>
      <c r="N241" s="40"/>
      <c r="O241" s="41"/>
      <c r="P241" s="43" t="str">
        <f aca="false">IF(OR(B241="",N241=""),"",ROUND(((N241+N(O241))-(B241+N(C241)))*24,1))</f>
        <v/>
      </c>
      <c r="Q241" s="17"/>
      <c r="R241" s="17"/>
      <c r="S241" s="17"/>
      <c r="T241" s="17"/>
      <c r="U241" s="17"/>
      <c r="V241" s="17"/>
      <c r="W241" s="44" t="str">
        <f aca="false">IF(OR(E241="",COUNTA(Q241:V241)=0),"",SUMIFS(Settings!$AA$2:$AA$21,Settings!$Y$2:$Y$21,"Budget AED 5k+/mo?",Settings!$Z$2:$Z$21,Q241)+SUMIFS(Settings!$AA$2:$AA$21,Settings!$Y$2:$Y$21,"Decision-maker?",Settings!$Z$2:$Z$21,R241)+SUMIFS(Settings!$AA$2:$AA$21,Settings!$Y$2:$Y$21,"Someone on camera?",Settings!$Z$2:$Z$21,S241)+SUMIFS(Settings!$AA$2:$AA$21,Settings!$Y$2:$Y$21,"OK with 3-month term?",Settings!$Z$2:$Z$21,T241)+SUMIFS(Settings!$AA$2:$AA$21,Settings!$Y$2:$Y$21,"Start timeline",Settings!$Z$2:$Z$21,U241)+SUMIFS(Settings!$AA$2:$AA$21,Settings!$Y$2:$Y$21,"Social media gap",Settings!$Z$2:$Z$21,V241)+IF(F241="",0,IF(COUNTIF(Settings!$AC$2:$AC$6,F241)&gt;0,Settings!$AA$20,Settings!$AA$21)))</f>
        <v/>
      </c>
      <c r="X241" s="44" t="str">
        <f aca="false">IF(E241="","",IF(COUNTA(Q241:V241)=0,"Not scored",IF(COUNTA(Q241:V241)&lt;6,"Partly scored ("&amp;COUNTA(Q241:V241)&amp;"/6)",IF(W241&gt;=Settings!$S$8,"Hot",IF(W241&gt;=Settings!$S$9,"Warm","Cold")))))</f>
        <v/>
      </c>
      <c r="Y241" s="44" t="str">
        <f aca="false">IF(E241="","",IF(AND(Q241="No",S241="No"),"🚩 Budget  ·  🚩 No one on camera",IF(Q241="No","🚩 Budget under AED 5k",IF(S241="No","🚩 No one on camera",""))))</f>
        <v/>
      </c>
      <c r="Z241" s="17"/>
      <c r="AA241" s="17"/>
      <c r="AB241" s="40"/>
      <c r="AC241" s="17"/>
      <c r="AD241" s="45" t="str">
        <f aca="false">IF(OR(E241="",AB241="",OR(AA241="Contract signed + paid",AA241="Closed – No response",AA241="Lost"),N(AC241)&gt;=Settings!$S$3),"",AB241+Settings!$S$2)</f>
        <v/>
      </c>
      <c r="AE241" s="40"/>
      <c r="AF241" s="41"/>
      <c r="AG241" s="17"/>
      <c r="AH241" s="17"/>
      <c r="AI241" s="17"/>
      <c r="AJ241" s="46" t="str">
        <f aca="true">IF(OR(E241="",B241=""),"",INT(TODAY()-B241))</f>
        <v/>
      </c>
      <c r="AK241" s="44" t="str">
        <f aca="true">IF(E241="","",IF(OR(COUNTIFS(Clients!$C$2:$C$501,E241,Clients!$S$2:$S$501,"Paid")&gt;0,AND(I241&lt;&gt;"",COUNTIFS(Clients!$E$2:$E$501,I241,Clients!$S$2:$S$501,"Paid")&gt;0)),"⚠ Refunded before – no free video",IF(OR(AA241="Contract signed + paid",AA241="Closed – No response",AA241="Lost"),"",IF(AA241="","Set a stage",IF(AND(AA241="Proposal sent",COUNTA(Q241:V241)&lt;6),"Score this lead – proposal sent unscored",IF(N(AC241)&gt;=Settings!$S$3,"Close – 4 follow-ups sent",IF(AD241="",IF(AB241="","Make first contact",""),IF(TODAY()&gt;AD241,"OVERDUE follow-up",IF(TODAY()=AD241,"Follow up today","")))))))))</f>
        <v/>
      </c>
    </row>
    <row r="242" customFormat="false" ht="15" hidden="false" customHeight="false" outlineLevel="0" collapsed="false">
      <c r="A242" s="17"/>
      <c r="B242" s="40"/>
      <c r="C242" s="41"/>
      <c r="D242" s="17"/>
      <c r="E242" s="17"/>
      <c r="F242" s="17"/>
      <c r="G242" s="17"/>
      <c r="H242" s="17"/>
      <c r="I242" s="42"/>
      <c r="J242" s="17"/>
      <c r="K242" s="17"/>
      <c r="L242" s="17"/>
      <c r="M242" s="17"/>
      <c r="N242" s="40"/>
      <c r="O242" s="41"/>
      <c r="P242" s="43" t="str">
        <f aca="false">IF(OR(B242="",N242=""),"",ROUND(((N242+N(O242))-(B242+N(C242)))*24,1))</f>
        <v/>
      </c>
      <c r="Q242" s="17"/>
      <c r="R242" s="17"/>
      <c r="S242" s="17"/>
      <c r="T242" s="17"/>
      <c r="U242" s="17"/>
      <c r="V242" s="17"/>
      <c r="W242" s="44" t="str">
        <f aca="false">IF(OR(E242="",COUNTA(Q242:V242)=0),"",SUMIFS(Settings!$AA$2:$AA$21,Settings!$Y$2:$Y$21,"Budget AED 5k+/mo?",Settings!$Z$2:$Z$21,Q242)+SUMIFS(Settings!$AA$2:$AA$21,Settings!$Y$2:$Y$21,"Decision-maker?",Settings!$Z$2:$Z$21,R242)+SUMIFS(Settings!$AA$2:$AA$21,Settings!$Y$2:$Y$21,"Someone on camera?",Settings!$Z$2:$Z$21,S242)+SUMIFS(Settings!$AA$2:$AA$21,Settings!$Y$2:$Y$21,"OK with 3-month term?",Settings!$Z$2:$Z$21,T242)+SUMIFS(Settings!$AA$2:$AA$21,Settings!$Y$2:$Y$21,"Start timeline",Settings!$Z$2:$Z$21,U242)+SUMIFS(Settings!$AA$2:$AA$21,Settings!$Y$2:$Y$21,"Social media gap",Settings!$Z$2:$Z$21,V242)+IF(F242="",0,IF(COUNTIF(Settings!$AC$2:$AC$6,F242)&gt;0,Settings!$AA$20,Settings!$AA$21)))</f>
        <v/>
      </c>
      <c r="X242" s="44" t="str">
        <f aca="false">IF(E242="","",IF(COUNTA(Q242:V242)=0,"Not scored",IF(COUNTA(Q242:V242)&lt;6,"Partly scored ("&amp;COUNTA(Q242:V242)&amp;"/6)",IF(W242&gt;=Settings!$S$8,"Hot",IF(W242&gt;=Settings!$S$9,"Warm","Cold")))))</f>
        <v/>
      </c>
      <c r="Y242" s="44" t="str">
        <f aca="false">IF(E242="","",IF(AND(Q242="No",S242="No"),"🚩 Budget  ·  🚩 No one on camera",IF(Q242="No","🚩 Budget under AED 5k",IF(S242="No","🚩 No one on camera",""))))</f>
        <v/>
      </c>
      <c r="Z242" s="17"/>
      <c r="AA242" s="17"/>
      <c r="AB242" s="40"/>
      <c r="AC242" s="17"/>
      <c r="AD242" s="45" t="str">
        <f aca="false">IF(OR(E242="",AB242="",OR(AA242="Contract signed + paid",AA242="Closed – No response",AA242="Lost"),N(AC242)&gt;=Settings!$S$3),"",AB242+Settings!$S$2)</f>
        <v/>
      </c>
      <c r="AE242" s="40"/>
      <c r="AF242" s="41"/>
      <c r="AG242" s="17"/>
      <c r="AH242" s="17"/>
      <c r="AI242" s="17"/>
      <c r="AJ242" s="46" t="str">
        <f aca="true">IF(OR(E242="",B242=""),"",INT(TODAY()-B242))</f>
        <v/>
      </c>
      <c r="AK242" s="44" t="str">
        <f aca="true">IF(E242="","",IF(OR(COUNTIFS(Clients!$C$2:$C$501,E242,Clients!$S$2:$S$501,"Paid")&gt;0,AND(I242&lt;&gt;"",COUNTIFS(Clients!$E$2:$E$501,I242,Clients!$S$2:$S$501,"Paid")&gt;0)),"⚠ Refunded before – no free video",IF(OR(AA242="Contract signed + paid",AA242="Closed – No response",AA242="Lost"),"",IF(AA242="","Set a stage",IF(AND(AA242="Proposal sent",COUNTA(Q242:V242)&lt;6),"Score this lead – proposal sent unscored",IF(N(AC242)&gt;=Settings!$S$3,"Close – 4 follow-ups sent",IF(AD242="",IF(AB242="","Make first contact",""),IF(TODAY()&gt;AD242,"OVERDUE follow-up",IF(TODAY()=AD242,"Follow up today","")))))))))</f>
        <v/>
      </c>
    </row>
    <row r="243" customFormat="false" ht="15" hidden="false" customHeight="false" outlineLevel="0" collapsed="false">
      <c r="A243" s="17"/>
      <c r="B243" s="40"/>
      <c r="C243" s="41"/>
      <c r="D243" s="17"/>
      <c r="E243" s="17"/>
      <c r="F243" s="17"/>
      <c r="G243" s="17"/>
      <c r="H243" s="17"/>
      <c r="I243" s="42"/>
      <c r="J243" s="17"/>
      <c r="K243" s="17"/>
      <c r="L243" s="17"/>
      <c r="M243" s="17"/>
      <c r="N243" s="40"/>
      <c r="O243" s="41"/>
      <c r="P243" s="43" t="str">
        <f aca="false">IF(OR(B243="",N243=""),"",ROUND(((N243+N(O243))-(B243+N(C243)))*24,1))</f>
        <v/>
      </c>
      <c r="Q243" s="17"/>
      <c r="R243" s="17"/>
      <c r="S243" s="17"/>
      <c r="T243" s="17"/>
      <c r="U243" s="17"/>
      <c r="V243" s="17"/>
      <c r="W243" s="44" t="str">
        <f aca="false">IF(OR(E243="",COUNTA(Q243:V243)=0),"",SUMIFS(Settings!$AA$2:$AA$21,Settings!$Y$2:$Y$21,"Budget AED 5k+/mo?",Settings!$Z$2:$Z$21,Q243)+SUMIFS(Settings!$AA$2:$AA$21,Settings!$Y$2:$Y$21,"Decision-maker?",Settings!$Z$2:$Z$21,R243)+SUMIFS(Settings!$AA$2:$AA$21,Settings!$Y$2:$Y$21,"Someone on camera?",Settings!$Z$2:$Z$21,S243)+SUMIFS(Settings!$AA$2:$AA$21,Settings!$Y$2:$Y$21,"OK with 3-month term?",Settings!$Z$2:$Z$21,T243)+SUMIFS(Settings!$AA$2:$AA$21,Settings!$Y$2:$Y$21,"Start timeline",Settings!$Z$2:$Z$21,U243)+SUMIFS(Settings!$AA$2:$AA$21,Settings!$Y$2:$Y$21,"Social media gap",Settings!$Z$2:$Z$21,V243)+IF(F243="",0,IF(COUNTIF(Settings!$AC$2:$AC$6,F243)&gt;0,Settings!$AA$20,Settings!$AA$21)))</f>
        <v/>
      </c>
      <c r="X243" s="44" t="str">
        <f aca="false">IF(E243="","",IF(COUNTA(Q243:V243)=0,"Not scored",IF(COUNTA(Q243:V243)&lt;6,"Partly scored ("&amp;COUNTA(Q243:V243)&amp;"/6)",IF(W243&gt;=Settings!$S$8,"Hot",IF(W243&gt;=Settings!$S$9,"Warm","Cold")))))</f>
        <v/>
      </c>
      <c r="Y243" s="44" t="str">
        <f aca="false">IF(E243="","",IF(AND(Q243="No",S243="No"),"🚩 Budget  ·  🚩 No one on camera",IF(Q243="No","🚩 Budget under AED 5k",IF(S243="No","🚩 No one on camera",""))))</f>
        <v/>
      </c>
      <c r="Z243" s="17"/>
      <c r="AA243" s="17"/>
      <c r="AB243" s="40"/>
      <c r="AC243" s="17"/>
      <c r="AD243" s="45" t="str">
        <f aca="false">IF(OR(E243="",AB243="",OR(AA243="Contract signed + paid",AA243="Closed – No response",AA243="Lost"),N(AC243)&gt;=Settings!$S$3),"",AB243+Settings!$S$2)</f>
        <v/>
      </c>
      <c r="AE243" s="40"/>
      <c r="AF243" s="41"/>
      <c r="AG243" s="17"/>
      <c r="AH243" s="17"/>
      <c r="AI243" s="17"/>
      <c r="AJ243" s="46" t="str">
        <f aca="true">IF(OR(E243="",B243=""),"",INT(TODAY()-B243))</f>
        <v/>
      </c>
      <c r="AK243" s="44" t="str">
        <f aca="true">IF(E243="","",IF(OR(COUNTIFS(Clients!$C$2:$C$501,E243,Clients!$S$2:$S$501,"Paid")&gt;0,AND(I243&lt;&gt;"",COUNTIFS(Clients!$E$2:$E$501,I243,Clients!$S$2:$S$501,"Paid")&gt;0)),"⚠ Refunded before – no free video",IF(OR(AA243="Contract signed + paid",AA243="Closed – No response",AA243="Lost"),"",IF(AA243="","Set a stage",IF(AND(AA243="Proposal sent",COUNTA(Q243:V243)&lt;6),"Score this lead – proposal sent unscored",IF(N(AC243)&gt;=Settings!$S$3,"Close – 4 follow-ups sent",IF(AD243="",IF(AB243="","Make first contact",""),IF(TODAY()&gt;AD243,"OVERDUE follow-up",IF(TODAY()=AD243,"Follow up today","")))))))))</f>
        <v/>
      </c>
    </row>
    <row r="244" customFormat="false" ht="15" hidden="false" customHeight="false" outlineLevel="0" collapsed="false">
      <c r="A244" s="17"/>
      <c r="B244" s="40"/>
      <c r="C244" s="41"/>
      <c r="D244" s="17"/>
      <c r="E244" s="17"/>
      <c r="F244" s="17"/>
      <c r="G244" s="17"/>
      <c r="H244" s="17"/>
      <c r="I244" s="42"/>
      <c r="J244" s="17"/>
      <c r="K244" s="17"/>
      <c r="L244" s="17"/>
      <c r="M244" s="17"/>
      <c r="N244" s="40"/>
      <c r="O244" s="41"/>
      <c r="P244" s="43" t="str">
        <f aca="false">IF(OR(B244="",N244=""),"",ROUND(((N244+N(O244))-(B244+N(C244)))*24,1))</f>
        <v/>
      </c>
      <c r="Q244" s="17"/>
      <c r="R244" s="17"/>
      <c r="S244" s="17"/>
      <c r="T244" s="17"/>
      <c r="U244" s="17"/>
      <c r="V244" s="17"/>
      <c r="W244" s="44" t="str">
        <f aca="false">IF(OR(E244="",COUNTA(Q244:V244)=0),"",SUMIFS(Settings!$AA$2:$AA$21,Settings!$Y$2:$Y$21,"Budget AED 5k+/mo?",Settings!$Z$2:$Z$21,Q244)+SUMIFS(Settings!$AA$2:$AA$21,Settings!$Y$2:$Y$21,"Decision-maker?",Settings!$Z$2:$Z$21,R244)+SUMIFS(Settings!$AA$2:$AA$21,Settings!$Y$2:$Y$21,"Someone on camera?",Settings!$Z$2:$Z$21,S244)+SUMIFS(Settings!$AA$2:$AA$21,Settings!$Y$2:$Y$21,"OK with 3-month term?",Settings!$Z$2:$Z$21,T244)+SUMIFS(Settings!$AA$2:$AA$21,Settings!$Y$2:$Y$21,"Start timeline",Settings!$Z$2:$Z$21,U244)+SUMIFS(Settings!$AA$2:$AA$21,Settings!$Y$2:$Y$21,"Social media gap",Settings!$Z$2:$Z$21,V244)+IF(F244="",0,IF(COUNTIF(Settings!$AC$2:$AC$6,F244)&gt;0,Settings!$AA$20,Settings!$AA$21)))</f>
        <v/>
      </c>
      <c r="X244" s="44" t="str">
        <f aca="false">IF(E244="","",IF(COUNTA(Q244:V244)=0,"Not scored",IF(COUNTA(Q244:V244)&lt;6,"Partly scored ("&amp;COUNTA(Q244:V244)&amp;"/6)",IF(W244&gt;=Settings!$S$8,"Hot",IF(W244&gt;=Settings!$S$9,"Warm","Cold")))))</f>
        <v/>
      </c>
      <c r="Y244" s="44" t="str">
        <f aca="false">IF(E244="","",IF(AND(Q244="No",S244="No"),"🚩 Budget  ·  🚩 No one on camera",IF(Q244="No","🚩 Budget under AED 5k",IF(S244="No","🚩 No one on camera",""))))</f>
        <v/>
      </c>
      <c r="Z244" s="17"/>
      <c r="AA244" s="17"/>
      <c r="AB244" s="40"/>
      <c r="AC244" s="17"/>
      <c r="AD244" s="45" t="str">
        <f aca="false">IF(OR(E244="",AB244="",OR(AA244="Contract signed + paid",AA244="Closed – No response",AA244="Lost"),N(AC244)&gt;=Settings!$S$3),"",AB244+Settings!$S$2)</f>
        <v/>
      </c>
      <c r="AE244" s="40"/>
      <c r="AF244" s="41"/>
      <c r="AG244" s="17"/>
      <c r="AH244" s="17"/>
      <c r="AI244" s="17"/>
      <c r="AJ244" s="46" t="str">
        <f aca="true">IF(OR(E244="",B244=""),"",INT(TODAY()-B244))</f>
        <v/>
      </c>
      <c r="AK244" s="44" t="str">
        <f aca="true">IF(E244="","",IF(OR(COUNTIFS(Clients!$C$2:$C$501,E244,Clients!$S$2:$S$501,"Paid")&gt;0,AND(I244&lt;&gt;"",COUNTIFS(Clients!$E$2:$E$501,I244,Clients!$S$2:$S$501,"Paid")&gt;0)),"⚠ Refunded before – no free video",IF(OR(AA244="Contract signed + paid",AA244="Closed – No response",AA244="Lost"),"",IF(AA244="","Set a stage",IF(AND(AA244="Proposal sent",COUNTA(Q244:V244)&lt;6),"Score this lead – proposal sent unscored",IF(N(AC244)&gt;=Settings!$S$3,"Close – 4 follow-ups sent",IF(AD244="",IF(AB244="","Make first contact",""),IF(TODAY()&gt;AD244,"OVERDUE follow-up",IF(TODAY()=AD244,"Follow up today","")))))))))</f>
        <v/>
      </c>
    </row>
    <row r="245" customFormat="false" ht="15" hidden="false" customHeight="false" outlineLevel="0" collapsed="false">
      <c r="A245" s="17"/>
      <c r="B245" s="40"/>
      <c r="C245" s="41"/>
      <c r="D245" s="17"/>
      <c r="E245" s="17"/>
      <c r="F245" s="17"/>
      <c r="G245" s="17"/>
      <c r="H245" s="17"/>
      <c r="I245" s="42"/>
      <c r="J245" s="17"/>
      <c r="K245" s="17"/>
      <c r="L245" s="17"/>
      <c r="M245" s="17"/>
      <c r="N245" s="40"/>
      <c r="O245" s="41"/>
      <c r="P245" s="43" t="str">
        <f aca="false">IF(OR(B245="",N245=""),"",ROUND(((N245+N(O245))-(B245+N(C245)))*24,1))</f>
        <v/>
      </c>
      <c r="Q245" s="17"/>
      <c r="R245" s="17"/>
      <c r="S245" s="17"/>
      <c r="T245" s="17"/>
      <c r="U245" s="17"/>
      <c r="V245" s="17"/>
      <c r="W245" s="44" t="str">
        <f aca="false">IF(OR(E245="",COUNTA(Q245:V245)=0),"",SUMIFS(Settings!$AA$2:$AA$21,Settings!$Y$2:$Y$21,"Budget AED 5k+/mo?",Settings!$Z$2:$Z$21,Q245)+SUMIFS(Settings!$AA$2:$AA$21,Settings!$Y$2:$Y$21,"Decision-maker?",Settings!$Z$2:$Z$21,R245)+SUMIFS(Settings!$AA$2:$AA$21,Settings!$Y$2:$Y$21,"Someone on camera?",Settings!$Z$2:$Z$21,S245)+SUMIFS(Settings!$AA$2:$AA$21,Settings!$Y$2:$Y$21,"OK with 3-month term?",Settings!$Z$2:$Z$21,T245)+SUMIFS(Settings!$AA$2:$AA$21,Settings!$Y$2:$Y$21,"Start timeline",Settings!$Z$2:$Z$21,U245)+SUMIFS(Settings!$AA$2:$AA$21,Settings!$Y$2:$Y$21,"Social media gap",Settings!$Z$2:$Z$21,V245)+IF(F245="",0,IF(COUNTIF(Settings!$AC$2:$AC$6,F245)&gt;0,Settings!$AA$20,Settings!$AA$21)))</f>
        <v/>
      </c>
      <c r="X245" s="44" t="str">
        <f aca="false">IF(E245="","",IF(COUNTA(Q245:V245)=0,"Not scored",IF(COUNTA(Q245:V245)&lt;6,"Partly scored ("&amp;COUNTA(Q245:V245)&amp;"/6)",IF(W245&gt;=Settings!$S$8,"Hot",IF(W245&gt;=Settings!$S$9,"Warm","Cold")))))</f>
        <v/>
      </c>
      <c r="Y245" s="44" t="str">
        <f aca="false">IF(E245="","",IF(AND(Q245="No",S245="No"),"🚩 Budget  ·  🚩 No one on camera",IF(Q245="No","🚩 Budget under AED 5k",IF(S245="No","🚩 No one on camera",""))))</f>
        <v/>
      </c>
      <c r="Z245" s="17"/>
      <c r="AA245" s="17"/>
      <c r="AB245" s="40"/>
      <c r="AC245" s="17"/>
      <c r="AD245" s="45" t="str">
        <f aca="false">IF(OR(E245="",AB245="",OR(AA245="Contract signed + paid",AA245="Closed – No response",AA245="Lost"),N(AC245)&gt;=Settings!$S$3),"",AB245+Settings!$S$2)</f>
        <v/>
      </c>
      <c r="AE245" s="40"/>
      <c r="AF245" s="41"/>
      <c r="AG245" s="17"/>
      <c r="AH245" s="17"/>
      <c r="AI245" s="17"/>
      <c r="AJ245" s="46" t="str">
        <f aca="true">IF(OR(E245="",B245=""),"",INT(TODAY()-B245))</f>
        <v/>
      </c>
      <c r="AK245" s="44" t="str">
        <f aca="true">IF(E245="","",IF(OR(COUNTIFS(Clients!$C$2:$C$501,E245,Clients!$S$2:$S$501,"Paid")&gt;0,AND(I245&lt;&gt;"",COUNTIFS(Clients!$E$2:$E$501,I245,Clients!$S$2:$S$501,"Paid")&gt;0)),"⚠ Refunded before – no free video",IF(OR(AA245="Contract signed + paid",AA245="Closed – No response",AA245="Lost"),"",IF(AA245="","Set a stage",IF(AND(AA245="Proposal sent",COUNTA(Q245:V245)&lt;6),"Score this lead – proposal sent unscored",IF(N(AC245)&gt;=Settings!$S$3,"Close – 4 follow-ups sent",IF(AD245="",IF(AB245="","Make first contact",""),IF(TODAY()&gt;AD245,"OVERDUE follow-up",IF(TODAY()=AD245,"Follow up today","")))))))))</f>
        <v/>
      </c>
    </row>
    <row r="246" customFormat="false" ht="15" hidden="false" customHeight="false" outlineLevel="0" collapsed="false">
      <c r="A246" s="17"/>
      <c r="B246" s="40"/>
      <c r="C246" s="41"/>
      <c r="D246" s="17"/>
      <c r="E246" s="17"/>
      <c r="F246" s="17"/>
      <c r="G246" s="17"/>
      <c r="H246" s="17"/>
      <c r="I246" s="42"/>
      <c r="J246" s="17"/>
      <c r="K246" s="17"/>
      <c r="L246" s="17"/>
      <c r="M246" s="17"/>
      <c r="N246" s="40"/>
      <c r="O246" s="41"/>
      <c r="P246" s="43" t="str">
        <f aca="false">IF(OR(B246="",N246=""),"",ROUND(((N246+N(O246))-(B246+N(C246)))*24,1))</f>
        <v/>
      </c>
      <c r="Q246" s="17"/>
      <c r="R246" s="17"/>
      <c r="S246" s="17"/>
      <c r="T246" s="17"/>
      <c r="U246" s="17"/>
      <c r="V246" s="17"/>
      <c r="W246" s="44" t="str">
        <f aca="false">IF(OR(E246="",COUNTA(Q246:V246)=0),"",SUMIFS(Settings!$AA$2:$AA$21,Settings!$Y$2:$Y$21,"Budget AED 5k+/mo?",Settings!$Z$2:$Z$21,Q246)+SUMIFS(Settings!$AA$2:$AA$21,Settings!$Y$2:$Y$21,"Decision-maker?",Settings!$Z$2:$Z$21,R246)+SUMIFS(Settings!$AA$2:$AA$21,Settings!$Y$2:$Y$21,"Someone on camera?",Settings!$Z$2:$Z$21,S246)+SUMIFS(Settings!$AA$2:$AA$21,Settings!$Y$2:$Y$21,"OK with 3-month term?",Settings!$Z$2:$Z$21,T246)+SUMIFS(Settings!$AA$2:$AA$21,Settings!$Y$2:$Y$21,"Start timeline",Settings!$Z$2:$Z$21,U246)+SUMIFS(Settings!$AA$2:$AA$21,Settings!$Y$2:$Y$21,"Social media gap",Settings!$Z$2:$Z$21,V246)+IF(F246="",0,IF(COUNTIF(Settings!$AC$2:$AC$6,F246)&gt;0,Settings!$AA$20,Settings!$AA$21)))</f>
        <v/>
      </c>
      <c r="X246" s="44" t="str">
        <f aca="false">IF(E246="","",IF(COUNTA(Q246:V246)=0,"Not scored",IF(COUNTA(Q246:V246)&lt;6,"Partly scored ("&amp;COUNTA(Q246:V246)&amp;"/6)",IF(W246&gt;=Settings!$S$8,"Hot",IF(W246&gt;=Settings!$S$9,"Warm","Cold")))))</f>
        <v/>
      </c>
      <c r="Y246" s="44" t="str">
        <f aca="false">IF(E246="","",IF(AND(Q246="No",S246="No"),"🚩 Budget  ·  🚩 No one on camera",IF(Q246="No","🚩 Budget under AED 5k",IF(S246="No","🚩 No one on camera",""))))</f>
        <v/>
      </c>
      <c r="Z246" s="17"/>
      <c r="AA246" s="17"/>
      <c r="AB246" s="40"/>
      <c r="AC246" s="17"/>
      <c r="AD246" s="45" t="str">
        <f aca="false">IF(OR(E246="",AB246="",OR(AA246="Contract signed + paid",AA246="Closed – No response",AA246="Lost"),N(AC246)&gt;=Settings!$S$3),"",AB246+Settings!$S$2)</f>
        <v/>
      </c>
      <c r="AE246" s="40"/>
      <c r="AF246" s="41"/>
      <c r="AG246" s="17"/>
      <c r="AH246" s="17"/>
      <c r="AI246" s="17"/>
      <c r="AJ246" s="46" t="str">
        <f aca="true">IF(OR(E246="",B246=""),"",INT(TODAY()-B246))</f>
        <v/>
      </c>
      <c r="AK246" s="44" t="str">
        <f aca="true">IF(E246="","",IF(OR(COUNTIFS(Clients!$C$2:$C$501,E246,Clients!$S$2:$S$501,"Paid")&gt;0,AND(I246&lt;&gt;"",COUNTIFS(Clients!$E$2:$E$501,I246,Clients!$S$2:$S$501,"Paid")&gt;0)),"⚠ Refunded before – no free video",IF(OR(AA246="Contract signed + paid",AA246="Closed – No response",AA246="Lost"),"",IF(AA246="","Set a stage",IF(AND(AA246="Proposal sent",COUNTA(Q246:V246)&lt;6),"Score this lead – proposal sent unscored",IF(N(AC246)&gt;=Settings!$S$3,"Close – 4 follow-ups sent",IF(AD246="",IF(AB246="","Make first contact",""),IF(TODAY()&gt;AD246,"OVERDUE follow-up",IF(TODAY()=AD246,"Follow up today","")))))))))</f>
        <v/>
      </c>
    </row>
    <row r="247" customFormat="false" ht="15" hidden="false" customHeight="false" outlineLevel="0" collapsed="false">
      <c r="A247" s="17"/>
      <c r="B247" s="40"/>
      <c r="C247" s="41"/>
      <c r="D247" s="17"/>
      <c r="E247" s="17"/>
      <c r="F247" s="17"/>
      <c r="G247" s="17"/>
      <c r="H247" s="17"/>
      <c r="I247" s="42"/>
      <c r="J247" s="17"/>
      <c r="K247" s="17"/>
      <c r="L247" s="17"/>
      <c r="M247" s="17"/>
      <c r="N247" s="40"/>
      <c r="O247" s="41"/>
      <c r="P247" s="43" t="str">
        <f aca="false">IF(OR(B247="",N247=""),"",ROUND(((N247+N(O247))-(B247+N(C247)))*24,1))</f>
        <v/>
      </c>
      <c r="Q247" s="17"/>
      <c r="R247" s="17"/>
      <c r="S247" s="17"/>
      <c r="T247" s="17"/>
      <c r="U247" s="17"/>
      <c r="V247" s="17"/>
      <c r="W247" s="44" t="str">
        <f aca="false">IF(OR(E247="",COUNTA(Q247:V247)=0),"",SUMIFS(Settings!$AA$2:$AA$21,Settings!$Y$2:$Y$21,"Budget AED 5k+/mo?",Settings!$Z$2:$Z$21,Q247)+SUMIFS(Settings!$AA$2:$AA$21,Settings!$Y$2:$Y$21,"Decision-maker?",Settings!$Z$2:$Z$21,R247)+SUMIFS(Settings!$AA$2:$AA$21,Settings!$Y$2:$Y$21,"Someone on camera?",Settings!$Z$2:$Z$21,S247)+SUMIFS(Settings!$AA$2:$AA$21,Settings!$Y$2:$Y$21,"OK with 3-month term?",Settings!$Z$2:$Z$21,T247)+SUMIFS(Settings!$AA$2:$AA$21,Settings!$Y$2:$Y$21,"Start timeline",Settings!$Z$2:$Z$21,U247)+SUMIFS(Settings!$AA$2:$AA$21,Settings!$Y$2:$Y$21,"Social media gap",Settings!$Z$2:$Z$21,V247)+IF(F247="",0,IF(COUNTIF(Settings!$AC$2:$AC$6,F247)&gt;0,Settings!$AA$20,Settings!$AA$21)))</f>
        <v/>
      </c>
      <c r="X247" s="44" t="str">
        <f aca="false">IF(E247="","",IF(COUNTA(Q247:V247)=0,"Not scored",IF(COUNTA(Q247:V247)&lt;6,"Partly scored ("&amp;COUNTA(Q247:V247)&amp;"/6)",IF(W247&gt;=Settings!$S$8,"Hot",IF(W247&gt;=Settings!$S$9,"Warm","Cold")))))</f>
        <v/>
      </c>
      <c r="Y247" s="44" t="str">
        <f aca="false">IF(E247="","",IF(AND(Q247="No",S247="No"),"🚩 Budget  ·  🚩 No one on camera",IF(Q247="No","🚩 Budget under AED 5k",IF(S247="No","🚩 No one on camera",""))))</f>
        <v/>
      </c>
      <c r="Z247" s="17"/>
      <c r="AA247" s="17"/>
      <c r="AB247" s="40"/>
      <c r="AC247" s="17"/>
      <c r="AD247" s="45" t="str">
        <f aca="false">IF(OR(E247="",AB247="",OR(AA247="Contract signed + paid",AA247="Closed – No response",AA247="Lost"),N(AC247)&gt;=Settings!$S$3),"",AB247+Settings!$S$2)</f>
        <v/>
      </c>
      <c r="AE247" s="40"/>
      <c r="AF247" s="41"/>
      <c r="AG247" s="17"/>
      <c r="AH247" s="17"/>
      <c r="AI247" s="17"/>
      <c r="AJ247" s="46" t="str">
        <f aca="true">IF(OR(E247="",B247=""),"",INT(TODAY()-B247))</f>
        <v/>
      </c>
      <c r="AK247" s="44" t="str">
        <f aca="true">IF(E247="","",IF(OR(COUNTIFS(Clients!$C$2:$C$501,E247,Clients!$S$2:$S$501,"Paid")&gt;0,AND(I247&lt;&gt;"",COUNTIFS(Clients!$E$2:$E$501,I247,Clients!$S$2:$S$501,"Paid")&gt;0)),"⚠ Refunded before – no free video",IF(OR(AA247="Contract signed + paid",AA247="Closed – No response",AA247="Lost"),"",IF(AA247="","Set a stage",IF(AND(AA247="Proposal sent",COUNTA(Q247:V247)&lt;6),"Score this lead – proposal sent unscored",IF(N(AC247)&gt;=Settings!$S$3,"Close – 4 follow-ups sent",IF(AD247="",IF(AB247="","Make first contact",""),IF(TODAY()&gt;AD247,"OVERDUE follow-up",IF(TODAY()=AD247,"Follow up today","")))))))))</f>
        <v/>
      </c>
    </row>
    <row r="248" customFormat="false" ht="15" hidden="false" customHeight="false" outlineLevel="0" collapsed="false">
      <c r="A248" s="17"/>
      <c r="B248" s="40"/>
      <c r="C248" s="41"/>
      <c r="D248" s="17"/>
      <c r="E248" s="17"/>
      <c r="F248" s="17"/>
      <c r="G248" s="17"/>
      <c r="H248" s="17"/>
      <c r="I248" s="42"/>
      <c r="J248" s="17"/>
      <c r="K248" s="17"/>
      <c r="L248" s="17"/>
      <c r="M248" s="17"/>
      <c r="N248" s="40"/>
      <c r="O248" s="41"/>
      <c r="P248" s="43" t="str">
        <f aca="false">IF(OR(B248="",N248=""),"",ROUND(((N248+N(O248))-(B248+N(C248)))*24,1))</f>
        <v/>
      </c>
      <c r="Q248" s="17"/>
      <c r="R248" s="17"/>
      <c r="S248" s="17"/>
      <c r="T248" s="17"/>
      <c r="U248" s="17"/>
      <c r="V248" s="17"/>
      <c r="W248" s="44" t="str">
        <f aca="false">IF(OR(E248="",COUNTA(Q248:V248)=0),"",SUMIFS(Settings!$AA$2:$AA$21,Settings!$Y$2:$Y$21,"Budget AED 5k+/mo?",Settings!$Z$2:$Z$21,Q248)+SUMIFS(Settings!$AA$2:$AA$21,Settings!$Y$2:$Y$21,"Decision-maker?",Settings!$Z$2:$Z$21,R248)+SUMIFS(Settings!$AA$2:$AA$21,Settings!$Y$2:$Y$21,"Someone on camera?",Settings!$Z$2:$Z$21,S248)+SUMIFS(Settings!$AA$2:$AA$21,Settings!$Y$2:$Y$21,"OK with 3-month term?",Settings!$Z$2:$Z$21,T248)+SUMIFS(Settings!$AA$2:$AA$21,Settings!$Y$2:$Y$21,"Start timeline",Settings!$Z$2:$Z$21,U248)+SUMIFS(Settings!$AA$2:$AA$21,Settings!$Y$2:$Y$21,"Social media gap",Settings!$Z$2:$Z$21,V248)+IF(F248="",0,IF(COUNTIF(Settings!$AC$2:$AC$6,F248)&gt;0,Settings!$AA$20,Settings!$AA$21)))</f>
        <v/>
      </c>
      <c r="X248" s="44" t="str">
        <f aca="false">IF(E248="","",IF(COUNTA(Q248:V248)=0,"Not scored",IF(COUNTA(Q248:V248)&lt;6,"Partly scored ("&amp;COUNTA(Q248:V248)&amp;"/6)",IF(W248&gt;=Settings!$S$8,"Hot",IF(W248&gt;=Settings!$S$9,"Warm","Cold")))))</f>
        <v/>
      </c>
      <c r="Y248" s="44" t="str">
        <f aca="false">IF(E248="","",IF(AND(Q248="No",S248="No"),"🚩 Budget  ·  🚩 No one on camera",IF(Q248="No","🚩 Budget under AED 5k",IF(S248="No","🚩 No one on camera",""))))</f>
        <v/>
      </c>
      <c r="Z248" s="17"/>
      <c r="AA248" s="17"/>
      <c r="AB248" s="40"/>
      <c r="AC248" s="17"/>
      <c r="AD248" s="45" t="str">
        <f aca="false">IF(OR(E248="",AB248="",OR(AA248="Contract signed + paid",AA248="Closed – No response",AA248="Lost"),N(AC248)&gt;=Settings!$S$3),"",AB248+Settings!$S$2)</f>
        <v/>
      </c>
      <c r="AE248" s="40"/>
      <c r="AF248" s="41"/>
      <c r="AG248" s="17"/>
      <c r="AH248" s="17"/>
      <c r="AI248" s="17"/>
      <c r="AJ248" s="46" t="str">
        <f aca="true">IF(OR(E248="",B248=""),"",INT(TODAY()-B248))</f>
        <v/>
      </c>
      <c r="AK248" s="44" t="str">
        <f aca="true">IF(E248="","",IF(OR(COUNTIFS(Clients!$C$2:$C$501,E248,Clients!$S$2:$S$501,"Paid")&gt;0,AND(I248&lt;&gt;"",COUNTIFS(Clients!$E$2:$E$501,I248,Clients!$S$2:$S$501,"Paid")&gt;0)),"⚠ Refunded before – no free video",IF(OR(AA248="Contract signed + paid",AA248="Closed – No response",AA248="Lost"),"",IF(AA248="","Set a stage",IF(AND(AA248="Proposal sent",COUNTA(Q248:V248)&lt;6),"Score this lead – proposal sent unscored",IF(N(AC248)&gt;=Settings!$S$3,"Close – 4 follow-ups sent",IF(AD248="",IF(AB248="","Make first contact",""),IF(TODAY()&gt;AD248,"OVERDUE follow-up",IF(TODAY()=AD248,"Follow up today","")))))))))</f>
        <v/>
      </c>
    </row>
    <row r="249" customFormat="false" ht="15" hidden="false" customHeight="false" outlineLevel="0" collapsed="false">
      <c r="A249" s="17"/>
      <c r="B249" s="40"/>
      <c r="C249" s="41"/>
      <c r="D249" s="17"/>
      <c r="E249" s="17"/>
      <c r="F249" s="17"/>
      <c r="G249" s="17"/>
      <c r="H249" s="17"/>
      <c r="I249" s="42"/>
      <c r="J249" s="17"/>
      <c r="K249" s="17"/>
      <c r="L249" s="17"/>
      <c r="M249" s="17"/>
      <c r="N249" s="40"/>
      <c r="O249" s="41"/>
      <c r="P249" s="43" t="str">
        <f aca="false">IF(OR(B249="",N249=""),"",ROUND(((N249+N(O249))-(B249+N(C249)))*24,1))</f>
        <v/>
      </c>
      <c r="Q249" s="17"/>
      <c r="R249" s="17"/>
      <c r="S249" s="17"/>
      <c r="T249" s="17"/>
      <c r="U249" s="17"/>
      <c r="V249" s="17"/>
      <c r="W249" s="44" t="str">
        <f aca="false">IF(OR(E249="",COUNTA(Q249:V249)=0),"",SUMIFS(Settings!$AA$2:$AA$21,Settings!$Y$2:$Y$21,"Budget AED 5k+/mo?",Settings!$Z$2:$Z$21,Q249)+SUMIFS(Settings!$AA$2:$AA$21,Settings!$Y$2:$Y$21,"Decision-maker?",Settings!$Z$2:$Z$21,R249)+SUMIFS(Settings!$AA$2:$AA$21,Settings!$Y$2:$Y$21,"Someone on camera?",Settings!$Z$2:$Z$21,S249)+SUMIFS(Settings!$AA$2:$AA$21,Settings!$Y$2:$Y$21,"OK with 3-month term?",Settings!$Z$2:$Z$21,T249)+SUMIFS(Settings!$AA$2:$AA$21,Settings!$Y$2:$Y$21,"Start timeline",Settings!$Z$2:$Z$21,U249)+SUMIFS(Settings!$AA$2:$AA$21,Settings!$Y$2:$Y$21,"Social media gap",Settings!$Z$2:$Z$21,V249)+IF(F249="",0,IF(COUNTIF(Settings!$AC$2:$AC$6,F249)&gt;0,Settings!$AA$20,Settings!$AA$21)))</f>
        <v/>
      </c>
      <c r="X249" s="44" t="str">
        <f aca="false">IF(E249="","",IF(COUNTA(Q249:V249)=0,"Not scored",IF(COUNTA(Q249:V249)&lt;6,"Partly scored ("&amp;COUNTA(Q249:V249)&amp;"/6)",IF(W249&gt;=Settings!$S$8,"Hot",IF(W249&gt;=Settings!$S$9,"Warm","Cold")))))</f>
        <v/>
      </c>
      <c r="Y249" s="44" t="str">
        <f aca="false">IF(E249="","",IF(AND(Q249="No",S249="No"),"🚩 Budget  ·  🚩 No one on camera",IF(Q249="No","🚩 Budget under AED 5k",IF(S249="No","🚩 No one on camera",""))))</f>
        <v/>
      </c>
      <c r="Z249" s="17"/>
      <c r="AA249" s="17"/>
      <c r="AB249" s="40"/>
      <c r="AC249" s="17"/>
      <c r="AD249" s="45" t="str">
        <f aca="false">IF(OR(E249="",AB249="",OR(AA249="Contract signed + paid",AA249="Closed – No response",AA249="Lost"),N(AC249)&gt;=Settings!$S$3),"",AB249+Settings!$S$2)</f>
        <v/>
      </c>
      <c r="AE249" s="40"/>
      <c r="AF249" s="41"/>
      <c r="AG249" s="17"/>
      <c r="AH249" s="17"/>
      <c r="AI249" s="17"/>
      <c r="AJ249" s="46" t="str">
        <f aca="true">IF(OR(E249="",B249=""),"",INT(TODAY()-B249))</f>
        <v/>
      </c>
      <c r="AK249" s="44" t="str">
        <f aca="true">IF(E249="","",IF(OR(COUNTIFS(Clients!$C$2:$C$501,E249,Clients!$S$2:$S$501,"Paid")&gt;0,AND(I249&lt;&gt;"",COUNTIFS(Clients!$E$2:$E$501,I249,Clients!$S$2:$S$501,"Paid")&gt;0)),"⚠ Refunded before – no free video",IF(OR(AA249="Contract signed + paid",AA249="Closed – No response",AA249="Lost"),"",IF(AA249="","Set a stage",IF(AND(AA249="Proposal sent",COUNTA(Q249:V249)&lt;6),"Score this lead – proposal sent unscored",IF(N(AC249)&gt;=Settings!$S$3,"Close – 4 follow-ups sent",IF(AD249="",IF(AB249="","Make first contact",""),IF(TODAY()&gt;AD249,"OVERDUE follow-up",IF(TODAY()=AD249,"Follow up today","")))))))))</f>
        <v/>
      </c>
    </row>
    <row r="250" customFormat="false" ht="15" hidden="false" customHeight="false" outlineLevel="0" collapsed="false">
      <c r="A250" s="17"/>
      <c r="B250" s="40"/>
      <c r="C250" s="41"/>
      <c r="D250" s="17"/>
      <c r="E250" s="17"/>
      <c r="F250" s="17"/>
      <c r="G250" s="17"/>
      <c r="H250" s="17"/>
      <c r="I250" s="42"/>
      <c r="J250" s="17"/>
      <c r="K250" s="17"/>
      <c r="L250" s="17"/>
      <c r="M250" s="17"/>
      <c r="N250" s="40"/>
      <c r="O250" s="41"/>
      <c r="P250" s="43" t="str">
        <f aca="false">IF(OR(B250="",N250=""),"",ROUND(((N250+N(O250))-(B250+N(C250)))*24,1))</f>
        <v/>
      </c>
      <c r="Q250" s="17"/>
      <c r="R250" s="17"/>
      <c r="S250" s="17"/>
      <c r="T250" s="17"/>
      <c r="U250" s="17"/>
      <c r="V250" s="17"/>
      <c r="W250" s="44" t="str">
        <f aca="false">IF(OR(E250="",COUNTA(Q250:V250)=0),"",SUMIFS(Settings!$AA$2:$AA$21,Settings!$Y$2:$Y$21,"Budget AED 5k+/mo?",Settings!$Z$2:$Z$21,Q250)+SUMIFS(Settings!$AA$2:$AA$21,Settings!$Y$2:$Y$21,"Decision-maker?",Settings!$Z$2:$Z$21,R250)+SUMIFS(Settings!$AA$2:$AA$21,Settings!$Y$2:$Y$21,"Someone on camera?",Settings!$Z$2:$Z$21,S250)+SUMIFS(Settings!$AA$2:$AA$21,Settings!$Y$2:$Y$21,"OK with 3-month term?",Settings!$Z$2:$Z$21,T250)+SUMIFS(Settings!$AA$2:$AA$21,Settings!$Y$2:$Y$21,"Start timeline",Settings!$Z$2:$Z$21,U250)+SUMIFS(Settings!$AA$2:$AA$21,Settings!$Y$2:$Y$21,"Social media gap",Settings!$Z$2:$Z$21,V250)+IF(F250="",0,IF(COUNTIF(Settings!$AC$2:$AC$6,F250)&gt;0,Settings!$AA$20,Settings!$AA$21)))</f>
        <v/>
      </c>
      <c r="X250" s="44" t="str">
        <f aca="false">IF(E250="","",IF(COUNTA(Q250:V250)=0,"Not scored",IF(COUNTA(Q250:V250)&lt;6,"Partly scored ("&amp;COUNTA(Q250:V250)&amp;"/6)",IF(W250&gt;=Settings!$S$8,"Hot",IF(W250&gt;=Settings!$S$9,"Warm","Cold")))))</f>
        <v/>
      </c>
      <c r="Y250" s="44" t="str">
        <f aca="false">IF(E250="","",IF(AND(Q250="No",S250="No"),"🚩 Budget  ·  🚩 No one on camera",IF(Q250="No","🚩 Budget under AED 5k",IF(S250="No","🚩 No one on camera",""))))</f>
        <v/>
      </c>
      <c r="Z250" s="17"/>
      <c r="AA250" s="17"/>
      <c r="AB250" s="40"/>
      <c r="AC250" s="17"/>
      <c r="AD250" s="45" t="str">
        <f aca="false">IF(OR(E250="",AB250="",OR(AA250="Contract signed + paid",AA250="Closed – No response",AA250="Lost"),N(AC250)&gt;=Settings!$S$3),"",AB250+Settings!$S$2)</f>
        <v/>
      </c>
      <c r="AE250" s="40"/>
      <c r="AF250" s="41"/>
      <c r="AG250" s="17"/>
      <c r="AH250" s="17"/>
      <c r="AI250" s="17"/>
      <c r="AJ250" s="46" t="str">
        <f aca="true">IF(OR(E250="",B250=""),"",INT(TODAY()-B250))</f>
        <v/>
      </c>
      <c r="AK250" s="44" t="str">
        <f aca="true">IF(E250="","",IF(OR(COUNTIFS(Clients!$C$2:$C$501,E250,Clients!$S$2:$S$501,"Paid")&gt;0,AND(I250&lt;&gt;"",COUNTIFS(Clients!$E$2:$E$501,I250,Clients!$S$2:$S$501,"Paid")&gt;0)),"⚠ Refunded before – no free video",IF(OR(AA250="Contract signed + paid",AA250="Closed – No response",AA250="Lost"),"",IF(AA250="","Set a stage",IF(AND(AA250="Proposal sent",COUNTA(Q250:V250)&lt;6),"Score this lead – proposal sent unscored",IF(N(AC250)&gt;=Settings!$S$3,"Close – 4 follow-ups sent",IF(AD250="",IF(AB250="","Make first contact",""),IF(TODAY()&gt;AD250,"OVERDUE follow-up",IF(TODAY()=AD250,"Follow up today","")))))))))</f>
        <v/>
      </c>
    </row>
    <row r="251" customFormat="false" ht="15" hidden="false" customHeight="false" outlineLevel="0" collapsed="false">
      <c r="A251" s="17"/>
      <c r="B251" s="40"/>
      <c r="C251" s="41"/>
      <c r="D251" s="17"/>
      <c r="E251" s="17"/>
      <c r="F251" s="17"/>
      <c r="G251" s="17"/>
      <c r="H251" s="17"/>
      <c r="I251" s="42"/>
      <c r="J251" s="17"/>
      <c r="K251" s="17"/>
      <c r="L251" s="17"/>
      <c r="M251" s="17"/>
      <c r="N251" s="40"/>
      <c r="O251" s="41"/>
      <c r="P251" s="43" t="str">
        <f aca="false">IF(OR(B251="",N251=""),"",ROUND(((N251+N(O251))-(B251+N(C251)))*24,1))</f>
        <v/>
      </c>
      <c r="Q251" s="17"/>
      <c r="R251" s="17"/>
      <c r="S251" s="17"/>
      <c r="T251" s="17"/>
      <c r="U251" s="17"/>
      <c r="V251" s="17"/>
      <c r="W251" s="44" t="str">
        <f aca="false">IF(OR(E251="",COUNTA(Q251:V251)=0),"",SUMIFS(Settings!$AA$2:$AA$21,Settings!$Y$2:$Y$21,"Budget AED 5k+/mo?",Settings!$Z$2:$Z$21,Q251)+SUMIFS(Settings!$AA$2:$AA$21,Settings!$Y$2:$Y$21,"Decision-maker?",Settings!$Z$2:$Z$21,R251)+SUMIFS(Settings!$AA$2:$AA$21,Settings!$Y$2:$Y$21,"Someone on camera?",Settings!$Z$2:$Z$21,S251)+SUMIFS(Settings!$AA$2:$AA$21,Settings!$Y$2:$Y$21,"OK with 3-month term?",Settings!$Z$2:$Z$21,T251)+SUMIFS(Settings!$AA$2:$AA$21,Settings!$Y$2:$Y$21,"Start timeline",Settings!$Z$2:$Z$21,U251)+SUMIFS(Settings!$AA$2:$AA$21,Settings!$Y$2:$Y$21,"Social media gap",Settings!$Z$2:$Z$21,V251)+IF(F251="",0,IF(COUNTIF(Settings!$AC$2:$AC$6,F251)&gt;0,Settings!$AA$20,Settings!$AA$21)))</f>
        <v/>
      </c>
      <c r="X251" s="44" t="str">
        <f aca="false">IF(E251="","",IF(COUNTA(Q251:V251)=0,"Not scored",IF(COUNTA(Q251:V251)&lt;6,"Partly scored ("&amp;COUNTA(Q251:V251)&amp;"/6)",IF(W251&gt;=Settings!$S$8,"Hot",IF(W251&gt;=Settings!$S$9,"Warm","Cold")))))</f>
        <v/>
      </c>
      <c r="Y251" s="44" t="str">
        <f aca="false">IF(E251="","",IF(AND(Q251="No",S251="No"),"🚩 Budget  ·  🚩 No one on camera",IF(Q251="No","🚩 Budget under AED 5k",IF(S251="No","🚩 No one on camera",""))))</f>
        <v/>
      </c>
      <c r="Z251" s="17"/>
      <c r="AA251" s="17"/>
      <c r="AB251" s="40"/>
      <c r="AC251" s="17"/>
      <c r="AD251" s="45" t="str">
        <f aca="false">IF(OR(E251="",AB251="",OR(AA251="Contract signed + paid",AA251="Closed – No response",AA251="Lost"),N(AC251)&gt;=Settings!$S$3),"",AB251+Settings!$S$2)</f>
        <v/>
      </c>
      <c r="AE251" s="40"/>
      <c r="AF251" s="41"/>
      <c r="AG251" s="17"/>
      <c r="AH251" s="17"/>
      <c r="AI251" s="17"/>
      <c r="AJ251" s="46" t="str">
        <f aca="true">IF(OR(E251="",B251=""),"",INT(TODAY()-B251))</f>
        <v/>
      </c>
      <c r="AK251" s="44" t="str">
        <f aca="true">IF(E251="","",IF(OR(COUNTIFS(Clients!$C$2:$C$501,E251,Clients!$S$2:$S$501,"Paid")&gt;0,AND(I251&lt;&gt;"",COUNTIFS(Clients!$E$2:$E$501,I251,Clients!$S$2:$S$501,"Paid")&gt;0)),"⚠ Refunded before – no free video",IF(OR(AA251="Contract signed + paid",AA251="Closed – No response",AA251="Lost"),"",IF(AA251="","Set a stage",IF(AND(AA251="Proposal sent",COUNTA(Q251:V251)&lt;6),"Score this lead – proposal sent unscored",IF(N(AC251)&gt;=Settings!$S$3,"Close – 4 follow-ups sent",IF(AD251="",IF(AB251="","Make first contact",""),IF(TODAY()&gt;AD251,"OVERDUE follow-up",IF(TODAY()=AD251,"Follow up today","")))))))))</f>
        <v/>
      </c>
    </row>
    <row r="252" customFormat="false" ht="15" hidden="false" customHeight="false" outlineLevel="0" collapsed="false">
      <c r="A252" s="17"/>
      <c r="B252" s="40"/>
      <c r="C252" s="41"/>
      <c r="D252" s="17"/>
      <c r="E252" s="17"/>
      <c r="F252" s="17"/>
      <c r="G252" s="17"/>
      <c r="H252" s="17"/>
      <c r="I252" s="42"/>
      <c r="J252" s="17"/>
      <c r="K252" s="17"/>
      <c r="L252" s="17"/>
      <c r="M252" s="17"/>
      <c r="N252" s="40"/>
      <c r="O252" s="41"/>
      <c r="P252" s="43" t="str">
        <f aca="false">IF(OR(B252="",N252=""),"",ROUND(((N252+N(O252))-(B252+N(C252)))*24,1))</f>
        <v/>
      </c>
      <c r="Q252" s="17"/>
      <c r="R252" s="17"/>
      <c r="S252" s="17"/>
      <c r="T252" s="17"/>
      <c r="U252" s="17"/>
      <c r="V252" s="17"/>
      <c r="W252" s="44" t="str">
        <f aca="false">IF(OR(E252="",COUNTA(Q252:V252)=0),"",SUMIFS(Settings!$AA$2:$AA$21,Settings!$Y$2:$Y$21,"Budget AED 5k+/mo?",Settings!$Z$2:$Z$21,Q252)+SUMIFS(Settings!$AA$2:$AA$21,Settings!$Y$2:$Y$21,"Decision-maker?",Settings!$Z$2:$Z$21,R252)+SUMIFS(Settings!$AA$2:$AA$21,Settings!$Y$2:$Y$21,"Someone on camera?",Settings!$Z$2:$Z$21,S252)+SUMIFS(Settings!$AA$2:$AA$21,Settings!$Y$2:$Y$21,"OK with 3-month term?",Settings!$Z$2:$Z$21,T252)+SUMIFS(Settings!$AA$2:$AA$21,Settings!$Y$2:$Y$21,"Start timeline",Settings!$Z$2:$Z$21,U252)+SUMIFS(Settings!$AA$2:$AA$21,Settings!$Y$2:$Y$21,"Social media gap",Settings!$Z$2:$Z$21,V252)+IF(F252="",0,IF(COUNTIF(Settings!$AC$2:$AC$6,F252)&gt;0,Settings!$AA$20,Settings!$AA$21)))</f>
        <v/>
      </c>
      <c r="X252" s="44" t="str">
        <f aca="false">IF(E252="","",IF(COUNTA(Q252:V252)=0,"Not scored",IF(COUNTA(Q252:V252)&lt;6,"Partly scored ("&amp;COUNTA(Q252:V252)&amp;"/6)",IF(W252&gt;=Settings!$S$8,"Hot",IF(W252&gt;=Settings!$S$9,"Warm","Cold")))))</f>
        <v/>
      </c>
      <c r="Y252" s="44" t="str">
        <f aca="false">IF(E252="","",IF(AND(Q252="No",S252="No"),"🚩 Budget  ·  🚩 No one on camera",IF(Q252="No","🚩 Budget under AED 5k",IF(S252="No","🚩 No one on camera",""))))</f>
        <v/>
      </c>
      <c r="Z252" s="17"/>
      <c r="AA252" s="17"/>
      <c r="AB252" s="40"/>
      <c r="AC252" s="17"/>
      <c r="AD252" s="45" t="str">
        <f aca="false">IF(OR(E252="",AB252="",OR(AA252="Contract signed + paid",AA252="Closed – No response",AA252="Lost"),N(AC252)&gt;=Settings!$S$3),"",AB252+Settings!$S$2)</f>
        <v/>
      </c>
      <c r="AE252" s="40"/>
      <c r="AF252" s="41"/>
      <c r="AG252" s="17"/>
      <c r="AH252" s="17"/>
      <c r="AI252" s="17"/>
      <c r="AJ252" s="46" t="str">
        <f aca="true">IF(OR(E252="",B252=""),"",INT(TODAY()-B252))</f>
        <v/>
      </c>
      <c r="AK252" s="44" t="str">
        <f aca="true">IF(E252="","",IF(OR(COUNTIFS(Clients!$C$2:$C$501,E252,Clients!$S$2:$S$501,"Paid")&gt;0,AND(I252&lt;&gt;"",COUNTIFS(Clients!$E$2:$E$501,I252,Clients!$S$2:$S$501,"Paid")&gt;0)),"⚠ Refunded before – no free video",IF(OR(AA252="Contract signed + paid",AA252="Closed – No response",AA252="Lost"),"",IF(AA252="","Set a stage",IF(AND(AA252="Proposal sent",COUNTA(Q252:V252)&lt;6),"Score this lead – proposal sent unscored",IF(N(AC252)&gt;=Settings!$S$3,"Close – 4 follow-ups sent",IF(AD252="",IF(AB252="","Make first contact",""),IF(TODAY()&gt;AD252,"OVERDUE follow-up",IF(TODAY()=AD252,"Follow up today","")))))))))</f>
        <v/>
      </c>
    </row>
    <row r="253" customFormat="false" ht="15" hidden="false" customHeight="false" outlineLevel="0" collapsed="false">
      <c r="A253" s="17"/>
      <c r="B253" s="40"/>
      <c r="C253" s="41"/>
      <c r="D253" s="17"/>
      <c r="E253" s="17"/>
      <c r="F253" s="17"/>
      <c r="G253" s="17"/>
      <c r="H253" s="17"/>
      <c r="I253" s="42"/>
      <c r="J253" s="17"/>
      <c r="K253" s="17"/>
      <c r="L253" s="17"/>
      <c r="M253" s="17"/>
      <c r="N253" s="40"/>
      <c r="O253" s="41"/>
      <c r="P253" s="43" t="str">
        <f aca="false">IF(OR(B253="",N253=""),"",ROUND(((N253+N(O253))-(B253+N(C253)))*24,1))</f>
        <v/>
      </c>
      <c r="Q253" s="17"/>
      <c r="R253" s="17"/>
      <c r="S253" s="17"/>
      <c r="T253" s="17"/>
      <c r="U253" s="17"/>
      <c r="V253" s="17"/>
      <c r="W253" s="44" t="str">
        <f aca="false">IF(OR(E253="",COUNTA(Q253:V253)=0),"",SUMIFS(Settings!$AA$2:$AA$21,Settings!$Y$2:$Y$21,"Budget AED 5k+/mo?",Settings!$Z$2:$Z$21,Q253)+SUMIFS(Settings!$AA$2:$AA$21,Settings!$Y$2:$Y$21,"Decision-maker?",Settings!$Z$2:$Z$21,R253)+SUMIFS(Settings!$AA$2:$AA$21,Settings!$Y$2:$Y$21,"Someone on camera?",Settings!$Z$2:$Z$21,S253)+SUMIFS(Settings!$AA$2:$AA$21,Settings!$Y$2:$Y$21,"OK with 3-month term?",Settings!$Z$2:$Z$21,T253)+SUMIFS(Settings!$AA$2:$AA$21,Settings!$Y$2:$Y$21,"Start timeline",Settings!$Z$2:$Z$21,U253)+SUMIFS(Settings!$AA$2:$AA$21,Settings!$Y$2:$Y$21,"Social media gap",Settings!$Z$2:$Z$21,V253)+IF(F253="",0,IF(COUNTIF(Settings!$AC$2:$AC$6,F253)&gt;0,Settings!$AA$20,Settings!$AA$21)))</f>
        <v/>
      </c>
      <c r="X253" s="44" t="str">
        <f aca="false">IF(E253="","",IF(COUNTA(Q253:V253)=0,"Not scored",IF(COUNTA(Q253:V253)&lt;6,"Partly scored ("&amp;COUNTA(Q253:V253)&amp;"/6)",IF(W253&gt;=Settings!$S$8,"Hot",IF(W253&gt;=Settings!$S$9,"Warm","Cold")))))</f>
        <v/>
      </c>
      <c r="Y253" s="44" t="str">
        <f aca="false">IF(E253="","",IF(AND(Q253="No",S253="No"),"🚩 Budget  ·  🚩 No one on camera",IF(Q253="No","🚩 Budget under AED 5k",IF(S253="No","🚩 No one on camera",""))))</f>
        <v/>
      </c>
      <c r="Z253" s="17"/>
      <c r="AA253" s="17"/>
      <c r="AB253" s="40"/>
      <c r="AC253" s="17"/>
      <c r="AD253" s="45" t="str">
        <f aca="false">IF(OR(E253="",AB253="",OR(AA253="Contract signed + paid",AA253="Closed – No response",AA253="Lost"),N(AC253)&gt;=Settings!$S$3),"",AB253+Settings!$S$2)</f>
        <v/>
      </c>
      <c r="AE253" s="40"/>
      <c r="AF253" s="41"/>
      <c r="AG253" s="17"/>
      <c r="AH253" s="17"/>
      <c r="AI253" s="17"/>
      <c r="AJ253" s="46" t="str">
        <f aca="true">IF(OR(E253="",B253=""),"",INT(TODAY()-B253))</f>
        <v/>
      </c>
      <c r="AK253" s="44" t="str">
        <f aca="true">IF(E253="","",IF(OR(COUNTIFS(Clients!$C$2:$C$501,E253,Clients!$S$2:$S$501,"Paid")&gt;0,AND(I253&lt;&gt;"",COUNTIFS(Clients!$E$2:$E$501,I253,Clients!$S$2:$S$501,"Paid")&gt;0)),"⚠ Refunded before – no free video",IF(OR(AA253="Contract signed + paid",AA253="Closed – No response",AA253="Lost"),"",IF(AA253="","Set a stage",IF(AND(AA253="Proposal sent",COUNTA(Q253:V253)&lt;6),"Score this lead – proposal sent unscored",IF(N(AC253)&gt;=Settings!$S$3,"Close – 4 follow-ups sent",IF(AD253="",IF(AB253="","Make first contact",""),IF(TODAY()&gt;AD253,"OVERDUE follow-up",IF(TODAY()=AD253,"Follow up today","")))))))))</f>
        <v/>
      </c>
    </row>
    <row r="254" customFormat="false" ht="15" hidden="false" customHeight="false" outlineLevel="0" collapsed="false">
      <c r="A254" s="17"/>
      <c r="B254" s="40"/>
      <c r="C254" s="41"/>
      <c r="D254" s="17"/>
      <c r="E254" s="17"/>
      <c r="F254" s="17"/>
      <c r="G254" s="17"/>
      <c r="H254" s="17"/>
      <c r="I254" s="42"/>
      <c r="J254" s="17"/>
      <c r="K254" s="17"/>
      <c r="L254" s="17"/>
      <c r="M254" s="17"/>
      <c r="N254" s="40"/>
      <c r="O254" s="41"/>
      <c r="P254" s="43" t="str">
        <f aca="false">IF(OR(B254="",N254=""),"",ROUND(((N254+N(O254))-(B254+N(C254)))*24,1))</f>
        <v/>
      </c>
      <c r="Q254" s="17"/>
      <c r="R254" s="17"/>
      <c r="S254" s="17"/>
      <c r="T254" s="17"/>
      <c r="U254" s="17"/>
      <c r="V254" s="17"/>
      <c r="W254" s="44" t="str">
        <f aca="false">IF(OR(E254="",COUNTA(Q254:V254)=0),"",SUMIFS(Settings!$AA$2:$AA$21,Settings!$Y$2:$Y$21,"Budget AED 5k+/mo?",Settings!$Z$2:$Z$21,Q254)+SUMIFS(Settings!$AA$2:$AA$21,Settings!$Y$2:$Y$21,"Decision-maker?",Settings!$Z$2:$Z$21,R254)+SUMIFS(Settings!$AA$2:$AA$21,Settings!$Y$2:$Y$21,"Someone on camera?",Settings!$Z$2:$Z$21,S254)+SUMIFS(Settings!$AA$2:$AA$21,Settings!$Y$2:$Y$21,"OK with 3-month term?",Settings!$Z$2:$Z$21,T254)+SUMIFS(Settings!$AA$2:$AA$21,Settings!$Y$2:$Y$21,"Start timeline",Settings!$Z$2:$Z$21,U254)+SUMIFS(Settings!$AA$2:$AA$21,Settings!$Y$2:$Y$21,"Social media gap",Settings!$Z$2:$Z$21,V254)+IF(F254="",0,IF(COUNTIF(Settings!$AC$2:$AC$6,F254)&gt;0,Settings!$AA$20,Settings!$AA$21)))</f>
        <v/>
      </c>
      <c r="X254" s="44" t="str">
        <f aca="false">IF(E254="","",IF(COUNTA(Q254:V254)=0,"Not scored",IF(COUNTA(Q254:V254)&lt;6,"Partly scored ("&amp;COUNTA(Q254:V254)&amp;"/6)",IF(W254&gt;=Settings!$S$8,"Hot",IF(W254&gt;=Settings!$S$9,"Warm","Cold")))))</f>
        <v/>
      </c>
      <c r="Y254" s="44" t="str">
        <f aca="false">IF(E254="","",IF(AND(Q254="No",S254="No"),"🚩 Budget  ·  🚩 No one on camera",IF(Q254="No","🚩 Budget under AED 5k",IF(S254="No","🚩 No one on camera",""))))</f>
        <v/>
      </c>
      <c r="Z254" s="17"/>
      <c r="AA254" s="17"/>
      <c r="AB254" s="40"/>
      <c r="AC254" s="17"/>
      <c r="AD254" s="45" t="str">
        <f aca="false">IF(OR(E254="",AB254="",OR(AA254="Contract signed + paid",AA254="Closed – No response",AA254="Lost"),N(AC254)&gt;=Settings!$S$3),"",AB254+Settings!$S$2)</f>
        <v/>
      </c>
      <c r="AE254" s="40"/>
      <c r="AF254" s="41"/>
      <c r="AG254" s="17"/>
      <c r="AH254" s="17"/>
      <c r="AI254" s="17"/>
      <c r="AJ254" s="46" t="str">
        <f aca="true">IF(OR(E254="",B254=""),"",INT(TODAY()-B254))</f>
        <v/>
      </c>
      <c r="AK254" s="44" t="str">
        <f aca="true">IF(E254="","",IF(OR(COUNTIFS(Clients!$C$2:$C$501,E254,Clients!$S$2:$S$501,"Paid")&gt;0,AND(I254&lt;&gt;"",COUNTIFS(Clients!$E$2:$E$501,I254,Clients!$S$2:$S$501,"Paid")&gt;0)),"⚠ Refunded before – no free video",IF(OR(AA254="Contract signed + paid",AA254="Closed – No response",AA254="Lost"),"",IF(AA254="","Set a stage",IF(AND(AA254="Proposal sent",COUNTA(Q254:V254)&lt;6),"Score this lead – proposal sent unscored",IF(N(AC254)&gt;=Settings!$S$3,"Close – 4 follow-ups sent",IF(AD254="",IF(AB254="","Make first contact",""),IF(TODAY()&gt;AD254,"OVERDUE follow-up",IF(TODAY()=AD254,"Follow up today","")))))))))</f>
        <v/>
      </c>
    </row>
    <row r="255" customFormat="false" ht="15" hidden="false" customHeight="false" outlineLevel="0" collapsed="false">
      <c r="A255" s="17"/>
      <c r="B255" s="40"/>
      <c r="C255" s="41"/>
      <c r="D255" s="17"/>
      <c r="E255" s="17"/>
      <c r="F255" s="17"/>
      <c r="G255" s="17"/>
      <c r="H255" s="17"/>
      <c r="I255" s="42"/>
      <c r="J255" s="17"/>
      <c r="K255" s="17"/>
      <c r="L255" s="17"/>
      <c r="M255" s="17"/>
      <c r="N255" s="40"/>
      <c r="O255" s="41"/>
      <c r="P255" s="43" t="str">
        <f aca="false">IF(OR(B255="",N255=""),"",ROUND(((N255+N(O255))-(B255+N(C255)))*24,1))</f>
        <v/>
      </c>
      <c r="Q255" s="17"/>
      <c r="R255" s="17"/>
      <c r="S255" s="17"/>
      <c r="T255" s="17"/>
      <c r="U255" s="17"/>
      <c r="V255" s="17"/>
      <c r="W255" s="44" t="str">
        <f aca="false">IF(OR(E255="",COUNTA(Q255:V255)=0),"",SUMIFS(Settings!$AA$2:$AA$21,Settings!$Y$2:$Y$21,"Budget AED 5k+/mo?",Settings!$Z$2:$Z$21,Q255)+SUMIFS(Settings!$AA$2:$AA$21,Settings!$Y$2:$Y$21,"Decision-maker?",Settings!$Z$2:$Z$21,R255)+SUMIFS(Settings!$AA$2:$AA$21,Settings!$Y$2:$Y$21,"Someone on camera?",Settings!$Z$2:$Z$21,S255)+SUMIFS(Settings!$AA$2:$AA$21,Settings!$Y$2:$Y$21,"OK with 3-month term?",Settings!$Z$2:$Z$21,T255)+SUMIFS(Settings!$AA$2:$AA$21,Settings!$Y$2:$Y$21,"Start timeline",Settings!$Z$2:$Z$21,U255)+SUMIFS(Settings!$AA$2:$AA$21,Settings!$Y$2:$Y$21,"Social media gap",Settings!$Z$2:$Z$21,V255)+IF(F255="",0,IF(COUNTIF(Settings!$AC$2:$AC$6,F255)&gt;0,Settings!$AA$20,Settings!$AA$21)))</f>
        <v/>
      </c>
      <c r="X255" s="44" t="str">
        <f aca="false">IF(E255="","",IF(COUNTA(Q255:V255)=0,"Not scored",IF(COUNTA(Q255:V255)&lt;6,"Partly scored ("&amp;COUNTA(Q255:V255)&amp;"/6)",IF(W255&gt;=Settings!$S$8,"Hot",IF(W255&gt;=Settings!$S$9,"Warm","Cold")))))</f>
        <v/>
      </c>
      <c r="Y255" s="44" t="str">
        <f aca="false">IF(E255="","",IF(AND(Q255="No",S255="No"),"🚩 Budget  ·  🚩 No one on camera",IF(Q255="No","🚩 Budget under AED 5k",IF(S255="No","🚩 No one on camera",""))))</f>
        <v/>
      </c>
      <c r="Z255" s="17"/>
      <c r="AA255" s="17"/>
      <c r="AB255" s="40"/>
      <c r="AC255" s="17"/>
      <c r="AD255" s="45" t="str">
        <f aca="false">IF(OR(E255="",AB255="",OR(AA255="Contract signed + paid",AA255="Closed – No response",AA255="Lost"),N(AC255)&gt;=Settings!$S$3),"",AB255+Settings!$S$2)</f>
        <v/>
      </c>
      <c r="AE255" s="40"/>
      <c r="AF255" s="41"/>
      <c r="AG255" s="17"/>
      <c r="AH255" s="17"/>
      <c r="AI255" s="17"/>
      <c r="AJ255" s="46" t="str">
        <f aca="true">IF(OR(E255="",B255=""),"",INT(TODAY()-B255))</f>
        <v/>
      </c>
      <c r="AK255" s="44" t="str">
        <f aca="true">IF(E255="","",IF(OR(COUNTIFS(Clients!$C$2:$C$501,E255,Clients!$S$2:$S$501,"Paid")&gt;0,AND(I255&lt;&gt;"",COUNTIFS(Clients!$E$2:$E$501,I255,Clients!$S$2:$S$501,"Paid")&gt;0)),"⚠ Refunded before – no free video",IF(OR(AA255="Contract signed + paid",AA255="Closed – No response",AA255="Lost"),"",IF(AA255="","Set a stage",IF(AND(AA255="Proposal sent",COUNTA(Q255:V255)&lt;6),"Score this lead – proposal sent unscored",IF(N(AC255)&gt;=Settings!$S$3,"Close – 4 follow-ups sent",IF(AD255="",IF(AB255="","Make first contact",""),IF(TODAY()&gt;AD255,"OVERDUE follow-up",IF(TODAY()=AD255,"Follow up today","")))))))))</f>
        <v/>
      </c>
    </row>
    <row r="256" customFormat="false" ht="15" hidden="false" customHeight="false" outlineLevel="0" collapsed="false">
      <c r="A256" s="17"/>
      <c r="B256" s="40"/>
      <c r="C256" s="41"/>
      <c r="D256" s="17"/>
      <c r="E256" s="17"/>
      <c r="F256" s="17"/>
      <c r="G256" s="17"/>
      <c r="H256" s="17"/>
      <c r="I256" s="42"/>
      <c r="J256" s="17"/>
      <c r="K256" s="17"/>
      <c r="L256" s="17"/>
      <c r="M256" s="17"/>
      <c r="N256" s="40"/>
      <c r="O256" s="41"/>
      <c r="P256" s="43" t="str">
        <f aca="false">IF(OR(B256="",N256=""),"",ROUND(((N256+N(O256))-(B256+N(C256)))*24,1))</f>
        <v/>
      </c>
      <c r="Q256" s="17"/>
      <c r="R256" s="17"/>
      <c r="S256" s="17"/>
      <c r="T256" s="17"/>
      <c r="U256" s="17"/>
      <c r="V256" s="17"/>
      <c r="W256" s="44" t="str">
        <f aca="false">IF(OR(E256="",COUNTA(Q256:V256)=0),"",SUMIFS(Settings!$AA$2:$AA$21,Settings!$Y$2:$Y$21,"Budget AED 5k+/mo?",Settings!$Z$2:$Z$21,Q256)+SUMIFS(Settings!$AA$2:$AA$21,Settings!$Y$2:$Y$21,"Decision-maker?",Settings!$Z$2:$Z$21,R256)+SUMIFS(Settings!$AA$2:$AA$21,Settings!$Y$2:$Y$21,"Someone on camera?",Settings!$Z$2:$Z$21,S256)+SUMIFS(Settings!$AA$2:$AA$21,Settings!$Y$2:$Y$21,"OK with 3-month term?",Settings!$Z$2:$Z$21,T256)+SUMIFS(Settings!$AA$2:$AA$21,Settings!$Y$2:$Y$21,"Start timeline",Settings!$Z$2:$Z$21,U256)+SUMIFS(Settings!$AA$2:$AA$21,Settings!$Y$2:$Y$21,"Social media gap",Settings!$Z$2:$Z$21,V256)+IF(F256="",0,IF(COUNTIF(Settings!$AC$2:$AC$6,F256)&gt;0,Settings!$AA$20,Settings!$AA$21)))</f>
        <v/>
      </c>
      <c r="X256" s="44" t="str">
        <f aca="false">IF(E256="","",IF(COUNTA(Q256:V256)=0,"Not scored",IF(COUNTA(Q256:V256)&lt;6,"Partly scored ("&amp;COUNTA(Q256:V256)&amp;"/6)",IF(W256&gt;=Settings!$S$8,"Hot",IF(W256&gt;=Settings!$S$9,"Warm","Cold")))))</f>
        <v/>
      </c>
      <c r="Y256" s="44" t="str">
        <f aca="false">IF(E256="","",IF(AND(Q256="No",S256="No"),"🚩 Budget  ·  🚩 No one on camera",IF(Q256="No","🚩 Budget under AED 5k",IF(S256="No","🚩 No one on camera",""))))</f>
        <v/>
      </c>
      <c r="Z256" s="17"/>
      <c r="AA256" s="17"/>
      <c r="AB256" s="40"/>
      <c r="AC256" s="17"/>
      <c r="AD256" s="45" t="str">
        <f aca="false">IF(OR(E256="",AB256="",OR(AA256="Contract signed + paid",AA256="Closed – No response",AA256="Lost"),N(AC256)&gt;=Settings!$S$3),"",AB256+Settings!$S$2)</f>
        <v/>
      </c>
      <c r="AE256" s="40"/>
      <c r="AF256" s="41"/>
      <c r="AG256" s="17"/>
      <c r="AH256" s="17"/>
      <c r="AI256" s="17"/>
      <c r="AJ256" s="46" t="str">
        <f aca="true">IF(OR(E256="",B256=""),"",INT(TODAY()-B256))</f>
        <v/>
      </c>
      <c r="AK256" s="44" t="str">
        <f aca="true">IF(E256="","",IF(OR(COUNTIFS(Clients!$C$2:$C$501,E256,Clients!$S$2:$S$501,"Paid")&gt;0,AND(I256&lt;&gt;"",COUNTIFS(Clients!$E$2:$E$501,I256,Clients!$S$2:$S$501,"Paid")&gt;0)),"⚠ Refunded before – no free video",IF(OR(AA256="Contract signed + paid",AA256="Closed – No response",AA256="Lost"),"",IF(AA256="","Set a stage",IF(AND(AA256="Proposal sent",COUNTA(Q256:V256)&lt;6),"Score this lead – proposal sent unscored",IF(N(AC256)&gt;=Settings!$S$3,"Close – 4 follow-ups sent",IF(AD256="",IF(AB256="","Make first contact",""),IF(TODAY()&gt;AD256,"OVERDUE follow-up",IF(TODAY()=AD256,"Follow up today","")))))))))</f>
        <v/>
      </c>
    </row>
    <row r="257" customFormat="false" ht="15" hidden="false" customHeight="false" outlineLevel="0" collapsed="false">
      <c r="A257" s="17"/>
      <c r="B257" s="40"/>
      <c r="C257" s="41"/>
      <c r="D257" s="17"/>
      <c r="E257" s="17"/>
      <c r="F257" s="17"/>
      <c r="G257" s="17"/>
      <c r="H257" s="17"/>
      <c r="I257" s="42"/>
      <c r="J257" s="17"/>
      <c r="K257" s="17"/>
      <c r="L257" s="17"/>
      <c r="M257" s="17"/>
      <c r="N257" s="40"/>
      <c r="O257" s="41"/>
      <c r="P257" s="43" t="str">
        <f aca="false">IF(OR(B257="",N257=""),"",ROUND(((N257+N(O257))-(B257+N(C257)))*24,1))</f>
        <v/>
      </c>
      <c r="Q257" s="17"/>
      <c r="R257" s="17"/>
      <c r="S257" s="17"/>
      <c r="T257" s="17"/>
      <c r="U257" s="17"/>
      <c r="V257" s="17"/>
      <c r="W257" s="44" t="str">
        <f aca="false">IF(OR(E257="",COUNTA(Q257:V257)=0),"",SUMIFS(Settings!$AA$2:$AA$21,Settings!$Y$2:$Y$21,"Budget AED 5k+/mo?",Settings!$Z$2:$Z$21,Q257)+SUMIFS(Settings!$AA$2:$AA$21,Settings!$Y$2:$Y$21,"Decision-maker?",Settings!$Z$2:$Z$21,R257)+SUMIFS(Settings!$AA$2:$AA$21,Settings!$Y$2:$Y$21,"Someone on camera?",Settings!$Z$2:$Z$21,S257)+SUMIFS(Settings!$AA$2:$AA$21,Settings!$Y$2:$Y$21,"OK with 3-month term?",Settings!$Z$2:$Z$21,T257)+SUMIFS(Settings!$AA$2:$AA$21,Settings!$Y$2:$Y$21,"Start timeline",Settings!$Z$2:$Z$21,U257)+SUMIFS(Settings!$AA$2:$AA$21,Settings!$Y$2:$Y$21,"Social media gap",Settings!$Z$2:$Z$21,V257)+IF(F257="",0,IF(COUNTIF(Settings!$AC$2:$AC$6,F257)&gt;0,Settings!$AA$20,Settings!$AA$21)))</f>
        <v/>
      </c>
      <c r="X257" s="44" t="str">
        <f aca="false">IF(E257="","",IF(COUNTA(Q257:V257)=0,"Not scored",IF(COUNTA(Q257:V257)&lt;6,"Partly scored ("&amp;COUNTA(Q257:V257)&amp;"/6)",IF(W257&gt;=Settings!$S$8,"Hot",IF(W257&gt;=Settings!$S$9,"Warm","Cold")))))</f>
        <v/>
      </c>
      <c r="Y257" s="44" t="str">
        <f aca="false">IF(E257="","",IF(AND(Q257="No",S257="No"),"🚩 Budget  ·  🚩 No one on camera",IF(Q257="No","🚩 Budget under AED 5k",IF(S257="No","🚩 No one on camera",""))))</f>
        <v/>
      </c>
      <c r="Z257" s="17"/>
      <c r="AA257" s="17"/>
      <c r="AB257" s="40"/>
      <c r="AC257" s="17"/>
      <c r="AD257" s="45" t="str">
        <f aca="false">IF(OR(E257="",AB257="",OR(AA257="Contract signed + paid",AA257="Closed – No response",AA257="Lost"),N(AC257)&gt;=Settings!$S$3),"",AB257+Settings!$S$2)</f>
        <v/>
      </c>
      <c r="AE257" s="40"/>
      <c r="AF257" s="41"/>
      <c r="AG257" s="17"/>
      <c r="AH257" s="17"/>
      <c r="AI257" s="17"/>
      <c r="AJ257" s="46" t="str">
        <f aca="true">IF(OR(E257="",B257=""),"",INT(TODAY()-B257))</f>
        <v/>
      </c>
      <c r="AK257" s="44" t="str">
        <f aca="true">IF(E257="","",IF(OR(COUNTIFS(Clients!$C$2:$C$501,E257,Clients!$S$2:$S$501,"Paid")&gt;0,AND(I257&lt;&gt;"",COUNTIFS(Clients!$E$2:$E$501,I257,Clients!$S$2:$S$501,"Paid")&gt;0)),"⚠ Refunded before – no free video",IF(OR(AA257="Contract signed + paid",AA257="Closed – No response",AA257="Lost"),"",IF(AA257="","Set a stage",IF(AND(AA257="Proposal sent",COUNTA(Q257:V257)&lt;6),"Score this lead – proposal sent unscored",IF(N(AC257)&gt;=Settings!$S$3,"Close – 4 follow-ups sent",IF(AD257="",IF(AB257="","Make first contact",""),IF(TODAY()&gt;AD257,"OVERDUE follow-up",IF(TODAY()=AD257,"Follow up today","")))))))))</f>
        <v/>
      </c>
    </row>
    <row r="258" customFormat="false" ht="15" hidden="false" customHeight="false" outlineLevel="0" collapsed="false">
      <c r="A258" s="17"/>
      <c r="B258" s="40"/>
      <c r="C258" s="41"/>
      <c r="D258" s="17"/>
      <c r="E258" s="17"/>
      <c r="F258" s="17"/>
      <c r="G258" s="17"/>
      <c r="H258" s="17"/>
      <c r="I258" s="42"/>
      <c r="J258" s="17"/>
      <c r="K258" s="17"/>
      <c r="L258" s="17"/>
      <c r="M258" s="17"/>
      <c r="N258" s="40"/>
      <c r="O258" s="41"/>
      <c r="P258" s="43" t="str">
        <f aca="false">IF(OR(B258="",N258=""),"",ROUND(((N258+N(O258))-(B258+N(C258)))*24,1))</f>
        <v/>
      </c>
      <c r="Q258" s="17"/>
      <c r="R258" s="17"/>
      <c r="S258" s="17"/>
      <c r="T258" s="17"/>
      <c r="U258" s="17"/>
      <c r="V258" s="17"/>
      <c r="W258" s="44" t="str">
        <f aca="false">IF(OR(E258="",COUNTA(Q258:V258)=0),"",SUMIFS(Settings!$AA$2:$AA$21,Settings!$Y$2:$Y$21,"Budget AED 5k+/mo?",Settings!$Z$2:$Z$21,Q258)+SUMIFS(Settings!$AA$2:$AA$21,Settings!$Y$2:$Y$21,"Decision-maker?",Settings!$Z$2:$Z$21,R258)+SUMIFS(Settings!$AA$2:$AA$21,Settings!$Y$2:$Y$21,"Someone on camera?",Settings!$Z$2:$Z$21,S258)+SUMIFS(Settings!$AA$2:$AA$21,Settings!$Y$2:$Y$21,"OK with 3-month term?",Settings!$Z$2:$Z$21,T258)+SUMIFS(Settings!$AA$2:$AA$21,Settings!$Y$2:$Y$21,"Start timeline",Settings!$Z$2:$Z$21,U258)+SUMIFS(Settings!$AA$2:$AA$21,Settings!$Y$2:$Y$21,"Social media gap",Settings!$Z$2:$Z$21,V258)+IF(F258="",0,IF(COUNTIF(Settings!$AC$2:$AC$6,F258)&gt;0,Settings!$AA$20,Settings!$AA$21)))</f>
        <v/>
      </c>
      <c r="X258" s="44" t="str">
        <f aca="false">IF(E258="","",IF(COUNTA(Q258:V258)=0,"Not scored",IF(COUNTA(Q258:V258)&lt;6,"Partly scored ("&amp;COUNTA(Q258:V258)&amp;"/6)",IF(W258&gt;=Settings!$S$8,"Hot",IF(W258&gt;=Settings!$S$9,"Warm","Cold")))))</f>
        <v/>
      </c>
      <c r="Y258" s="44" t="str">
        <f aca="false">IF(E258="","",IF(AND(Q258="No",S258="No"),"🚩 Budget  ·  🚩 No one on camera",IF(Q258="No","🚩 Budget under AED 5k",IF(S258="No","🚩 No one on camera",""))))</f>
        <v/>
      </c>
      <c r="Z258" s="17"/>
      <c r="AA258" s="17"/>
      <c r="AB258" s="40"/>
      <c r="AC258" s="17"/>
      <c r="AD258" s="45" t="str">
        <f aca="false">IF(OR(E258="",AB258="",OR(AA258="Contract signed + paid",AA258="Closed – No response",AA258="Lost"),N(AC258)&gt;=Settings!$S$3),"",AB258+Settings!$S$2)</f>
        <v/>
      </c>
      <c r="AE258" s="40"/>
      <c r="AF258" s="41"/>
      <c r="AG258" s="17"/>
      <c r="AH258" s="17"/>
      <c r="AI258" s="17"/>
      <c r="AJ258" s="46" t="str">
        <f aca="true">IF(OR(E258="",B258=""),"",INT(TODAY()-B258))</f>
        <v/>
      </c>
      <c r="AK258" s="44" t="str">
        <f aca="true">IF(E258="","",IF(OR(COUNTIFS(Clients!$C$2:$C$501,E258,Clients!$S$2:$S$501,"Paid")&gt;0,AND(I258&lt;&gt;"",COUNTIFS(Clients!$E$2:$E$501,I258,Clients!$S$2:$S$501,"Paid")&gt;0)),"⚠ Refunded before – no free video",IF(OR(AA258="Contract signed + paid",AA258="Closed – No response",AA258="Lost"),"",IF(AA258="","Set a stage",IF(AND(AA258="Proposal sent",COUNTA(Q258:V258)&lt;6),"Score this lead – proposal sent unscored",IF(N(AC258)&gt;=Settings!$S$3,"Close – 4 follow-ups sent",IF(AD258="",IF(AB258="","Make first contact",""),IF(TODAY()&gt;AD258,"OVERDUE follow-up",IF(TODAY()=AD258,"Follow up today","")))))))))</f>
        <v/>
      </c>
    </row>
    <row r="259" customFormat="false" ht="15" hidden="false" customHeight="false" outlineLevel="0" collapsed="false">
      <c r="A259" s="17"/>
      <c r="B259" s="40"/>
      <c r="C259" s="41"/>
      <c r="D259" s="17"/>
      <c r="E259" s="17"/>
      <c r="F259" s="17"/>
      <c r="G259" s="17"/>
      <c r="H259" s="17"/>
      <c r="I259" s="42"/>
      <c r="J259" s="17"/>
      <c r="K259" s="17"/>
      <c r="L259" s="17"/>
      <c r="M259" s="17"/>
      <c r="N259" s="40"/>
      <c r="O259" s="41"/>
      <c r="P259" s="43" t="str">
        <f aca="false">IF(OR(B259="",N259=""),"",ROUND(((N259+N(O259))-(B259+N(C259)))*24,1))</f>
        <v/>
      </c>
      <c r="Q259" s="17"/>
      <c r="R259" s="17"/>
      <c r="S259" s="17"/>
      <c r="T259" s="17"/>
      <c r="U259" s="17"/>
      <c r="V259" s="17"/>
      <c r="W259" s="44" t="str">
        <f aca="false">IF(OR(E259="",COUNTA(Q259:V259)=0),"",SUMIFS(Settings!$AA$2:$AA$21,Settings!$Y$2:$Y$21,"Budget AED 5k+/mo?",Settings!$Z$2:$Z$21,Q259)+SUMIFS(Settings!$AA$2:$AA$21,Settings!$Y$2:$Y$21,"Decision-maker?",Settings!$Z$2:$Z$21,R259)+SUMIFS(Settings!$AA$2:$AA$21,Settings!$Y$2:$Y$21,"Someone on camera?",Settings!$Z$2:$Z$21,S259)+SUMIFS(Settings!$AA$2:$AA$21,Settings!$Y$2:$Y$21,"OK with 3-month term?",Settings!$Z$2:$Z$21,T259)+SUMIFS(Settings!$AA$2:$AA$21,Settings!$Y$2:$Y$21,"Start timeline",Settings!$Z$2:$Z$21,U259)+SUMIFS(Settings!$AA$2:$AA$21,Settings!$Y$2:$Y$21,"Social media gap",Settings!$Z$2:$Z$21,V259)+IF(F259="",0,IF(COUNTIF(Settings!$AC$2:$AC$6,F259)&gt;0,Settings!$AA$20,Settings!$AA$21)))</f>
        <v/>
      </c>
      <c r="X259" s="44" t="str">
        <f aca="false">IF(E259="","",IF(COUNTA(Q259:V259)=0,"Not scored",IF(COUNTA(Q259:V259)&lt;6,"Partly scored ("&amp;COUNTA(Q259:V259)&amp;"/6)",IF(W259&gt;=Settings!$S$8,"Hot",IF(W259&gt;=Settings!$S$9,"Warm","Cold")))))</f>
        <v/>
      </c>
      <c r="Y259" s="44" t="str">
        <f aca="false">IF(E259="","",IF(AND(Q259="No",S259="No"),"🚩 Budget  ·  🚩 No one on camera",IF(Q259="No","🚩 Budget under AED 5k",IF(S259="No","🚩 No one on camera",""))))</f>
        <v/>
      </c>
      <c r="Z259" s="17"/>
      <c r="AA259" s="17"/>
      <c r="AB259" s="40"/>
      <c r="AC259" s="17"/>
      <c r="AD259" s="45" t="str">
        <f aca="false">IF(OR(E259="",AB259="",OR(AA259="Contract signed + paid",AA259="Closed – No response",AA259="Lost"),N(AC259)&gt;=Settings!$S$3),"",AB259+Settings!$S$2)</f>
        <v/>
      </c>
      <c r="AE259" s="40"/>
      <c r="AF259" s="41"/>
      <c r="AG259" s="17"/>
      <c r="AH259" s="17"/>
      <c r="AI259" s="17"/>
      <c r="AJ259" s="46" t="str">
        <f aca="true">IF(OR(E259="",B259=""),"",INT(TODAY()-B259))</f>
        <v/>
      </c>
      <c r="AK259" s="44" t="str">
        <f aca="true">IF(E259="","",IF(OR(COUNTIFS(Clients!$C$2:$C$501,E259,Clients!$S$2:$S$501,"Paid")&gt;0,AND(I259&lt;&gt;"",COUNTIFS(Clients!$E$2:$E$501,I259,Clients!$S$2:$S$501,"Paid")&gt;0)),"⚠ Refunded before – no free video",IF(OR(AA259="Contract signed + paid",AA259="Closed – No response",AA259="Lost"),"",IF(AA259="","Set a stage",IF(AND(AA259="Proposal sent",COUNTA(Q259:V259)&lt;6),"Score this lead – proposal sent unscored",IF(N(AC259)&gt;=Settings!$S$3,"Close – 4 follow-ups sent",IF(AD259="",IF(AB259="","Make first contact",""),IF(TODAY()&gt;AD259,"OVERDUE follow-up",IF(TODAY()=AD259,"Follow up today","")))))))))</f>
        <v/>
      </c>
    </row>
    <row r="260" customFormat="false" ht="15" hidden="false" customHeight="false" outlineLevel="0" collapsed="false">
      <c r="A260" s="17"/>
      <c r="B260" s="40"/>
      <c r="C260" s="41"/>
      <c r="D260" s="17"/>
      <c r="E260" s="17"/>
      <c r="F260" s="17"/>
      <c r="G260" s="17"/>
      <c r="H260" s="17"/>
      <c r="I260" s="42"/>
      <c r="J260" s="17"/>
      <c r="K260" s="17"/>
      <c r="L260" s="17"/>
      <c r="M260" s="17"/>
      <c r="N260" s="40"/>
      <c r="O260" s="41"/>
      <c r="P260" s="43" t="str">
        <f aca="false">IF(OR(B260="",N260=""),"",ROUND(((N260+N(O260))-(B260+N(C260)))*24,1))</f>
        <v/>
      </c>
      <c r="Q260" s="17"/>
      <c r="R260" s="17"/>
      <c r="S260" s="17"/>
      <c r="T260" s="17"/>
      <c r="U260" s="17"/>
      <c r="V260" s="17"/>
      <c r="W260" s="44" t="str">
        <f aca="false">IF(OR(E260="",COUNTA(Q260:V260)=0),"",SUMIFS(Settings!$AA$2:$AA$21,Settings!$Y$2:$Y$21,"Budget AED 5k+/mo?",Settings!$Z$2:$Z$21,Q260)+SUMIFS(Settings!$AA$2:$AA$21,Settings!$Y$2:$Y$21,"Decision-maker?",Settings!$Z$2:$Z$21,R260)+SUMIFS(Settings!$AA$2:$AA$21,Settings!$Y$2:$Y$21,"Someone on camera?",Settings!$Z$2:$Z$21,S260)+SUMIFS(Settings!$AA$2:$AA$21,Settings!$Y$2:$Y$21,"OK with 3-month term?",Settings!$Z$2:$Z$21,T260)+SUMIFS(Settings!$AA$2:$AA$21,Settings!$Y$2:$Y$21,"Start timeline",Settings!$Z$2:$Z$21,U260)+SUMIFS(Settings!$AA$2:$AA$21,Settings!$Y$2:$Y$21,"Social media gap",Settings!$Z$2:$Z$21,V260)+IF(F260="",0,IF(COUNTIF(Settings!$AC$2:$AC$6,F260)&gt;0,Settings!$AA$20,Settings!$AA$21)))</f>
        <v/>
      </c>
      <c r="X260" s="44" t="str">
        <f aca="false">IF(E260="","",IF(COUNTA(Q260:V260)=0,"Not scored",IF(COUNTA(Q260:V260)&lt;6,"Partly scored ("&amp;COUNTA(Q260:V260)&amp;"/6)",IF(W260&gt;=Settings!$S$8,"Hot",IF(W260&gt;=Settings!$S$9,"Warm","Cold")))))</f>
        <v/>
      </c>
      <c r="Y260" s="44" t="str">
        <f aca="false">IF(E260="","",IF(AND(Q260="No",S260="No"),"🚩 Budget  ·  🚩 No one on camera",IF(Q260="No","🚩 Budget under AED 5k",IF(S260="No","🚩 No one on camera",""))))</f>
        <v/>
      </c>
      <c r="Z260" s="17"/>
      <c r="AA260" s="17"/>
      <c r="AB260" s="40"/>
      <c r="AC260" s="17"/>
      <c r="AD260" s="45" t="str">
        <f aca="false">IF(OR(E260="",AB260="",OR(AA260="Contract signed + paid",AA260="Closed – No response",AA260="Lost"),N(AC260)&gt;=Settings!$S$3),"",AB260+Settings!$S$2)</f>
        <v/>
      </c>
      <c r="AE260" s="40"/>
      <c r="AF260" s="41"/>
      <c r="AG260" s="17"/>
      <c r="AH260" s="17"/>
      <c r="AI260" s="17"/>
      <c r="AJ260" s="46" t="str">
        <f aca="true">IF(OR(E260="",B260=""),"",INT(TODAY()-B260))</f>
        <v/>
      </c>
      <c r="AK260" s="44" t="str">
        <f aca="true">IF(E260="","",IF(OR(COUNTIFS(Clients!$C$2:$C$501,E260,Clients!$S$2:$S$501,"Paid")&gt;0,AND(I260&lt;&gt;"",COUNTIFS(Clients!$E$2:$E$501,I260,Clients!$S$2:$S$501,"Paid")&gt;0)),"⚠ Refunded before – no free video",IF(OR(AA260="Contract signed + paid",AA260="Closed – No response",AA260="Lost"),"",IF(AA260="","Set a stage",IF(AND(AA260="Proposal sent",COUNTA(Q260:V260)&lt;6),"Score this lead – proposal sent unscored",IF(N(AC260)&gt;=Settings!$S$3,"Close – 4 follow-ups sent",IF(AD260="",IF(AB260="","Make first contact",""),IF(TODAY()&gt;AD260,"OVERDUE follow-up",IF(TODAY()=AD260,"Follow up today","")))))))))</f>
        <v/>
      </c>
    </row>
    <row r="261" customFormat="false" ht="15" hidden="false" customHeight="false" outlineLevel="0" collapsed="false">
      <c r="A261" s="17"/>
      <c r="B261" s="40"/>
      <c r="C261" s="41"/>
      <c r="D261" s="17"/>
      <c r="E261" s="17"/>
      <c r="F261" s="17"/>
      <c r="G261" s="17"/>
      <c r="H261" s="17"/>
      <c r="I261" s="42"/>
      <c r="J261" s="17"/>
      <c r="K261" s="17"/>
      <c r="L261" s="17"/>
      <c r="M261" s="17"/>
      <c r="N261" s="40"/>
      <c r="O261" s="41"/>
      <c r="P261" s="43" t="str">
        <f aca="false">IF(OR(B261="",N261=""),"",ROUND(((N261+N(O261))-(B261+N(C261)))*24,1))</f>
        <v/>
      </c>
      <c r="Q261" s="17"/>
      <c r="R261" s="17"/>
      <c r="S261" s="17"/>
      <c r="T261" s="17"/>
      <c r="U261" s="17"/>
      <c r="V261" s="17"/>
      <c r="W261" s="44" t="str">
        <f aca="false">IF(OR(E261="",COUNTA(Q261:V261)=0),"",SUMIFS(Settings!$AA$2:$AA$21,Settings!$Y$2:$Y$21,"Budget AED 5k+/mo?",Settings!$Z$2:$Z$21,Q261)+SUMIFS(Settings!$AA$2:$AA$21,Settings!$Y$2:$Y$21,"Decision-maker?",Settings!$Z$2:$Z$21,R261)+SUMIFS(Settings!$AA$2:$AA$21,Settings!$Y$2:$Y$21,"Someone on camera?",Settings!$Z$2:$Z$21,S261)+SUMIFS(Settings!$AA$2:$AA$21,Settings!$Y$2:$Y$21,"OK with 3-month term?",Settings!$Z$2:$Z$21,T261)+SUMIFS(Settings!$AA$2:$AA$21,Settings!$Y$2:$Y$21,"Start timeline",Settings!$Z$2:$Z$21,U261)+SUMIFS(Settings!$AA$2:$AA$21,Settings!$Y$2:$Y$21,"Social media gap",Settings!$Z$2:$Z$21,V261)+IF(F261="",0,IF(COUNTIF(Settings!$AC$2:$AC$6,F261)&gt;0,Settings!$AA$20,Settings!$AA$21)))</f>
        <v/>
      </c>
      <c r="X261" s="44" t="str">
        <f aca="false">IF(E261="","",IF(COUNTA(Q261:V261)=0,"Not scored",IF(COUNTA(Q261:V261)&lt;6,"Partly scored ("&amp;COUNTA(Q261:V261)&amp;"/6)",IF(W261&gt;=Settings!$S$8,"Hot",IF(W261&gt;=Settings!$S$9,"Warm","Cold")))))</f>
        <v/>
      </c>
      <c r="Y261" s="44" t="str">
        <f aca="false">IF(E261="","",IF(AND(Q261="No",S261="No"),"🚩 Budget  ·  🚩 No one on camera",IF(Q261="No","🚩 Budget under AED 5k",IF(S261="No","🚩 No one on camera",""))))</f>
        <v/>
      </c>
      <c r="Z261" s="17"/>
      <c r="AA261" s="17"/>
      <c r="AB261" s="40"/>
      <c r="AC261" s="17"/>
      <c r="AD261" s="45" t="str">
        <f aca="false">IF(OR(E261="",AB261="",OR(AA261="Contract signed + paid",AA261="Closed – No response",AA261="Lost"),N(AC261)&gt;=Settings!$S$3),"",AB261+Settings!$S$2)</f>
        <v/>
      </c>
      <c r="AE261" s="40"/>
      <c r="AF261" s="41"/>
      <c r="AG261" s="17"/>
      <c r="AH261" s="17"/>
      <c r="AI261" s="17"/>
      <c r="AJ261" s="46" t="str">
        <f aca="true">IF(OR(E261="",B261=""),"",INT(TODAY()-B261))</f>
        <v/>
      </c>
      <c r="AK261" s="44" t="str">
        <f aca="true">IF(E261="","",IF(OR(COUNTIFS(Clients!$C$2:$C$501,E261,Clients!$S$2:$S$501,"Paid")&gt;0,AND(I261&lt;&gt;"",COUNTIFS(Clients!$E$2:$E$501,I261,Clients!$S$2:$S$501,"Paid")&gt;0)),"⚠ Refunded before – no free video",IF(OR(AA261="Contract signed + paid",AA261="Closed – No response",AA261="Lost"),"",IF(AA261="","Set a stage",IF(AND(AA261="Proposal sent",COUNTA(Q261:V261)&lt;6),"Score this lead – proposal sent unscored",IF(N(AC261)&gt;=Settings!$S$3,"Close – 4 follow-ups sent",IF(AD261="",IF(AB261="","Make first contact",""),IF(TODAY()&gt;AD261,"OVERDUE follow-up",IF(TODAY()=AD261,"Follow up today","")))))))))</f>
        <v/>
      </c>
    </row>
    <row r="262" customFormat="false" ht="15" hidden="false" customHeight="false" outlineLevel="0" collapsed="false">
      <c r="A262" s="17"/>
      <c r="B262" s="40"/>
      <c r="C262" s="41"/>
      <c r="D262" s="17"/>
      <c r="E262" s="17"/>
      <c r="F262" s="17"/>
      <c r="G262" s="17"/>
      <c r="H262" s="17"/>
      <c r="I262" s="42"/>
      <c r="J262" s="17"/>
      <c r="K262" s="17"/>
      <c r="L262" s="17"/>
      <c r="M262" s="17"/>
      <c r="N262" s="40"/>
      <c r="O262" s="41"/>
      <c r="P262" s="43" t="str">
        <f aca="false">IF(OR(B262="",N262=""),"",ROUND(((N262+N(O262))-(B262+N(C262)))*24,1))</f>
        <v/>
      </c>
      <c r="Q262" s="17"/>
      <c r="R262" s="17"/>
      <c r="S262" s="17"/>
      <c r="T262" s="17"/>
      <c r="U262" s="17"/>
      <c r="V262" s="17"/>
      <c r="W262" s="44" t="str">
        <f aca="false">IF(OR(E262="",COUNTA(Q262:V262)=0),"",SUMIFS(Settings!$AA$2:$AA$21,Settings!$Y$2:$Y$21,"Budget AED 5k+/mo?",Settings!$Z$2:$Z$21,Q262)+SUMIFS(Settings!$AA$2:$AA$21,Settings!$Y$2:$Y$21,"Decision-maker?",Settings!$Z$2:$Z$21,R262)+SUMIFS(Settings!$AA$2:$AA$21,Settings!$Y$2:$Y$21,"Someone on camera?",Settings!$Z$2:$Z$21,S262)+SUMIFS(Settings!$AA$2:$AA$21,Settings!$Y$2:$Y$21,"OK with 3-month term?",Settings!$Z$2:$Z$21,T262)+SUMIFS(Settings!$AA$2:$AA$21,Settings!$Y$2:$Y$21,"Start timeline",Settings!$Z$2:$Z$21,U262)+SUMIFS(Settings!$AA$2:$AA$21,Settings!$Y$2:$Y$21,"Social media gap",Settings!$Z$2:$Z$21,V262)+IF(F262="",0,IF(COUNTIF(Settings!$AC$2:$AC$6,F262)&gt;0,Settings!$AA$20,Settings!$AA$21)))</f>
        <v/>
      </c>
      <c r="X262" s="44" t="str">
        <f aca="false">IF(E262="","",IF(COUNTA(Q262:V262)=0,"Not scored",IF(COUNTA(Q262:V262)&lt;6,"Partly scored ("&amp;COUNTA(Q262:V262)&amp;"/6)",IF(W262&gt;=Settings!$S$8,"Hot",IF(W262&gt;=Settings!$S$9,"Warm","Cold")))))</f>
        <v/>
      </c>
      <c r="Y262" s="44" t="str">
        <f aca="false">IF(E262="","",IF(AND(Q262="No",S262="No"),"🚩 Budget  ·  🚩 No one on camera",IF(Q262="No","🚩 Budget under AED 5k",IF(S262="No","🚩 No one on camera",""))))</f>
        <v/>
      </c>
      <c r="Z262" s="17"/>
      <c r="AA262" s="17"/>
      <c r="AB262" s="40"/>
      <c r="AC262" s="17"/>
      <c r="AD262" s="45" t="str">
        <f aca="false">IF(OR(E262="",AB262="",OR(AA262="Contract signed + paid",AA262="Closed – No response",AA262="Lost"),N(AC262)&gt;=Settings!$S$3),"",AB262+Settings!$S$2)</f>
        <v/>
      </c>
      <c r="AE262" s="40"/>
      <c r="AF262" s="41"/>
      <c r="AG262" s="17"/>
      <c r="AH262" s="17"/>
      <c r="AI262" s="17"/>
      <c r="AJ262" s="46" t="str">
        <f aca="true">IF(OR(E262="",B262=""),"",INT(TODAY()-B262))</f>
        <v/>
      </c>
      <c r="AK262" s="44" t="str">
        <f aca="true">IF(E262="","",IF(OR(COUNTIFS(Clients!$C$2:$C$501,E262,Clients!$S$2:$S$501,"Paid")&gt;0,AND(I262&lt;&gt;"",COUNTIFS(Clients!$E$2:$E$501,I262,Clients!$S$2:$S$501,"Paid")&gt;0)),"⚠ Refunded before – no free video",IF(OR(AA262="Contract signed + paid",AA262="Closed – No response",AA262="Lost"),"",IF(AA262="","Set a stage",IF(AND(AA262="Proposal sent",COUNTA(Q262:V262)&lt;6),"Score this lead – proposal sent unscored",IF(N(AC262)&gt;=Settings!$S$3,"Close – 4 follow-ups sent",IF(AD262="",IF(AB262="","Make first contact",""),IF(TODAY()&gt;AD262,"OVERDUE follow-up",IF(TODAY()=AD262,"Follow up today","")))))))))</f>
        <v/>
      </c>
    </row>
    <row r="263" customFormat="false" ht="15" hidden="false" customHeight="false" outlineLevel="0" collapsed="false">
      <c r="A263" s="17"/>
      <c r="B263" s="40"/>
      <c r="C263" s="41"/>
      <c r="D263" s="17"/>
      <c r="E263" s="17"/>
      <c r="F263" s="17"/>
      <c r="G263" s="17"/>
      <c r="H263" s="17"/>
      <c r="I263" s="42"/>
      <c r="J263" s="17"/>
      <c r="K263" s="17"/>
      <c r="L263" s="17"/>
      <c r="M263" s="17"/>
      <c r="N263" s="40"/>
      <c r="O263" s="41"/>
      <c r="P263" s="43" t="str">
        <f aca="false">IF(OR(B263="",N263=""),"",ROUND(((N263+N(O263))-(B263+N(C263)))*24,1))</f>
        <v/>
      </c>
      <c r="Q263" s="17"/>
      <c r="R263" s="17"/>
      <c r="S263" s="17"/>
      <c r="T263" s="17"/>
      <c r="U263" s="17"/>
      <c r="V263" s="17"/>
      <c r="W263" s="44" t="str">
        <f aca="false">IF(OR(E263="",COUNTA(Q263:V263)=0),"",SUMIFS(Settings!$AA$2:$AA$21,Settings!$Y$2:$Y$21,"Budget AED 5k+/mo?",Settings!$Z$2:$Z$21,Q263)+SUMIFS(Settings!$AA$2:$AA$21,Settings!$Y$2:$Y$21,"Decision-maker?",Settings!$Z$2:$Z$21,R263)+SUMIFS(Settings!$AA$2:$AA$21,Settings!$Y$2:$Y$21,"Someone on camera?",Settings!$Z$2:$Z$21,S263)+SUMIFS(Settings!$AA$2:$AA$21,Settings!$Y$2:$Y$21,"OK with 3-month term?",Settings!$Z$2:$Z$21,T263)+SUMIFS(Settings!$AA$2:$AA$21,Settings!$Y$2:$Y$21,"Start timeline",Settings!$Z$2:$Z$21,U263)+SUMIFS(Settings!$AA$2:$AA$21,Settings!$Y$2:$Y$21,"Social media gap",Settings!$Z$2:$Z$21,V263)+IF(F263="",0,IF(COUNTIF(Settings!$AC$2:$AC$6,F263)&gt;0,Settings!$AA$20,Settings!$AA$21)))</f>
        <v/>
      </c>
      <c r="X263" s="44" t="str">
        <f aca="false">IF(E263="","",IF(COUNTA(Q263:V263)=0,"Not scored",IF(COUNTA(Q263:V263)&lt;6,"Partly scored ("&amp;COUNTA(Q263:V263)&amp;"/6)",IF(W263&gt;=Settings!$S$8,"Hot",IF(W263&gt;=Settings!$S$9,"Warm","Cold")))))</f>
        <v/>
      </c>
      <c r="Y263" s="44" t="str">
        <f aca="false">IF(E263="","",IF(AND(Q263="No",S263="No"),"🚩 Budget  ·  🚩 No one on camera",IF(Q263="No","🚩 Budget under AED 5k",IF(S263="No","🚩 No one on camera",""))))</f>
        <v/>
      </c>
      <c r="Z263" s="17"/>
      <c r="AA263" s="17"/>
      <c r="AB263" s="40"/>
      <c r="AC263" s="17"/>
      <c r="AD263" s="45" t="str">
        <f aca="false">IF(OR(E263="",AB263="",OR(AA263="Contract signed + paid",AA263="Closed – No response",AA263="Lost"),N(AC263)&gt;=Settings!$S$3),"",AB263+Settings!$S$2)</f>
        <v/>
      </c>
      <c r="AE263" s="40"/>
      <c r="AF263" s="41"/>
      <c r="AG263" s="17"/>
      <c r="AH263" s="17"/>
      <c r="AI263" s="17"/>
      <c r="AJ263" s="46" t="str">
        <f aca="true">IF(OR(E263="",B263=""),"",INT(TODAY()-B263))</f>
        <v/>
      </c>
      <c r="AK263" s="44" t="str">
        <f aca="true">IF(E263="","",IF(OR(COUNTIFS(Clients!$C$2:$C$501,E263,Clients!$S$2:$S$501,"Paid")&gt;0,AND(I263&lt;&gt;"",COUNTIFS(Clients!$E$2:$E$501,I263,Clients!$S$2:$S$501,"Paid")&gt;0)),"⚠ Refunded before – no free video",IF(OR(AA263="Contract signed + paid",AA263="Closed – No response",AA263="Lost"),"",IF(AA263="","Set a stage",IF(AND(AA263="Proposal sent",COUNTA(Q263:V263)&lt;6),"Score this lead – proposal sent unscored",IF(N(AC263)&gt;=Settings!$S$3,"Close – 4 follow-ups sent",IF(AD263="",IF(AB263="","Make first contact",""),IF(TODAY()&gt;AD263,"OVERDUE follow-up",IF(TODAY()=AD263,"Follow up today","")))))))))</f>
        <v/>
      </c>
    </row>
    <row r="264" customFormat="false" ht="15" hidden="false" customHeight="false" outlineLevel="0" collapsed="false">
      <c r="A264" s="17"/>
      <c r="B264" s="40"/>
      <c r="C264" s="41"/>
      <c r="D264" s="17"/>
      <c r="E264" s="17"/>
      <c r="F264" s="17"/>
      <c r="G264" s="17"/>
      <c r="H264" s="17"/>
      <c r="I264" s="42"/>
      <c r="J264" s="17"/>
      <c r="K264" s="17"/>
      <c r="L264" s="17"/>
      <c r="M264" s="17"/>
      <c r="N264" s="40"/>
      <c r="O264" s="41"/>
      <c r="P264" s="43" t="str">
        <f aca="false">IF(OR(B264="",N264=""),"",ROUND(((N264+N(O264))-(B264+N(C264)))*24,1))</f>
        <v/>
      </c>
      <c r="Q264" s="17"/>
      <c r="R264" s="17"/>
      <c r="S264" s="17"/>
      <c r="T264" s="17"/>
      <c r="U264" s="17"/>
      <c r="V264" s="17"/>
      <c r="W264" s="44" t="str">
        <f aca="false">IF(OR(E264="",COUNTA(Q264:V264)=0),"",SUMIFS(Settings!$AA$2:$AA$21,Settings!$Y$2:$Y$21,"Budget AED 5k+/mo?",Settings!$Z$2:$Z$21,Q264)+SUMIFS(Settings!$AA$2:$AA$21,Settings!$Y$2:$Y$21,"Decision-maker?",Settings!$Z$2:$Z$21,R264)+SUMIFS(Settings!$AA$2:$AA$21,Settings!$Y$2:$Y$21,"Someone on camera?",Settings!$Z$2:$Z$21,S264)+SUMIFS(Settings!$AA$2:$AA$21,Settings!$Y$2:$Y$21,"OK with 3-month term?",Settings!$Z$2:$Z$21,T264)+SUMIFS(Settings!$AA$2:$AA$21,Settings!$Y$2:$Y$21,"Start timeline",Settings!$Z$2:$Z$21,U264)+SUMIFS(Settings!$AA$2:$AA$21,Settings!$Y$2:$Y$21,"Social media gap",Settings!$Z$2:$Z$21,V264)+IF(F264="",0,IF(COUNTIF(Settings!$AC$2:$AC$6,F264)&gt;0,Settings!$AA$20,Settings!$AA$21)))</f>
        <v/>
      </c>
      <c r="X264" s="44" t="str">
        <f aca="false">IF(E264="","",IF(COUNTA(Q264:V264)=0,"Not scored",IF(COUNTA(Q264:V264)&lt;6,"Partly scored ("&amp;COUNTA(Q264:V264)&amp;"/6)",IF(W264&gt;=Settings!$S$8,"Hot",IF(W264&gt;=Settings!$S$9,"Warm","Cold")))))</f>
        <v/>
      </c>
      <c r="Y264" s="44" t="str">
        <f aca="false">IF(E264="","",IF(AND(Q264="No",S264="No"),"🚩 Budget  ·  🚩 No one on camera",IF(Q264="No","🚩 Budget under AED 5k",IF(S264="No","🚩 No one on camera",""))))</f>
        <v/>
      </c>
      <c r="Z264" s="17"/>
      <c r="AA264" s="17"/>
      <c r="AB264" s="40"/>
      <c r="AC264" s="17"/>
      <c r="AD264" s="45" t="str">
        <f aca="false">IF(OR(E264="",AB264="",OR(AA264="Contract signed + paid",AA264="Closed – No response",AA264="Lost"),N(AC264)&gt;=Settings!$S$3),"",AB264+Settings!$S$2)</f>
        <v/>
      </c>
      <c r="AE264" s="40"/>
      <c r="AF264" s="41"/>
      <c r="AG264" s="17"/>
      <c r="AH264" s="17"/>
      <c r="AI264" s="17"/>
      <c r="AJ264" s="46" t="str">
        <f aca="true">IF(OR(E264="",B264=""),"",INT(TODAY()-B264))</f>
        <v/>
      </c>
      <c r="AK264" s="44" t="str">
        <f aca="true">IF(E264="","",IF(OR(COUNTIFS(Clients!$C$2:$C$501,E264,Clients!$S$2:$S$501,"Paid")&gt;0,AND(I264&lt;&gt;"",COUNTIFS(Clients!$E$2:$E$501,I264,Clients!$S$2:$S$501,"Paid")&gt;0)),"⚠ Refunded before – no free video",IF(OR(AA264="Contract signed + paid",AA264="Closed – No response",AA264="Lost"),"",IF(AA264="","Set a stage",IF(AND(AA264="Proposal sent",COUNTA(Q264:V264)&lt;6),"Score this lead – proposal sent unscored",IF(N(AC264)&gt;=Settings!$S$3,"Close – 4 follow-ups sent",IF(AD264="",IF(AB264="","Make first contact",""),IF(TODAY()&gt;AD264,"OVERDUE follow-up",IF(TODAY()=AD264,"Follow up today","")))))))))</f>
        <v/>
      </c>
    </row>
    <row r="265" customFormat="false" ht="15" hidden="false" customHeight="false" outlineLevel="0" collapsed="false">
      <c r="A265" s="17"/>
      <c r="B265" s="40"/>
      <c r="C265" s="41"/>
      <c r="D265" s="17"/>
      <c r="E265" s="17"/>
      <c r="F265" s="17"/>
      <c r="G265" s="17"/>
      <c r="H265" s="17"/>
      <c r="I265" s="42"/>
      <c r="J265" s="17"/>
      <c r="K265" s="17"/>
      <c r="L265" s="17"/>
      <c r="M265" s="17"/>
      <c r="N265" s="40"/>
      <c r="O265" s="41"/>
      <c r="P265" s="43" t="str">
        <f aca="false">IF(OR(B265="",N265=""),"",ROUND(((N265+N(O265))-(B265+N(C265)))*24,1))</f>
        <v/>
      </c>
      <c r="Q265" s="17"/>
      <c r="R265" s="17"/>
      <c r="S265" s="17"/>
      <c r="T265" s="17"/>
      <c r="U265" s="17"/>
      <c r="V265" s="17"/>
      <c r="W265" s="44" t="str">
        <f aca="false">IF(OR(E265="",COUNTA(Q265:V265)=0),"",SUMIFS(Settings!$AA$2:$AA$21,Settings!$Y$2:$Y$21,"Budget AED 5k+/mo?",Settings!$Z$2:$Z$21,Q265)+SUMIFS(Settings!$AA$2:$AA$21,Settings!$Y$2:$Y$21,"Decision-maker?",Settings!$Z$2:$Z$21,R265)+SUMIFS(Settings!$AA$2:$AA$21,Settings!$Y$2:$Y$21,"Someone on camera?",Settings!$Z$2:$Z$21,S265)+SUMIFS(Settings!$AA$2:$AA$21,Settings!$Y$2:$Y$21,"OK with 3-month term?",Settings!$Z$2:$Z$21,T265)+SUMIFS(Settings!$AA$2:$AA$21,Settings!$Y$2:$Y$21,"Start timeline",Settings!$Z$2:$Z$21,U265)+SUMIFS(Settings!$AA$2:$AA$21,Settings!$Y$2:$Y$21,"Social media gap",Settings!$Z$2:$Z$21,V265)+IF(F265="",0,IF(COUNTIF(Settings!$AC$2:$AC$6,F265)&gt;0,Settings!$AA$20,Settings!$AA$21)))</f>
        <v/>
      </c>
      <c r="X265" s="44" t="str">
        <f aca="false">IF(E265="","",IF(COUNTA(Q265:V265)=0,"Not scored",IF(COUNTA(Q265:V265)&lt;6,"Partly scored ("&amp;COUNTA(Q265:V265)&amp;"/6)",IF(W265&gt;=Settings!$S$8,"Hot",IF(W265&gt;=Settings!$S$9,"Warm","Cold")))))</f>
        <v/>
      </c>
      <c r="Y265" s="44" t="str">
        <f aca="false">IF(E265="","",IF(AND(Q265="No",S265="No"),"🚩 Budget  ·  🚩 No one on camera",IF(Q265="No","🚩 Budget under AED 5k",IF(S265="No","🚩 No one on camera",""))))</f>
        <v/>
      </c>
      <c r="Z265" s="17"/>
      <c r="AA265" s="17"/>
      <c r="AB265" s="40"/>
      <c r="AC265" s="17"/>
      <c r="AD265" s="45" t="str">
        <f aca="false">IF(OR(E265="",AB265="",OR(AA265="Contract signed + paid",AA265="Closed – No response",AA265="Lost"),N(AC265)&gt;=Settings!$S$3),"",AB265+Settings!$S$2)</f>
        <v/>
      </c>
      <c r="AE265" s="40"/>
      <c r="AF265" s="41"/>
      <c r="AG265" s="17"/>
      <c r="AH265" s="17"/>
      <c r="AI265" s="17"/>
      <c r="AJ265" s="46" t="str">
        <f aca="true">IF(OR(E265="",B265=""),"",INT(TODAY()-B265))</f>
        <v/>
      </c>
      <c r="AK265" s="44" t="str">
        <f aca="true">IF(E265="","",IF(OR(COUNTIFS(Clients!$C$2:$C$501,E265,Clients!$S$2:$S$501,"Paid")&gt;0,AND(I265&lt;&gt;"",COUNTIFS(Clients!$E$2:$E$501,I265,Clients!$S$2:$S$501,"Paid")&gt;0)),"⚠ Refunded before – no free video",IF(OR(AA265="Contract signed + paid",AA265="Closed – No response",AA265="Lost"),"",IF(AA265="","Set a stage",IF(AND(AA265="Proposal sent",COUNTA(Q265:V265)&lt;6),"Score this lead – proposal sent unscored",IF(N(AC265)&gt;=Settings!$S$3,"Close – 4 follow-ups sent",IF(AD265="",IF(AB265="","Make first contact",""),IF(TODAY()&gt;AD265,"OVERDUE follow-up",IF(TODAY()=AD265,"Follow up today","")))))))))</f>
        <v/>
      </c>
    </row>
    <row r="266" customFormat="false" ht="15" hidden="false" customHeight="false" outlineLevel="0" collapsed="false">
      <c r="A266" s="17"/>
      <c r="B266" s="40"/>
      <c r="C266" s="41"/>
      <c r="D266" s="17"/>
      <c r="E266" s="17"/>
      <c r="F266" s="17"/>
      <c r="G266" s="17"/>
      <c r="H266" s="17"/>
      <c r="I266" s="42"/>
      <c r="J266" s="17"/>
      <c r="K266" s="17"/>
      <c r="L266" s="17"/>
      <c r="M266" s="17"/>
      <c r="N266" s="40"/>
      <c r="O266" s="41"/>
      <c r="P266" s="43" t="str">
        <f aca="false">IF(OR(B266="",N266=""),"",ROUND(((N266+N(O266))-(B266+N(C266)))*24,1))</f>
        <v/>
      </c>
      <c r="Q266" s="17"/>
      <c r="R266" s="17"/>
      <c r="S266" s="17"/>
      <c r="T266" s="17"/>
      <c r="U266" s="17"/>
      <c r="V266" s="17"/>
      <c r="W266" s="44" t="str">
        <f aca="false">IF(OR(E266="",COUNTA(Q266:V266)=0),"",SUMIFS(Settings!$AA$2:$AA$21,Settings!$Y$2:$Y$21,"Budget AED 5k+/mo?",Settings!$Z$2:$Z$21,Q266)+SUMIFS(Settings!$AA$2:$AA$21,Settings!$Y$2:$Y$21,"Decision-maker?",Settings!$Z$2:$Z$21,R266)+SUMIFS(Settings!$AA$2:$AA$21,Settings!$Y$2:$Y$21,"Someone on camera?",Settings!$Z$2:$Z$21,S266)+SUMIFS(Settings!$AA$2:$AA$21,Settings!$Y$2:$Y$21,"OK with 3-month term?",Settings!$Z$2:$Z$21,T266)+SUMIFS(Settings!$AA$2:$AA$21,Settings!$Y$2:$Y$21,"Start timeline",Settings!$Z$2:$Z$21,U266)+SUMIFS(Settings!$AA$2:$AA$21,Settings!$Y$2:$Y$21,"Social media gap",Settings!$Z$2:$Z$21,V266)+IF(F266="",0,IF(COUNTIF(Settings!$AC$2:$AC$6,F266)&gt;0,Settings!$AA$20,Settings!$AA$21)))</f>
        <v/>
      </c>
      <c r="X266" s="44" t="str">
        <f aca="false">IF(E266="","",IF(COUNTA(Q266:V266)=0,"Not scored",IF(COUNTA(Q266:V266)&lt;6,"Partly scored ("&amp;COUNTA(Q266:V266)&amp;"/6)",IF(W266&gt;=Settings!$S$8,"Hot",IF(W266&gt;=Settings!$S$9,"Warm","Cold")))))</f>
        <v/>
      </c>
      <c r="Y266" s="44" t="str">
        <f aca="false">IF(E266="","",IF(AND(Q266="No",S266="No"),"🚩 Budget  ·  🚩 No one on camera",IF(Q266="No","🚩 Budget under AED 5k",IF(S266="No","🚩 No one on camera",""))))</f>
        <v/>
      </c>
      <c r="Z266" s="17"/>
      <c r="AA266" s="17"/>
      <c r="AB266" s="40"/>
      <c r="AC266" s="17"/>
      <c r="AD266" s="45" t="str">
        <f aca="false">IF(OR(E266="",AB266="",OR(AA266="Contract signed + paid",AA266="Closed – No response",AA266="Lost"),N(AC266)&gt;=Settings!$S$3),"",AB266+Settings!$S$2)</f>
        <v/>
      </c>
      <c r="AE266" s="40"/>
      <c r="AF266" s="41"/>
      <c r="AG266" s="17"/>
      <c r="AH266" s="17"/>
      <c r="AI266" s="17"/>
      <c r="AJ266" s="46" t="str">
        <f aca="true">IF(OR(E266="",B266=""),"",INT(TODAY()-B266))</f>
        <v/>
      </c>
      <c r="AK266" s="44" t="str">
        <f aca="true">IF(E266="","",IF(OR(COUNTIFS(Clients!$C$2:$C$501,E266,Clients!$S$2:$S$501,"Paid")&gt;0,AND(I266&lt;&gt;"",COUNTIFS(Clients!$E$2:$E$501,I266,Clients!$S$2:$S$501,"Paid")&gt;0)),"⚠ Refunded before – no free video",IF(OR(AA266="Contract signed + paid",AA266="Closed – No response",AA266="Lost"),"",IF(AA266="","Set a stage",IF(AND(AA266="Proposal sent",COUNTA(Q266:V266)&lt;6),"Score this lead – proposal sent unscored",IF(N(AC266)&gt;=Settings!$S$3,"Close – 4 follow-ups sent",IF(AD266="",IF(AB266="","Make first contact",""),IF(TODAY()&gt;AD266,"OVERDUE follow-up",IF(TODAY()=AD266,"Follow up today","")))))))))</f>
        <v/>
      </c>
    </row>
    <row r="267" customFormat="false" ht="15" hidden="false" customHeight="false" outlineLevel="0" collapsed="false">
      <c r="A267" s="17"/>
      <c r="B267" s="40"/>
      <c r="C267" s="41"/>
      <c r="D267" s="17"/>
      <c r="E267" s="17"/>
      <c r="F267" s="17"/>
      <c r="G267" s="17"/>
      <c r="H267" s="17"/>
      <c r="I267" s="42"/>
      <c r="J267" s="17"/>
      <c r="K267" s="17"/>
      <c r="L267" s="17"/>
      <c r="M267" s="17"/>
      <c r="N267" s="40"/>
      <c r="O267" s="41"/>
      <c r="P267" s="43" t="str">
        <f aca="false">IF(OR(B267="",N267=""),"",ROUND(((N267+N(O267))-(B267+N(C267)))*24,1))</f>
        <v/>
      </c>
      <c r="Q267" s="17"/>
      <c r="R267" s="17"/>
      <c r="S267" s="17"/>
      <c r="T267" s="17"/>
      <c r="U267" s="17"/>
      <c r="V267" s="17"/>
      <c r="W267" s="44" t="str">
        <f aca="false">IF(OR(E267="",COUNTA(Q267:V267)=0),"",SUMIFS(Settings!$AA$2:$AA$21,Settings!$Y$2:$Y$21,"Budget AED 5k+/mo?",Settings!$Z$2:$Z$21,Q267)+SUMIFS(Settings!$AA$2:$AA$21,Settings!$Y$2:$Y$21,"Decision-maker?",Settings!$Z$2:$Z$21,R267)+SUMIFS(Settings!$AA$2:$AA$21,Settings!$Y$2:$Y$21,"Someone on camera?",Settings!$Z$2:$Z$21,S267)+SUMIFS(Settings!$AA$2:$AA$21,Settings!$Y$2:$Y$21,"OK with 3-month term?",Settings!$Z$2:$Z$21,T267)+SUMIFS(Settings!$AA$2:$AA$21,Settings!$Y$2:$Y$21,"Start timeline",Settings!$Z$2:$Z$21,U267)+SUMIFS(Settings!$AA$2:$AA$21,Settings!$Y$2:$Y$21,"Social media gap",Settings!$Z$2:$Z$21,V267)+IF(F267="",0,IF(COUNTIF(Settings!$AC$2:$AC$6,F267)&gt;0,Settings!$AA$20,Settings!$AA$21)))</f>
        <v/>
      </c>
      <c r="X267" s="44" t="str">
        <f aca="false">IF(E267="","",IF(COUNTA(Q267:V267)=0,"Not scored",IF(COUNTA(Q267:V267)&lt;6,"Partly scored ("&amp;COUNTA(Q267:V267)&amp;"/6)",IF(W267&gt;=Settings!$S$8,"Hot",IF(W267&gt;=Settings!$S$9,"Warm","Cold")))))</f>
        <v/>
      </c>
      <c r="Y267" s="44" t="str">
        <f aca="false">IF(E267="","",IF(AND(Q267="No",S267="No"),"🚩 Budget  ·  🚩 No one on camera",IF(Q267="No","🚩 Budget under AED 5k",IF(S267="No","🚩 No one on camera",""))))</f>
        <v/>
      </c>
      <c r="Z267" s="17"/>
      <c r="AA267" s="17"/>
      <c r="AB267" s="40"/>
      <c r="AC267" s="17"/>
      <c r="AD267" s="45" t="str">
        <f aca="false">IF(OR(E267="",AB267="",OR(AA267="Contract signed + paid",AA267="Closed – No response",AA267="Lost"),N(AC267)&gt;=Settings!$S$3),"",AB267+Settings!$S$2)</f>
        <v/>
      </c>
      <c r="AE267" s="40"/>
      <c r="AF267" s="41"/>
      <c r="AG267" s="17"/>
      <c r="AH267" s="17"/>
      <c r="AI267" s="17"/>
      <c r="AJ267" s="46" t="str">
        <f aca="true">IF(OR(E267="",B267=""),"",INT(TODAY()-B267))</f>
        <v/>
      </c>
      <c r="AK267" s="44" t="str">
        <f aca="true">IF(E267="","",IF(OR(COUNTIFS(Clients!$C$2:$C$501,E267,Clients!$S$2:$S$501,"Paid")&gt;0,AND(I267&lt;&gt;"",COUNTIFS(Clients!$E$2:$E$501,I267,Clients!$S$2:$S$501,"Paid")&gt;0)),"⚠ Refunded before – no free video",IF(OR(AA267="Contract signed + paid",AA267="Closed – No response",AA267="Lost"),"",IF(AA267="","Set a stage",IF(AND(AA267="Proposal sent",COUNTA(Q267:V267)&lt;6),"Score this lead – proposal sent unscored",IF(N(AC267)&gt;=Settings!$S$3,"Close – 4 follow-ups sent",IF(AD267="",IF(AB267="","Make first contact",""),IF(TODAY()&gt;AD267,"OVERDUE follow-up",IF(TODAY()=AD267,"Follow up today","")))))))))</f>
        <v/>
      </c>
    </row>
    <row r="268" customFormat="false" ht="15" hidden="false" customHeight="false" outlineLevel="0" collapsed="false">
      <c r="A268" s="17"/>
      <c r="B268" s="40"/>
      <c r="C268" s="41"/>
      <c r="D268" s="17"/>
      <c r="E268" s="17"/>
      <c r="F268" s="17"/>
      <c r="G268" s="17"/>
      <c r="H268" s="17"/>
      <c r="I268" s="42"/>
      <c r="J268" s="17"/>
      <c r="K268" s="17"/>
      <c r="L268" s="17"/>
      <c r="M268" s="17"/>
      <c r="N268" s="40"/>
      <c r="O268" s="41"/>
      <c r="P268" s="43" t="str">
        <f aca="false">IF(OR(B268="",N268=""),"",ROUND(((N268+N(O268))-(B268+N(C268)))*24,1))</f>
        <v/>
      </c>
      <c r="Q268" s="17"/>
      <c r="R268" s="17"/>
      <c r="S268" s="17"/>
      <c r="T268" s="17"/>
      <c r="U268" s="17"/>
      <c r="V268" s="17"/>
      <c r="W268" s="44" t="str">
        <f aca="false">IF(OR(E268="",COUNTA(Q268:V268)=0),"",SUMIFS(Settings!$AA$2:$AA$21,Settings!$Y$2:$Y$21,"Budget AED 5k+/mo?",Settings!$Z$2:$Z$21,Q268)+SUMIFS(Settings!$AA$2:$AA$21,Settings!$Y$2:$Y$21,"Decision-maker?",Settings!$Z$2:$Z$21,R268)+SUMIFS(Settings!$AA$2:$AA$21,Settings!$Y$2:$Y$21,"Someone on camera?",Settings!$Z$2:$Z$21,S268)+SUMIFS(Settings!$AA$2:$AA$21,Settings!$Y$2:$Y$21,"OK with 3-month term?",Settings!$Z$2:$Z$21,T268)+SUMIFS(Settings!$AA$2:$AA$21,Settings!$Y$2:$Y$21,"Start timeline",Settings!$Z$2:$Z$21,U268)+SUMIFS(Settings!$AA$2:$AA$21,Settings!$Y$2:$Y$21,"Social media gap",Settings!$Z$2:$Z$21,V268)+IF(F268="",0,IF(COUNTIF(Settings!$AC$2:$AC$6,F268)&gt;0,Settings!$AA$20,Settings!$AA$21)))</f>
        <v/>
      </c>
      <c r="X268" s="44" t="str">
        <f aca="false">IF(E268="","",IF(COUNTA(Q268:V268)=0,"Not scored",IF(COUNTA(Q268:V268)&lt;6,"Partly scored ("&amp;COUNTA(Q268:V268)&amp;"/6)",IF(W268&gt;=Settings!$S$8,"Hot",IF(W268&gt;=Settings!$S$9,"Warm","Cold")))))</f>
        <v/>
      </c>
      <c r="Y268" s="44" t="str">
        <f aca="false">IF(E268="","",IF(AND(Q268="No",S268="No"),"🚩 Budget  ·  🚩 No one on camera",IF(Q268="No","🚩 Budget under AED 5k",IF(S268="No","🚩 No one on camera",""))))</f>
        <v/>
      </c>
      <c r="Z268" s="17"/>
      <c r="AA268" s="17"/>
      <c r="AB268" s="40"/>
      <c r="AC268" s="17"/>
      <c r="AD268" s="45" t="str">
        <f aca="false">IF(OR(E268="",AB268="",OR(AA268="Contract signed + paid",AA268="Closed – No response",AA268="Lost"),N(AC268)&gt;=Settings!$S$3),"",AB268+Settings!$S$2)</f>
        <v/>
      </c>
      <c r="AE268" s="40"/>
      <c r="AF268" s="41"/>
      <c r="AG268" s="17"/>
      <c r="AH268" s="17"/>
      <c r="AI268" s="17"/>
      <c r="AJ268" s="46" t="str">
        <f aca="true">IF(OR(E268="",B268=""),"",INT(TODAY()-B268))</f>
        <v/>
      </c>
      <c r="AK268" s="44" t="str">
        <f aca="true">IF(E268="","",IF(OR(COUNTIFS(Clients!$C$2:$C$501,E268,Clients!$S$2:$S$501,"Paid")&gt;0,AND(I268&lt;&gt;"",COUNTIFS(Clients!$E$2:$E$501,I268,Clients!$S$2:$S$501,"Paid")&gt;0)),"⚠ Refunded before – no free video",IF(OR(AA268="Contract signed + paid",AA268="Closed – No response",AA268="Lost"),"",IF(AA268="","Set a stage",IF(AND(AA268="Proposal sent",COUNTA(Q268:V268)&lt;6),"Score this lead – proposal sent unscored",IF(N(AC268)&gt;=Settings!$S$3,"Close – 4 follow-ups sent",IF(AD268="",IF(AB268="","Make first contact",""),IF(TODAY()&gt;AD268,"OVERDUE follow-up",IF(TODAY()=AD268,"Follow up today","")))))))))</f>
        <v/>
      </c>
    </row>
    <row r="269" customFormat="false" ht="15" hidden="false" customHeight="false" outlineLevel="0" collapsed="false">
      <c r="A269" s="17"/>
      <c r="B269" s="40"/>
      <c r="C269" s="41"/>
      <c r="D269" s="17"/>
      <c r="E269" s="17"/>
      <c r="F269" s="17"/>
      <c r="G269" s="17"/>
      <c r="H269" s="17"/>
      <c r="I269" s="42"/>
      <c r="J269" s="17"/>
      <c r="K269" s="17"/>
      <c r="L269" s="17"/>
      <c r="M269" s="17"/>
      <c r="N269" s="40"/>
      <c r="O269" s="41"/>
      <c r="P269" s="43" t="str">
        <f aca="false">IF(OR(B269="",N269=""),"",ROUND(((N269+N(O269))-(B269+N(C269)))*24,1))</f>
        <v/>
      </c>
      <c r="Q269" s="17"/>
      <c r="R269" s="17"/>
      <c r="S269" s="17"/>
      <c r="T269" s="17"/>
      <c r="U269" s="17"/>
      <c r="V269" s="17"/>
      <c r="W269" s="44" t="str">
        <f aca="false">IF(OR(E269="",COUNTA(Q269:V269)=0),"",SUMIFS(Settings!$AA$2:$AA$21,Settings!$Y$2:$Y$21,"Budget AED 5k+/mo?",Settings!$Z$2:$Z$21,Q269)+SUMIFS(Settings!$AA$2:$AA$21,Settings!$Y$2:$Y$21,"Decision-maker?",Settings!$Z$2:$Z$21,R269)+SUMIFS(Settings!$AA$2:$AA$21,Settings!$Y$2:$Y$21,"Someone on camera?",Settings!$Z$2:$Z$21,S269)+SUMIFS(Settings!$AA$2:$AA$21,Settings!$Y$2:$Y$21,"OK with 3-month term?",Settings!$Z$2:$Z$21,T269)+SUMIFS(Settings!$AA$2:$AA$21,Settings!$Y$2:$Y$21,"Start timeline",Settings!$Z$2:$Z$21,U269)+SUMIFS(Settings!$AA$2:$AA$21,Settings!$Y$2:$Y$21,"Social media gap",Settings!$Z$2:$Z$21,V269)+IF(F269="",0,IF(COUNTIF(Settings!$AC$2:$AC$6,F269)&gt;0,Settings!$AA$20,Settings!$AA$21)))</f>
        <v/>
      </c>
      <c r="X269" s="44" t="str">
        <f aca="false">IF(E269="","",IF(COUNTA(Q269:V269)=0,"Not scored",IF(COUNTA(Q269:V269)&lt;6,"Partly scored ("&amp;COUNTA(Q269:V269)&amp;"/6)",IF(W269&gt;=Settings!$S$8,"Hot",IF(W269&gt;=Settings!$S$9,"Warm","Cold")))))</f>
        <v/>
      </c>
      <c r="Y269" s="44" t="str">
        <f aca="false">IF(E269="","",IF(AND(Q269="No",S269="No"),"🚩 Budget  ·  🚩 No one on camera",IF(Q269="No","🚩 Budget under AED 5k",IF(S269="No","🚩 No one on camera",""))))</f>
        <v/>
      </c>
      <c r="Z269" s="17"/>
      <c r="AA269" s="17"/>
      <c r="AB269" s="40"/>
      <c r="AC269" s="17"/>
      <c r="AD269" s="45" t="str">
        <f aca="false">IF(OR(E269="",AB269="",OR(AA269="Contract signed + paid",AA269="Closed – No response",AA269="Lost"),N(AC269)&gt;=Settings!$S$3),"",AB269+Settings!$S$2)</f>
        <v/>
      </c>
      <c r="AE269" s="40"/>
      <c r="AF269" s="41"/>
      <c r="AG269" s="17"/>
      <c r="AH269" s="17"/>
      <c r="AI269" s="17"/>
      <c r="AJ269" s="46" t="str">
        <f aca="true">IF(OR(E269="",B269=""),"",INT(TODAY()-B269))</f>
        <v/>
      </c>
      <c r="AK269" s="44" t="str">
        <f aca="true">IF(E269="","",IF(OR(COUNTIFS(Clients!$C$2:$C$501,E269,Clients!$S$2:$S$501,"Paid")&gt;0,AND(I269&lt;&gt;"",COUNTIFS(Clients!$E$2:$E$501,I269,Clients!$S$2:$S$501,"Paid")&gt;0)),"⚠ Refunded before – no free video",IF(OR(AA269="Contract signed + paid",AA269="Closed – No response",AA269="Lost"),"",IF(AA269="","Set a stage",IF(AND(AA269="Proposal sent",COUNTA(Q269:V269)&lt;6),"Score this lead – proposal sent unscored",IF(N(AC269)&gt;=Settings!$S$3,"Close – 4 follow-ups sent",IF(AD269="",IF(AB269="","Make first contact",""),IF(TODAY()&gt;AD269,"OVERDUE follow-up",IF(TODAY()=AD269,"Follow up today","")))))))))</f>
        <v/>
      </c>
    </row>
    <row r="270" customFormat="false" ht="15" hidden="false" customHeight="false" outlineLevel="0" collapsed="false">
      <c r="A270" s="17"/>
      <c r="B270" s="40"/>
      <c r="C270" s="41"/>
      <c r="D270" s="17"/>
      <c r="E270" s="17"/>
      <c r="F270" s="17"/>
      <c r="G270" s="17"/>
      <c r="H270" s="17"/>
      <c r="I270" s="42"/>
      <c r="J270" s="17"/>
      <c r="K270" s="17"/>
      <c r="L270" s="17"/>
      <c r="M270" s="17"/>
      <c r="N270" s="40"/>
      <c r="O270" s="41"/>
      <c r="P270" s="43" t="str">
        <f aca="false">IF(OR(B270="",N270=""),"",ROUND(((N270+N(O270))-(B270+N(C270)))*24,1))</f>
        <v/>
      </c>
      <c r="Q270" s="17"/>
      <c r="R270" s="17"/>
      <c r="S270" s="17"/>
      <c r="T270" s="17"/>
      <c r="U270" s="17"/>
      <c r="V270" s="17"/>
      <c r="W270" s="44" t="str">
        <f aca="false">IF(OR(E270="",COUNTA(Q270:V270)=0),"",SUMIFS(Settings!$AA$2:$AA$21,Settings!$Y$2:$Y$21,"Budget AED 5k+/mo?",Settings!$Z$2:$Z$21,Q270)+SUMIFS(Settings!$AA$2:$AA$21,Settings!$Y$2:$Y$21,"Decision-maker?",Settings!$Z$2:$Z$21,R270)+SUMIFS(Settings!$AA$2:$AA$21,Settings!$Y$2:$Y$21,"Someone on camera?",Settings!$Z$2:$Z$21,S270)+SUMIFS(Settings!$AA$2:$AA$21,Settings!$Y$2:$Y$21,"OK with 3-month term?",Settings!$Z$2:$Z$21,T270)+SUMIFS(Settings!$AA$2:$AA$21,Settings!$Y$2:$Y$21,"Start timeline",Settings!$Z$2:$Z$21,U270)+SUMIFS(Settings!$AA$2:$AA$21,Settings!$Y$2:$Y$21,"Social media gap",Settings!$Z$2:$Z$21,V270)+IF(F270="",0,IF(COUNTIF(Settings!$AC$2:$AC$6,F270)&gt;0,Settings!$AA$20,Settings!$AA$21)))</f>
        <v/>
      </c>
      <c r="X270" s="44" t="str">
        <f aca="false">IF(E270="","",IF(COUNTA(Q270:V270)=0,"Not scored",IF(COUNTA(Q270:V270)&lt;6,"Partly scored ("&amp;COUNTA(Q270:V270)&amp;"/6)",IF(W270&gt;=Settings!$S$8,"Hot",IF(W270&gt;=Settings!$S$9,"Warm","Cold")))))</f>
        <v/>
      </c>
      <c r="Y270" s="44" t="str">
        <f aca="false">IF(E270="","",IF(AND(Q270="No",S270="No"),"🚩 Budget  ·  🚩 No one on camera",IF(Q270="No","🚩 Budget under AED 5k",IF(S270="No","🚩 No one on camera",""))))</f>
        <v/>
      </c>
      <c r="Z270" s="17"/>
      <c r="AA270" s="17"/>
      <c r="AB270" s="40"/>
      <c r="AC270" s="17"/>
      <c r="AD270" s="45" t="str">
        <f aca="false">IF(OR(E270="",AB270="",OR(AA270="Contract signed + paid",AA270="Closed – No response",AA270="Lost"),N(AC270)&gt;=Settings!$S$3),"",AB270+Settings!$S$2)</f>
        <v/>
      </c>
      <c r="AE270" s="40"/>
      <c r="AF270" s="41"/>
      <c r="AG270" s="17"/>
      <c r="AH270" s="17"/>
      <c r="AI270" s="17"/>
      <c r="AJ270" s="46" t="str">
        <f aca="true">IF(OR(E270="",B270=""),"",INT(TODAY()-B270))</f>
        <v/>
      </c>
      <c r="AK270" s="44" t="str">
        <f aca="true">IF(E270="","",IF(OR(COUNTIFS(Clients!$C$2:$C$501,E270,Clients!$S$2:$S$501,"Paid")&gt;0,AND(I270&lt;&gt;"",COUNTIFS(Clients!$E$2:$E$501,I270,Clients!$S$2:$S$501,"Paid")&gt;0)),"⚠ Refunded before – no free video",IF(OR(AA270="Contract signed + paid",AA270="Closed – No response",AA270="Lost"),"",IF(AA270="","Set a stage",IF(AND(AA270="Proposal sent",COUNTA(Q270:V270)&lt;6),"Score this lead – proposal sent unscored",IF(N(AC270)&gt;=Settings!$S$3,"Close – 4 follow-ups sent",IF(AD270="",IF(AB270="","Make first contact",""),IF(TODAY()&gt;AD270,"OVERDUE follow-up",IF(TODAY()=AD270,"Follow up today","")))))))))</f>
        <v/>
      </c>
    </row>
    <row r="271" customFormat="false" ht="15" hidden="false" customHeight="false" outlineLevel="0" collapsed="false">
      <c r="A271" s="17"/>
      <c r="B271" s="40"/>
      <c r="C271" s="41"/>
      <c r="D271" s="17"/>
      <c r="E271" s="17"/>
      <c r="F271" s="17"/>
      <c r="G271" s="17"/>
      <c r="H271" s="17"/>
      <c r="I271" s="42"/>
      <c r="J271" s="17"/>
      <c r="K271" s="17"/>
      <c r="L271" s="17"/>
      <c r="M271" s="17"/>
      <c r="N271" s="40"/>
      <c r="O271" s="41"/>
      <c r="P271" s="43" t="str">
        <f aca="false">IF(OR(B271="",N271=""),"",ROUND(((N271+N(O271))-(B271+N(C271)))*24,1))</f>
        <v/>
      </c>
      <c r="Q271" s="17"/>
      <c r="R271" s="17"/>
      <c r="S271" s="17"/>
      <c r="T271" s="17"/>
      <c r="U271" s="17"/>
      <c r="V271" s="17"/>
      <c r="W271" s="44" t="str">
        <f aca="false">IF(OR(E271="",COUNTA(Q271:V271)=0),"",SUMIFS(Settings!$AA$2:$AA$21,Settings!$Y$2:$Y$21,"Budget AED 5k+/mo?",Settings!$Z$2:$Z$21,Q271)+SUMIFS(Settings!$AA$2:$AA$21,Settings!$Y$2:$Y$21,"Decision-maker?",Settings!$Z$2:$Z$21,R271)+SUMIFS(Settings!$AA$2:$AA$21,Settings!$Y$2:$Y$21,"Someone on camera?",Settings!$Z$2:$Z$21,S271)+SUMIFS(Settings!$AA$2:$AA$21,Settings!$Y$2:$Y$21,"OK with 3-month term?",Settings!$Z$2:$Z$21,T271)+SUMIFS(Settings!$AA$2:$AA$21,Settings!$Y$2:$Y$21,"Start timeline",Settings!$Z$2:$Z$21,U271)+SUMIFS(Settings!$AA$2:$AA$21,Settings!$Y$2:$Y$21,"Social media gap",Settings!$Z$2:$Z$21,V271)+IF(F271="",0,IF(COUNTIF(Settings!$AC$2:$AC$6,F271)&gt;0,Settings!$AA$20,Settings!$AA$21)))</f>
        <v/>
      </c>
      <c r="X271" s="44" t="str">
        <f aca="false">IF(E271="","",IF(COUNTA(Q271:V271)=0,"Not scored",IF(COUNTA(Q271:V271)&lt;6,"Partly scored ("&amp;COUNTA(Q271:V271)&amp;"/6)",IF(W271&gt;=Settings!$S$8,"Hot",IF(W271&gt;=Settings!$S$9,"Warm","Cold")))))</f>
        <v/>
      </c>
      <c r="Y271" s="44" t="str">
        <f aca="false">IF(E271="","",IF(AND(Q271="No",S271="No"),"🚩 Budget  ·  🚩 No one on camera",IF(Q271="No","🚩 Budget under AED 5k",IF(S271="No","🚩 No one on camera",""))))</f>
        <v/>
      </c>
      <c r="Z271" s="17"/>
      <c r="AA271" s="17"/>
      <c r="AB271" s="40"/>
      <c r="AC271" s="17"/>
      <c r="AD271" s="45" t="str">
        <f aca="false">IF(OR(E271="",AB271="",OR(AA271="Contract signed + paid",AA271="Closed – No response",AA271="Lost"),N(AC271)&gt;=Settings!$S$3),"",AB271+Settings!$S$2)</f>
        <v/>
      </c>
      <c r="AE271" s="40"/>
      <c r="AF271" s="41"/>
      <c r="AG271" s="17"/>
      <c r="AH271" s="17"/>
      <c r="AI271" s="17"/>
      <c r="AJ271" s="46" t="str">
        <f aca="true">IF(OR(E271="",B271=""),"",INT(TODAY()-B271))</f>
        <v/>
      </c>
      <c r="AK271" s="44" t="str">
        <f aca="true">IF(E271="","",IF(OR(COUNTIFS(Clients!$C$2:$C$501,E271,Clients!$S$2:$S$501,"Paid")&gt;0,AND(I271&lt;&gt;"",COUNTIFS(Clients!$E$2:$E$501,I271,Clients!$S$2:$S$501,"Paid")&gt;0)),"⚠ Refunded before – no free video",IF(OR(AA271="Contract signed + paid",AA271="Closed – No response",AA271="Lost"),"",IF(AA271="","Set a stage",IF(AND(AA271="Proposal sent",COUNTA(Q271:V271)&lt;6),"Score this lead – proposal sent unscored",IF(N(AC271)&gt;=Settings!$S$3,"Close – 4 follow-ups sent",IF(AD271="",IF(AB271="","Make first contact",""),IF(TODAY()&gt;AD271,"OVERDUE follow-up",IF(TODAY()=AD271,"Follow up today","")))))))))</f>
        <v/>
      </c>
    </row>
    <row r="272" customFormat="false" ht="15" hidden="false" customHeight="false" outlineLevel="0" collapsed="false">
      <c r="A272" s="17"/>
      <c r="B272" s="40"/>
      <c r="C272" s="41"/>
      <c r="D272" s="17"/>
      <c r="E272" s="17"/>
      <c r="F272" s="17"/>
      <c r="G272" s="17"/>
      <c r="H272" s="17"/>
      <c r="I272" s="42"/>
      <c r="J272" s="17"/>
      <c r="K272" s="17"/>
      <c r="L272" s="17"/>
      <c r="M272" s="17"/>
      <c r="N272" s="40"/>
      <c r="O272" s="41"/>
      <c r="P272" s="43" t="str">
        <f aca="false">IF(OR(B272="",N272=""),"",ROUND(((N272+N(O272))-(B272+N(C272)))*24,1))</f>
        <v/>
      </c>
      <c r="Q272" s="17"/>
      <c r="R272" s="17"/>
      <c r="S272" s="17"/>
      <c r="T272" s="17"/>
      <c r="U272" s="17"/>
      <c r="V272" s="17"/>
      <c r="W272" s="44" t="str">
        <f aca="false">IF(OR(E272="",COUNTA(Q272:V272)=0),"",SUMIFS(Settings!$AA$2:$AA$21,Settings!$Y$2:$Y$21,"Budget AED 5k+/mo?",Settings!$Z$2:$Z$21,Q272)+SUMIFS(Settings!$AA$2:$AA$21,Settings!$Y$2:$Y$21,"Decision-maker?",Settings!$Z$2:$Z$21,R272)+SUMIFS(Settings!$AA$2:$AA$21,Settings!$Y$2:$Y$21,"Someone on camera?",Settings!$Z$2:$Z$21,S272)+SUMIFS(Settings!$AA$2:$AA$21,Settings!$Y$2:$Y$21,"OK with 3-month term?",Settings!$Z$2:$Z$21,T272)+SUMIFS(Settings!$AA$2:$AA$21,Settings!$Y$2:$Y$21,"Start timeline",Settings!$Z$2:$Z$21,U272)+SUMIFS(Settings!$AA$2:$AA$21,Settings!$Y$2:$Y$21,"Social media gap",Settings!$Z$2:$Z$21,V272)+IF(F272="",0,IF(COUNTIF(Settings!$AC$2:$AC$6,F272)&gt;0,Settings!$AA$20,Settings!$AA$21)))</f>
        <v/>
      </c>
      <c r="X272" s="44" t="str">
        <f aca="false">IF(E272="","",IF(COUNTA(Q272:V272)=0,"Not scored",IF(COUNTA(Q272:V272)&lt;6,"Partly scored ("&amp;COUNTA(Q272:V272)&amp;"/6)",IF(W272&gt;=Settings!$S$8,"Hot",IF(W272&gt;=Settings!$S$9,"Warm","Cold")))))</f>
        <v/>
      </c>
      <c r="Y272" s="44" t="str">
        <f aca="false">IF(E272="","",IF(AND(Q272="No",S272="No"),"🚩 Budget  ·  🚩 No one on camera",IF(Q272="No","🚩 Budget under AED 5k",IF(S272="No","🚩 No one on camera",""))))</f>
        <v/>
      </c>
      <c r="Z272" s="17"/>
      <c r="AA272" s="17"/>
      <c r="AB272" s="40"/>
      <c r="AC272" s="17"/>
      <c r="AD272" s="45" t="str">
        <f aca="false">IF(OR(E272="",AB272="",OR(AA272="Contract signed + paid",AA272="Closed – No response",AA272="Lost"),N(AC272)&gt;=Settings!$S$3),"",AB272+Settings!$S$2)</f>
        <v/>
      </c>
      <c r="AE272" s="40"/>
      <c r="AF272" s="41"/>
      <c r="AG272" s="17"/>
      <c r="AH272" s="17"/>
      <c r="AI272" s="17"/>
      <c r="AJ272" s="46" t="str">
        <f aca="true">IF(OR(E272="",B272=""),"",INT(TODAY()-B272))</f>
        <v/>
      </c>
      <c r="AK272" s="44" t="str">
        <f aca="true">IF(E272="","",IF(OR(COUNTIFS(Clients!$C$2:$C$501,E272,Clients!$S$2:$S$501,"Paid")&gt;0,AND(I272&lt;&gt;"",COUNTIFS(Clients!$E$2:$E$501,I272,Clients!$S$2:$S$501,"Paid")&gt;0)),"⚠ Refunded before – no free video",IF(OR(AA272="Contract signed + paid",AA272="Closed – No response",AA272="Lost"),"",IF(AA272="","Set a stage",IF(AND(AA272="Proposal sent",COUNTA(Q272:V272)&lt;6),"Score this lead – proposal sent unscored",IF(N(AC272)&gt;=Settings!$S$3,"Close – 4 follow-ups sent",IF(AD272="",IF(AB272="","Make first contact",""),IF(TODAY()&gt;AD272,"OVERDUE follow-up",IF(TODAY()=AD272,"Follow up today","")))))))))</f>
        <v/>
      </c>
    </row>
    <row r="273" customFormat="false" ht="15" hidden="false" customHeight="false" outlineLevel="0" collapsed="false">
      <c r="A273" s="17"/>
      <c r="B273" s="40"/>
      <c r="C273" s="41"/>
      <c r="D273" s="17"/>
      <c r="E273" s="17"/>
      <c r="F273" s="17"/>
      <c r="G273" s="17"/>
      <c r="H273" s="17"/>
      <c r="I273" s="42"/>
      <c r="J273" s="17"/>
      <c r="K273" s="17"/>
      <c r="L273" s="17"/>
      <c r="M273" s="17"/>
      <c r="N273" s="40"/>
      <c r="O273" s="41"/>
      <c r="P273" s="43" t="str">
        <f aca="false">IF(OR(B273="",N273=""),"",ROUND(((N273+N(O273))-(B273+N(C273)))*24,1))</f>
        <v/>
      </c>
      <c r="Q273" s="17"/>
      <c r="R273" s="17"/>
      <c r="S273" s="17"/>
      <c r="T273" s="17"/>
      <c r="U273" s="17"/>
      <c r="V273" s="17"/>
      <c r="W273" s="44" t="str">
        <f aca="false">IF(OR(E273="",COUNTA(Q273:V273)=0),"",SUMIFS(Settings!$AA$2:$AA$21,Settings!$Y$2:$Y$21,"Budget AED 5k+/mo?",Settings!$Z$2:$Z$21,Q273)+SUMIFS(Settings!$AA$2:$AA$21,Settings!$Y$2:$Y$21,"Decision-maker?",Settings!$Z$2:$Z$21,R273)+SUMIFS(Settings!$AA$2:$AA$21,Settings!$Y$2:$Y$21,"Someone on camera?",Settings!$Z$2:$Z$21,S273)+SUMIFS(Settings!$AA$2:$AA$21,Settings!$Y$2:$Y$21,"OK with 3-month term?",Settings!$Z$2:$Z$21,T273)+SUMIFS(Settings!$AA$2:$AA$21,Settings!$Y$2:$Y$21,"Start timeline",Settings!$Z$2:$Z$21,U273)+SUMIFS(Settings!$AA$2:$AA$21,Settings!$Y$2:$Y$21,"Social media gap",Settings!$Z$2:$Z$21,V273)+IF(F273="",0,IF(COUNTIF(Settings!$AC$2:$AC$6,F273)&gt;0,Settings!$AA$20,Settings!$AA$21)))</f>
        <v/>
      </c>
      <c r="X273" s="44" t="str">
        <f aca="false">IF(E273="","",IF(COUNTA(Q273:V273)=0,"Not scored",IF(COUNTA(Q273:V273)&lt;6,"Partly scored ("&amp;COUNTA(Q273:V273)&amp;"/6)",IF(W273&gt;=Settings!$S$8,"Hot",IF(W273&gt;=Settings!$S$9,"Warm","Cold")))))</f>
        <v/>
      </c>
      <c r="Y273" s="44" t="str">
        <f aca="false">IF(E273="","",IF(AND(Q273="No",S273="No"),"🚩 Budget  ·  🚩 No one on camera",IF(Q273="No","🚩 Budget under AED 5k",IF(S273="No","🚩 No one on camera",""))))</f>
        <v/>
      </c>
      <c r="Z273" s="17"/>
      <c r="AA273" s="17"/>
      <c r="AB273" s="40"/>
      <c r="AC273" s="17"/>
      <c r="AD273" s="45" t="str">
        <f aca="false">IF(OR(E273="",AB273="",OR(AA273="Contract signed + paid",AA273="Closed – No response",AA273="Lost"),N(AC273)&gt;=Settings!$S$3),"",AB273+Settings!$S$2)</f>
        <v/>
      </c>
      <c r="AE273" s="40"/>
      <c r="AF273" s="41"/>
      <c r="AG273" s="17"/>
      <c r="AH273" s="17"/>
      <c r="AI273" s="17"/>
      <c r="AJ273" s="46" t="str">
        <f aca="true">IF(OR(E273="",B273=""),"",INT(TODAY()-B273))</f>
        <v/>
      </c>
      <c r="AK273" s="44" t="str">
        <f aca="true">IF(E273="","",IF(OR(COUNTIFS(Clients!$C$2:$C$501,E273,Clients!$S$2:$S$501,"Paid")&gt;0,AND(I273&lt;&gt;"",COUNTIFS(Clients!$E$2:$E$501,I273,Clients!$S$2:$S$501,"Paid")&gt;0)),"⚠ Refunded before – no free video",IF(OR(AA273="Contract signed + paid",AA273="Closed – No response",AA273="Lost"),"",IF(AA273="","Set a stage",IF(AND(AA273="Proposal sent",COUNTA(Q273:V273)&lt;6),"Score this lead – proposal sent unscored",IF(N(AC273)&gt;=Settings!$S$3,"Close – 4 follow-ups sent",IF(AD273="",IF(AB273="","Make first contact",""),IF(TODAY()&gt;AD273,"OVERDUE follow-up",IF(TODAY()=AD273,"Follow up today","")))))))))</f>
        <v/>
      </c>
    </row>
    <row r="274" customFormat="false" ht="15" hidden="false" customHeight="false" outlineLevel="0" collapsed="false">
      <c r="A274" s="17"/>
      <c r="B274" s="40"/>
      <c r="C274" s="41"/>
      <c r="D274" s="17"/>
      <c r="E274" s="17"/>
      <c r="F274" s="17"/>
      <c r="G274" s="17"/>
      <c r="H274" s="17"/>
      <c r="I274" s="42"/>
      <c r="J274" s="17"/>
      <c r="K274" s="17"/>
      <c r="L274" s="17"/>
      <c r="M274" s="17"/>
      <c r="N274" s="40"/>
      <c r="O274" s="41"/>
      <c r="P274" s="43" t="str">
        <f aca="false">IF(OR(B274="",N274=""),"",ROUND(((N274+N(O274))-(B274+N(C274)))*24,1))</f>
        <v/>
      </c>
      <c r="Q274" s="17"/>
      <c r="R274" s="17"/>
      <c r="S274" s="17"/>
      <c r="T274" s="17"/>
      <c r="U274" s="17"/>
      <c r="V274" s="17"/>
      <c r="W274" s="44" t="str">
        <f aca="false">IF(OR(E274="",COUNTA(Q274:V274)=0),"",SUMIFS(Settings!$AA$2:$AA$21,Settings!$Y$2:$Y$21,"Budget AED 5k+/mo?",Settings!$Z$2:$Z$21,Q274)+SUMIFS(Settings!$AA$2:$AA$21,Settings!$Y$2:$Y$21,"Decision-maker?",Settings!$Z$2:$Z$21,R274)+SUMIFS(Settings!$AA$2:$AA$21,Settings!$Y$2:$Y$21,"Someone on camera?",Settings!$Z$2:$Z$21,S274)+SUMIFS(Settings!$AA$2:$AA$21,Settings!$Y$2:$Y$21,"OK with 3-month term?",Settings!$Z$2:$Z$21,T274)+SUMIFS(Settings!$AA$2:$AA$21,Settings!$Y$2:$Y$21,"Start timeline",Settings!$Z$2:$Z$21,U274)+SUMIFS(Settings!$AA$2:$AA$21,Settings!$Y$2:$Y$21,"Social media gap",Settings!$Z$2:$Z$21,V274)+IF(F274="",0,IF(COUNTIF(Settings!$AC$2:$AC$6,F274)&gt;0,Settings!$AA$20,Settings!$AA$21)))</f>
        <v/>
      </c>
      <c r="X274" s="44" t="str">
        <f aca="false">IF(E274="","",IF(COUNTA(Q274:V274)=0,"Not scored",IF(COUNTA(Q274:V274)&lt;6,"Partly scored ("&amp;COUNTA(Q274:V274)&amp;"/6)",IF(W274&gt;=Settings!$S$8,"Hot",IF(W274&gt;=Settings!$S$9,"Warm","Cold")))))</f>
        <v/>
      </c>
      <c r="Y274" s="44" t="str">
        <f aca="false">IF(E274="","",IF(AND(Q274="No",S274="No"),"🚩 Budget  ·  🚩 No one on camera",IF(Q274="No","🚩 Budget under AED 5k",IF(S274="No","🚩 No one on camera",""))))</f>
        <v/>
      </c>
      <c r="Z274" s="17"/>
      <c r="AA274" s="17"/>
      <c r="AB274" s="40"/>
      <c r="AC274" s="17"/>
      <c r="AD274" s="45" t="str">
        <f aca="false">IF(OR(E274="",AB274="",OR(AA274="Contract signed + paid",AA274="Closed – No response",AA274="Lost"),N(AC274)&gt;=Settings!$S$3),"",AB274+Settings!$S$2)</f>
        <v/>
      </c>
      <c r="AE274" s="40"/>
      <c r="AF274" s="41"/>
      <c r="AG274" s="17"/>
      <c r="AH274" s="17"/>
      <c r="AI274" s="17"/>
      <c r="AJ274" s="46" t="str">
        <f aca="true">IF(OR(E274="",B274=""),"",INT(TODAY()-B274))</f>
        <v/>
      </c>
      <c r="AK274" s="44" t="str">
        <f aca="true">IF(E274="","",IF(OR(COUNTIFS(Clients!$C$2:$C$501,E274,Clients!$S$2:$S$501,"Paid")&gt;0,AND(I274&lt;&gt;"",COUNTIFS(Clients!$E$2:$E$501,I274,Clients!$S$2:$S$501,"Paid")&gt;0)),"⚠ Refunded before – no free video",IF(OR(AA274="Contract signed + paid",AA274="Closed – No response",AA274="Lost"),"",IF(AA274="","Set a stage",IF(AND(AA274="Proposal sent",COUNTA(Q274:V274)&lt;6),"Score this lead – proposal sent unscored",IF(N(AC274)&gt;=Settings!$S$3,"Close – 4 follow-ups sent",IF(AD274="",IF(AB274="","Make first contact",""),IF(TODAY()&gt;AD274,"OVERDUE follow-up",IF(TODAY()=AD274,"Follow up today","")))))))))</f>
        <v/>
      </c>
    </row>
    <row r="275" customFormat="false" ht="15" hidden="false" customHeight="false" outlineLevel="0" collapsed="false">
      <c r="A275" s="17"/>
      <c r="B275" s="40"/>
      <c r="C275" s="41"/>
      <c r="D275" s="17"/>
      <c r="E275" s="17"/>
      <c r="F275" s="17"/>
      <c r="G275" s="17"/>
      <c r="H275" s="17"/>
      <c r="I275" s="42"/>
      <c r="J275" s="17"/>
      <c r="K275" s="17"/>
      <c r="L275" s="17"/>
      <c r="M275" s="17"/>
      <c r="N275" s="40"/>
      <c r="O275" s="41"/>
      <c r="P275" s="43" t="str">
        <f aca="false">IF(OR(B275="",N275=""),"",ROUND(((N275+N(O275))-(B275+N(C275)))*24,1))</f>
        <v/>
      </c>
      <c r="Q275" s="17"/>
      <c r="R275" s="17"/>
      <c r="S275" s="17"/>
      <c r="T275" s="17"/>
      <c r="U275" s="17"/>
      <c r="V275" s="17"/>
      <c r="W275" s="44" t="str">
        <f aca="false">IF(OR(E275="",COUNTA(Q275:V275)=0),"",SUMIFS(Settings!$AA$2:$AA$21,Settings!$Y$2:$Y$21,"Budget AED 5k+/mo?",Settings!$Z$2:$Z$21,Q275)+SUMIFS(Settings!$AA$2:$AA$21,Settings!$Y$2:$Y$21,"Decision-maker?",Settings!$Z$2:$Z$21,R275)+SUMIFS(Settings!$AA$2:$AA$21,Settings!$Y$2:$Y$21,"Someone on camera?",Settings!$Z$2:$Z$21,S275)+SUMIFS(Settings!$AA$2:$AA$21,Settings!$Y$2:$Y$21,"OK with 3-month term?",Settings!$Z$2:$Z$21,T275)+SUMIFS(Settings!$AA$2:$AA$21,Settings!$Y$2:$Y$21,"Start timeline",Settings!$Z$2:$Z$21,U275)+SUMIFS(Settings!$AA$2:$AA$21,Settings!$Y$2:$Y$21,"Social media gap",Settings!$Z$2:$Z$21,V275)+IF(F275="",0,IF(COUNTIF(Settings!$AC$2:$AC$6,F275)&gt;0,Settings!$AA$20,Settings!$AA$21)))</f>
        <v/>
      </c>
      <c r="X275" s="44" t="str">
        <f aca="false">IF(E275="","",IF(COUNTA(Q275:V275)=0,"Not scored",IF(COUNTA(Q275:V275)&lt;6,"Partly scored ("&amp;COUNTA(Q275:V275)&amp;"/6)",IF(W275&gt;=Settings!$S$8,"Hot",IF(W275&gt;=Settings!$S$9,"Warm","Cold")))))</f>
        <v/>
      </c>
      <c r="Y275" s="44" t="str">
        <f aca="false">IF(E275="","",IF(AND(Q275="No",S275="No"),"🚩 Budget  ·  🚩 No one on camera",IF(Q275="No","🚩 Budget under AED 5k",IF(S275="No","🚩 No one on camera",""))))</f>
        <v/>
      </c>
      <c r="Z275" s="17"/>
      <c r="AA275" s="17"/>
      <c r="AB275" s="40"/>
      <c r="AC275" s="17"/>
      <c r="AD275" s="45" t="str">
        <f aca="false">IF(OR(E275="",AB275="",OR(AA275="Contract signed + paid",AA275="Closed – No response",AA275="Lost"),N(AC275)&gt;=Settings!$S$3),"",AB275+Settings!$S$2)</f>
        <v/>
      </c>
      <c r="AE275" s="40"/>
      <c r="AF275" s="41"/>
      <c r="AG275" s="17"/>
      <c r="AH275" s="17"/>
      <c r="AI275" s="17"/>
      <c r="AJ275" s="46" t="str">
        <f aca="true">IF(OR(E275="",B275=""),"",INT(TODAY()-B275))</f>
        <v/>
      </c>
      <c r="AK275" s="44" t="str">
        <f aca="true">IF(E275="","",IF(OR(COUNTIFS(Clients!$C$2:$C$501,E275,Clients!$S$2:$S$501,"Paid")&gt;0,AND(I275&lt;&gt;"",COUNTIFS(Clients!$E$2:$E$501,I275,Clients!$S$2:$S$501,"Paid")&gt;0)),"⚠ Refunded before – no free video",IF(OR(AA275="Contract signed + paid",AA275="Closed – No response",AA275="Lost"),"",IF(AA275="","Set a stage",IF(AND(AA275="Proposal sent",COUNTA(Q275:V275)&lt;6),"Score this lead – proposal sent unscored",IF(N(AC275)&gt;=Settings!$S$3,"Close – 4 follow-ups sent",IF(AD275="",IF(AB275="","Make first contact",""),IF(TODAY()&gt;AD275,"OVERDUE follow-up",IF(TODAY()=AD275,"Follow up today","")))))))))</f>
        <v/>
      </c>
    </row>
    <row r="276" customFormat="false" ht="15" hidden="false" customHeight="false" outlineLevel="0" collapsed="false">
      <c r="A276" s="17"/>
      <c r="B276" s="40"/>
      <c r="C276" s="41"/>
      <c r="D276" s="17"/>
      <c r="E276" s="17"/>
      <c r="F276" s="17"/>
      <c r="G276" s="17"/>
      <c r="H276" s="17"/>
      <c r="I276" s="42"/>
      <c r="J276" s="17"/>
      <c r="K276" s="17"/>
      <c r="L276" s="17"/>
      <c r="M276" s="17"/>
      <c r="N276" s="40"/>
      <c r="O276" s="41"/>
      <c r="P276" s="43" t="str">
        <f aca="false">IF(OR(B276="",N276=""),"",ROUND(((N276+N(O276))-(B276+N(C276)))*24,1))</f>
        <v/>
      </c>
      <c r="Q276" s="17"/>
      <c r="R276" s="17"/>
      <c r="S276" s="17"/>
      <c r="T276" s="17"/>
      <c r="U276" s="17"/>
      <c r="V276" s="17"/>
      <c r="W276" s="44" t="str">
        <f aca="false">IF(OR(E276="",COUNTA(Q276:V276)=0),"",SUMIFS(Settings!$AA$2:$AA$21,Settings!$Y$2:$Y$21,"Budget AED 5k+/mo?",Settings!$Z$2:$Z$21,Q276)+SUMIFS(Settings!$AA$2:$AA$21,Settings!$Y$2:$Y$21,"Decision-maker?",Settings!$Z$2:$Z$21,R276)+SUMIFS(Settings!$AA$2:$AA$21,Settings!$Y$2:$Y$21,"Someone on camera?",Settings!$Z$2:$Z$21,S276)+SUMIFS(Settings!$AA$2:$AA$21,Settings!$Y$2:$Y$21,"OK with 3-month term?",Settings!$Z$2:$Z$21,T276)+SUMIFS(Settings!$AA$2:$AA$21,Settings!$Y$2:$Y$21,"Start timeline",Settings!$Z$2:$Z$21,U276)+SUMIFS(Settings!$AA$2:$AA$21,Settings!$Y$2:$Y$21,"Social media gap",Settings!$Z$2:$Z$21,V276)+IF(F276="",0,IF(COUNTIF(Settings!$AC$2:$AC$6,F276)&gt;0,Settings!$AA$20,Settings!$AA$21)))</f>
        <v/>
      </c>
      <c r="X276" s="44" t="str">
        <f aca="false">IF(E276="","",IF(COUNTA(Q276:V276)=0,"Not scored",IF(COUNTA(Q276:V276)&lt;6,"Partly scored ("&amp;COUNTA(Q276:V276)&amp;"/6)",IF(W276&gt;=Settings!$S$8,"Hot",IF(W276&gt;=Settings!$S$9,"Warm","Cold")))))</f>
        <v/>
      </c>
      <c r="Y276" s="44" t="str">
        <f aca="false">IF(E276="","",IF(AND(Q276="No",S276="No"),"🚩 Budget  ·  🚩 No one on camera",IF(Q276="No","🚩 Budget under AED 5k",IF(S276="No","🚩 No one on camera",""))))</f>
        <v/>
      </c>
      <c r="Z276" s="17"/>
      <c r="AA276" s="17"/>
      <c r="AB276" s="40"/>
      <c r="AC276" s="17"/>
      <c r="AD276" s="45" t="str">
        <f aca="false">IF(OR(E276="",AB276="",OR(AA276="Contract signed + paid",AA276="Closed – No response",AA276="Lost"),N(AC276)&gt;=Settings!$S$3),"",AB276+Settings!$S$2)</f>
        <v/>
      </c>
      <c r="AE276" s="40"/>
      <c r="AF276" s="41"/>
      <c r="AG276" s="17"/>
      <c r="AH276" s="17"/>
      <c r="AI276" s="17"/>
      <c r="AJ276" s="46" t="str">
        <f aca="true">IF(OR(E276="",B276=""),"",INT(TODAY()-B276))</f>
        <v/>
      </c>
      <c r="AK276" s="44" t="str">
        <f aca="true">IF(E276="","",IF(OR(COUNTIFS(Clients!$C$2:$C$501,E276,Clients!$S$2:$S$501,"Paid")&gt;0,AND(I276&lt;&gt;"",COUNTIFS(Clients!$E$2:$E$501,I276,Clients!$S$2:$S$501,"Paid")&gt;0)),"⚠ Refunded before – no free video",IF(OR(AA276="Contract signed + paid",AA276="Closed – No response",AA276="Lost"),"",IF(AA276="","Set a stage",IF(AND(AA276="Proposal sent",COUNTA(Q276:V276)&lt;6),"Score this lead – proposal sent unscored",IF(N(AC276)&gt;=Settings!$S$3,"Close – 4 follow-ups sent",IF(AD276="",IF(AB276="","Make first contact",""),IF(TODAY()&gt;AD276,"OVERDUE follow-up",IF(TODAY()=AD276,"Follow up today","")))))))))</f>
        <v/>
      </c>
    </row>
    <row r="277" customFormat="false" ht="15" hidden="false" customHeight="false" outlineLevel="0" collapsed="false">
      <c r="A277" s="17"/>
      <c r="B277" s="40"/>
      <c r="C277" s="41"/>
      <c r="D277" s="17"/>
      <c r="E277" s="17"/>
      <c r="F277" s="17"/>
      <c r="G277" s="17"/>
      <c r="H277" s="17"/>
      <c r="I277" s="42"/>
      <c r="J277" s="17"/>
      <c r="K277" s="17"/>
      <c r="L277" s="17"/>
      <c r="M277" s="17"/>
      <c r="N277" s="40"/>
      <c r="O277" s="41"/>
      <c r="P277" s="43" t="str">
        <f aca="false">IF(OR(B277="",N277=""),"",ROUND(((N277+N(O277))-(B277+N(C277)))*24,1))</f>
        <v/>
      </c>
      <c r="Q277" s="17"/>
      <c r="R277" s="17"/>
      <c r="S277" s="17"/>
      <c r="T277" s="17"/>
      <c r="U277" s="17"/>
      <c r="V277" s="17"/>
      <c r="W277" s="44" t="str">
        <f aca="false">IF(OR(E277="",COUNTA(Q277:V277)=0),"",SUMIFS(Settings!$AA$2:$AA$21,Settings!$Y$2:$Y$21,"Budget AED 5k+/mo?",Settings!$Z$2:$Z$21,Q277)+SUMIFS(Settings!$AA$2:$AA$21,Settings!$Y$2:$Y$21,"Decision-maker?",Settings!$Z$2:$Z$21,R277)+SUMIFS(Settings!$AA$2:$AA$21,Settings!$Y$2:$Y$21,"Someone on camera?",Settings!$Z$2:$Z$21,S277)+SUMIFS(Settings!$AA$2:$AA$21,Settings!$Y$2:$Y$21,"OK with 3-month term?",Settings!$Z$2:$Z$21,T277)+SUMIFS(Settings!$AA$2:$AA$21,Settings!$Y$2:$Y$21,"Start timeline",Settings!$Z$2:$Z$21,U277)+SUMIFS(Settings!$AA$2:$AA$21,Settings!$Y$2:$Y$21,"Social media gap",Settings!$Z$2:$Z$21,V277)+IF(F277="",0,IF(COUNTIF(Settings!$AC$2:$AC$6,F277)&gt;0,Settings!$AA$20,Settings!$AA$21)))</f>
        <v/>
      </c>
      <c r="X277" s="44" t="str">
        <f aca="false">IF(E277="","",IF(COUNTA(Q277:V277)=0,"Not scored",IF(COUNTA(Q277:V277)&lt;6,"Partly scored ("&amp;COUNTA(Q277:V277)&amp;"/6)",IF(W277&gt;=Settings!$S$8,"Hot",IF(W277&gt;=Settings!$S$9,"Warm","Cold")))))</f>
        <v/>
      </c>
      <c r="Y277" s="44" t="str">
        <f aca="false">IF(E277="","",IF(AND(Q277="No",S277="No"),"🚩 Budget  ·  🚩 No one on camera",IF(Q277="No","🚩 Budget under AED 5k",IF(S277="No","🚩 No one on camera",""))))</f>
        <v/>
      </c>
      <c r="Z277" s="17"/>
      <c r="AA277" s="17"/>
      <c r="AB277" s="40"/>
      <c r="AC277" s="17"/>
      <c r="AD277" s="45" t="str">
        <f aca="false">IF(OR(E277="",AB277="",OR(AA277="Contract signed + paid",AA277="Closed – No response",AA277="Lost"),N(AC277)&gt;=Settings!$S$3),"",AB277+Settings!$S$2)</f>
        <v/>
      </c>
      <c r="AE277" s="40"/>
      <c r="AF277" s="41"/>
      <c r="AG277" s="17"/>
      <c r="AH277" s="17"/>
      <c r="AI277" s="17"/>
      <c r="AJ277" s="46" t="str">
        <f aca="true">IF(OR(E277="",B277=""),"",INT(TODAY()-B277))</f>
        <v/>
      </c>
      <c r="AK277" s="44" t="str">
        <f aca="true">IF(E277="","",IF(OR(COUNTIFS(Clients!$C$2:$C$501,E277,Clients!$S$2:$S$501,"Paid")&gt;0,AND(I277&lt;&gt;"",COUNTIFS(Clients!$E$2:$E$501,I277,Clients!$S$2:$S$501,"Paid")&gt;0)),"⚠ Refunded before – no free video",IF(OR(AA277="Contract signed + paid",AA277="Closed – No response",AA277="Lost"),"",IF(AA277="","Set a stage",IF(AND(AA277="Proposal sent",COUNTA(Q277:V277)&lt;6),"Score this lead – proposal sent unscored",IF(N(AC277)&gt;=Settings!$S$3,"Close – 4 follow-ups sent",IF(AD277="",IF(AB277="","Make first contact",""),IF(TODAY()&gt;AD277,"OVERDUE follow-up",IF(TODAY()=AD277,"Follow up today","")))))))))</f>
        <v/>
      </c>
    </row>
    <row r="278" customFormat="false" ht="15" hidden="false" customHeight="false" outlineLevel="0" collapsed="false">
      <c r="A278" s="17"/>
      <c r="B278" s="40"/>
      <c r="C278" s="41"/>
      <c r="D278" s="17"/>
      <c r="E278" s="17"/>
      <c r="F278" s="17"/>
      <c r="G278" s="17"/>
      <c r="H278" s="17"/>
      <c r="I278" s="42"/>
      <c r="J278" s="17"/>
      <c r="K278" s="17"/>
      <c r="L278" s="17"/>
      <c r="M278" s="17"/>
      <c r="N278" s="40"/>
      <c r="O278" s="41"/>
      <c r="P278" s="43" t="str">
        <f aca="false">IF(OR(B278="",N278=""),"",ROUND(((N278+N(O278))-(B278+N(C278)))*24,1))</f>
        <v/>
      </c>
      <c r="Q278" s="17"/>
      <c r="R278" s="17"/>
      <c r="S278" s="17"/>
      <c r="T278" s="17"/>
      <c r="U278" s="17"/>
      <c r="V278" s="17"/>
      <c r="W278" s="44" t="str">
        <f aca="false">IF(OR(E278="",COUNTA(Q278:V278)=0),"",SUMIFS(Settings!$AA$2:$AA$21,Settings!$Y$2:$Y$21,"Budget AED 5k+/mo?",Settings!$Z$2:$Z$21,Q278)+SUMIFS(Settings!$AA$2:$AA$21,Settings!$Y$2:$Y$21,"Decision-maker?",Settings!$Z$2:$Z$21,R278)+SUMIFS(Settings!$AA$2:$AA$21,Settings!$Y$2:$Y$21,"Someone on camera?",Settings!$Z$2:$Z$21,S278)+SUMIFS(Settings!$AA$2:$AA$21,Settings!$Y$2:$Y$21,"OK with 3-month term?",Settings!$Z$2:$Z$21,T278)+SUMIFS(Settings!$AA$2:$AA$21,Settings!$Y$2:$Y$21,"Start timeline",Settings!$Z$2:$Z$21,U278)+SUMIFS(Settings!$AA$2:$AA$21,Settings!$Y$2:$Y$21,"Social media gap",Settings!$Z$2:$Z$21,V278)+IF(F278="",0,IF(COUNTIF(Settings!$AC$2:$AC$6,F278)&gt;0,Settings!$AA$20,Settings!$AA$21)))</f>
        <v/>
      </c>
      <c r="X278" s="44" t="str">
        <f aca="false">IF(E278="","",IF(COUNTA(Q278:V278)=0,"Not scored",IF(COUNTA(Q278:V278)&lt;6,"Partly scored ("&amp;COUNTA(Q278:V278)&amp;"/6)",IF(W278&gt;=Settings!$S$8,"Hot",IF(W278&gt;=Settings!$S$9,"Warm","Cold")))))</f>
        <v/>
      </c>
      <c r="Y278" s="44" t="str">
        <f aca="false">IF(E278="","",IF(AND(Q278="No",S278="No"),"🚩 Budget  ·  🚩 No one on camera",IF(Q278="No","🚩 Budget under AED 5k",IF(S278="No","🚩 No one on camera",""))))</f>
        <v/>
      </c>
      <c r="Z278" s="17"/>
      <c r="AA278" s="17"/>
      <c r="AB278" s="40"/>
      <c r="AC278" s="17"/>
      <c r="AD278" s="45" t="str">
        <f aca="false">IF(OR(E278="",AB278="",OR(AA278="Contract signed + paid",AA278="Closed – No response",AA278="Lost"),N(AC278)&gt;=Settings!$S$3),"",AB278+Settings!$S$2)</f>
        <v/>
      </c>
      <c r="AE278" s="40"/>
      <c r="AF278" s="41"/>
      <c r="AG278" s="17"/>
      <c r="AH278" s="17"/>
      <c r="AI278" s="17"/>
      <c r="AJ278" s="46" t="str">
        <f aca="true">IF(OR(E278="",B278=""),"",INT(TODAY()-B278))</f>
        <v/>
      </c>
      <c r="AK278" s="44" t="str">
        <f aca="true">IF(E278="","",IF(OR(COUNTIFS(Clients!$C$2:$C$501,E278,Clients!$S$2:$S$501,"Paid")&gt;0,AND(I278&lt;&gt;"",COUNTIFS(Clients!$E$2:$E$501,I278,Clients!$S$2:$S$501,"Paid")&gt;0)),"⚠ Refunded before – no free video",IF(OR(AA278="Contract signed + paid",AA278="Closed – No response",AA278="Lost"),"",IF(AA278="","Set a stage",IF(AND(AA278="Proposal sent",COUNTA(Q278:V278)&lt;6),"Score this lead – proposal sent unscored",IF(N(AC278)&gt;=Settings!$S$3,"Close – 4 follow-ups sent",IF(AD278="",IF(AB278="","Make first contact",""),IF(TODAY()&gt;AD278,"OVERDUE follow-up",IF(TODAY()=AD278,"Follow up today","")))))))))</f>
        <v/>
      </c>
    </row>
    <row r="279" customFormat="false" ht="15" hidden="false" customHeight="false" outlineLevel="0" collapsed="false">
      <c r="A279" s="17"/>
      <c r="B279" s="40"/>
      <c r="C279" s="41"/>
      <c r="D279" s="17"/>
      <c r="E279" s="17"/>
      <c r="F279" s="17"/>
      <c r="G279" s="17"/>
      <c r="H279" s="17"/>
      <c r="I279" s="42"/>
      <c r="J279" s="17"/>
      <c r="K279" s="17"/>
      <c r="L279" s="17"/>
      <c r="M279" s="17"/>
      <c r="N279" s="40"/>
      <c r="O279" s="41"/>
      <c r="P279" s="43" t="str">
        <f aca="false">IF(OR(B279="",N279=""),"",ROUND(((N279+N(O279))-(B279+N(C279)))*24,1))</f>
        <v/>
      </c>
      <c r="Q279" s="17"/>
      <c r="R279" s="17"/>
      <c r="S279" s="17"/>
      <c r="T279" s="17"/>
      <c r="U279" s="17"/>
      <c r="V279" s="17"/>
      <c r="W279" s="44" t="str">
        <f aca="false">IF(OR(E279="",COUNTA(Q279:V279)=0),"",SUMIFS(Settings!$AA$2:$AA$21,Settings!$Y$2:$Y$21,"Budget AED 5k+/mo?",Settings!$Z$2:$Z$21,Q279)+SUMIFS(Settings!$AA$2:$AA$21,Settings!$Y$2:$Y$21,"Decision-maker?",Settings!$Z$2:$Z$21,R279)+SUMIFS(Settings!$AA$2:$AA$21,Settings!$Y$2:$Y$21,"Someone on camera?",Settings!$Z$2:$Z$21,S279)+SUMIFS(Settings!$AA$2:$AA$21,Settings!$Y$2:$Y$21,"OK with 3-month term?",Settings!$Z$2:$Z$21,T279)+SUMIFS(Settings!$AA$2:$AA$21,Settings!$Y$2:$Y$21,"Start timeline",Settings!$Z$2:$Z$21,U279)+SUMIFS(Settings!$AA$2:$AA$21,Settings!$Y$2:$Y$21,"Social media gap",Settings!$Z$2:$Z$21,V279)+IF(F279="",0,IF(COUNTIF(Settings!$AC$2:$AC$6,F279)&gt;0,Settings!$AA$20,Settings!$AA$21)))</f>
        <v/>
      </c>
      <c r="X279" s="44" t="str">
        <f aca="false">IF(E279="","",IF(COUNTA(Q279:V279)=0,"Not scored",IF(COUNTA(Q279:V279)&lt;6,"Partly scored ("&amp;COUNTA(Q279:V279)&amp;"/6)",IF(W279&gt;=Settings!$S$8,"Hot",IF(W279&gt;=Settings!$S$9,"Warm","Cold")))))</f>
        <v/>
      </c>
      <c r="Y279" s="44" t="str">
        <f aca="false">IF(E279="","",IF(AND(Q279="No",S279="No"),"🚩 Budget  ·  🚩 No one on camera",IF(Q279="No","🚩 Budget under AED 5k",IF(S279="No","🚩 No one on camera",""))))</f>
        <v/>
      </c>
      <c r="Z279" s="17"/>
      <c r="AA279" s="17"/>
      <c r="AB279" s="40"/>
      <c r="AC279" s="17"/>
      <c r="AD279" s="45" t="str">
        <f aca="false">IF(OR(E279="",AB279="",OR(AA279="Contract signed + paid",AA279="Closed – No response",AA279="Lost"),N(AC279)&gt;=Settings!$S$3),"",AB279+Settings!$S$2)</f>
        <v/>
      </c>
      <c r="AE279" s="40"/>
      <c r="AF279" s="41"/>
      <c r="AG279" s="17"/>
      <c r="AH279" s="17"/>
      <c r="AI279" s="17"/>
      <c r="AJ279" s="46" t="str">
        <f aca="true">IF(OR(E279="",B279=""),"",INT(TODAY()-B279))</f>
        <v/>
      </c>
      <c r="AK279" s="44" t="str">
        <f aca="true">IF(E279="","",IF(OR(COUNTIFS(Clients!$C$2:$C$501,E279,Clients!$S$2:$S$501,"Paid")&gt;0,AND(I279&lt;&gt;"",COUNTIFS(Clients!$E$2:$E$501,I279,Clients!$S$2:$S$501,"Paid")&gt;0)),"⚠ Refunded before – no free video",IF(OR(AA279="Contract signed + paid",AA279="Closed – No response",AA279="Lost"),"",IF(AA279="","Set a stage",IF(AND(AA279="Proposal sent",COUNTA(Q279:V279)&lt;6),"Score this lead – proposal sent unscored",IF(N(AC279)&gt;=Settings!$S$3,"Close – 4 follow-ups sent",IF(AD279="",IF(AB279="","Make first contact",""),IF(TODAY()&gt;AD279,"OVERDUE follow-up",IF(TODAY()=AD279,"Follow up today","")))))))))</f>
        <v/>
      </c>
    </row>
    <row r="280" customFormat="false" ht="15" hidden="false" customHeight="false" outlineLevel="0" collapsed="false">
      <c r="A280" s="17"/>
      <c r="B280" s="40"/>
      <c r="C280" s="41"/>
      <c r="D280" s="17"/>
      <c r="E280" s="17"/>
      <c r="F280" s="17"/>
      <c r="G280" s="17"/>
      <c r="H280" s="17"/>
      <c r="I280" s="42"/>
      <c r="J280" s="17"/>
      <c r="K280" s="17"/>
      <c r="L280" s="17"/>
      <c r="M280" s="17"/>
      <c r="N280" s="40"/>
      <c r="O280" s="41"/>
      <c r="P280" s="43" t="str">
        <f aca="false">IF(OR(B280="",N280=""),"",ROUND(((N280+N(O280))-(B280+N(C280)))*24,1))</f>
        <v/>
      </c>
      <c r="Q280" s="17"/>
      <c r="R280" s="17"/>
      <c r="S280" s="17"/>
      <c r="T280" s="17"/>
      <c r="U280" s="17"/>
      <c r="V280" s="17"/>
      <c r="W280" s="44" t="str">
        <f aca="false">IF(OR(E280="",COUNTA(Q280:V280)=0),"",SUMIFS(Settings!$AA$2:$AA$21,Settings!$Y$2:$Y$21,"Budget AED 5k+/mo?",Settings!$Z$2:$Z$21,Q280)+SUMIFS(Settings!$AA$2:$AA$21,Settings!$Y$2:$Y$21,"Decision-maker?",Settings!$Z$2:$Z$21,R280)+SUMIFS(Settings!$AA$2:$AA$21,Settings!$Y$2:$Y$21,"Someone on camera?",Settings!$Z$2:$Z$21,S280)+SUMIFS(Settings!$AA$2:$AA$21,Settings!$Y$2:$Y$21,"OK with 3-month term?",Settings!$Z$2:$Z$21,T280)+SUMIFS(Settings!$AA$2:$AA$21,Settings!$Y$2:$Y$21,"Start timeline",Settings!$Z$2:$Z$21,U280)+SUMIFS(Settings!$AA$2:$AA$21,Settings!$Y$2:$Y$21,"Social media gap",Settings!$Z$2:$Z$21,V280)+IF(F280="",0,IF(COUNTIF(Settings!$AC$2:$AC$6,F280)&gt;0,Settings!$AA$20,Settings!$AA$21)))</f>
        <v/>
      </c>
      <c r="X280" s="44" t="str">
        <f aca="false">IF(E280="","",IF(COUNTA(Q280:V280)=0,"Not scored",IF(COUNTA(Q280:V280)&lt;6,"Partly scored ("&amp;COUNTA(Q280:V280)&amp;"/6)",IF(W280&gt;=Settings!$S$8,"Hot",IF(W280&gt;=Settings!$S$9,"Warm","Cold")))))</f>
        <v/>
      </c>
      <c r="Y280" s="44" t="str">
        <f aca="false">IF(E280="","",IF(AND(Q280="No",S280="No"),"🚩 Budget  ·  🚩 No one on camera",IF(Q280="No","🚩 Budget under AED 5k",IF(S280="No","🚩 No one on camera",""))))</f>
        <v/>
      </c>
      <c r="Z280" s="17"/>
      <c r="AA280" s="17"/>
      <c r="AB280" s="40"/>
      <c r="AC280" s="17"/>
      <c r="AD280" s="45" t="str">
        <f aca="false">IF(OR(E280="",AB280="",OR(AA280="Contract signed + paid",AA280="Closed – No response",AA280="Lost"),N(AC280)&gt;=Settings!$S$3),"",AB280+Settings!$S$2)</f>
        <v/>
      </c>
      <c r="AE280" s="40"/>
      <c r="AF280" s="41"/>
      <c r="AG280" s="17"/>
      <c r="AH280" s="17"/>
      <c r="AI280" s="17"/>
      <c r="AJ280" s="46" t="str">
        <f aca="true">IF(OR(E280="",B280=""),"",INT(TODAY()-B280))</f>
        <v/>
      </c>
      <c r="AK280" s="44" t="str">
        <f aca="true">IF(E280="","",IF(OR(COUNTIFS(Clients!$C$2:$C$501,E280,Clients!$S$2:$S$501,"Paid")&gt;0,AND(I280&lt;&gt;"",COUNTIFS(Clients!$E$2:$E$501,I280,Clients!$S$2:$S$501,"Paid")&gt;0)),"⚠ Refunded before – no free video",IF(OR(AA280="Contract signed + paid",AA280="Closed – No response",AA280="Lost"),"",IF(AA280="","Set a stage",IF(AND(AA280="Proposal sent",COUNTA(Q280:V280)&lt;6),"Score this lead – proposal sent unscored",IF(N(AC280)&gt;=Settings!$S$3,"Close – 4 follow-ups sent",IF(AD280="",IF(AB280="","Make first contact",""),IF(TODAY()&gt;AD280,"OVERDUE follow-up",IF(TODAY()=AD280,"Follow up today","")))))))))</f>
        <v/>
      </c>
    </row>
    <row r="281" customFormat="false" ht="15" hidden="false" customHeight="false" outlineLevel="0" collapsed="false">
      <c r="A281" s="17"/>
      <c r="B281" s="40"/>
      <c r="C281" s="41"/>
      <c r="D281" s="17"/>
      <c r="E281" s="17"/>
      <c r="F281" s="17"/>
      <c r="G281" s="17"/>
      <c r="H281" s="17"/>
      <c r="I281" s="42"/>
      <c r="J281" s="17"/>
      <c r="K281" s="17"/>
      <c r="L281" s="17"/>
      <c r="M281" s="17"/>
      <c r="N281" s="40"/>
      <c r="O281" s="41"/>
      <c r="P281" s="43" t="str">
        <f aca="false">IF(OR(B281="",N281=""),"",ROUND(((N281+N(O281))-(B281+N(C281)))*24,1))</f>
        <v/>
      </c>
      <c r="Q281" s="17"/>
      <c r="R281" s="17"/>
      <c r="S281" s="17"/>
      <c r="T281" s="17"/>
      <c r="U281" s="17"/>
      <c r="V281" s="17"/>
      <c r="W281" s="44" t="str">
        <f aca="false">IF(OR(E281="",COUNTA(Q281:V281)=0),"",SUMIFS(Settings!$AA$2:$AA$21,Settings!$Y$2:$Y$21,"Budget AED 5k+/mo?",Settings!$Z$2:$Z$21,Q281)+SUMIFS(Settings!$AA$2:$AA$21,Settings!$Y$2:$Y$21,"Decision-maker?",Settings!$Z$2:$Z$21,R281)+SUMIFS(Settings!$AA$2:$AA$21,Settings!$Y$2:$Y$21,"Someone on camera?",Settings!$Z$2:$Z$21,S281)+SUMIFS(Settings!$AA$2:$AA$21,Settings!$Y$2:$Y$21,"OK with 3-month term?",Settings!$Z$2:$Z$21,T281)+SUMIFS(Settings!$AA$2:$AA$21,Settings!$Y$2:$Y$21,"Start timeline",Settings!$Z$2:$Z$21,U281)+SUMIFS(Settings!$AA$2:$AA$21,Settings!$Y$2:$Y$21,"Social media gap",Settings!$Z$2:$Z$21,V281)+IF(F281="",0,IF(COUNTIF(Settings!$AC$2:$AC$6,F281)&gt;0,Settings!$AA$20,Settings!$AA$21)))</f>
        <v/>
      </c>
      <c r="X281" s="44" t="str">
        <f aca="false">IF(E281="","",IF(COUNTA(Q281:V281)=0,"Not scored",IF(COUNTA(Q281:V281)&lt;6,"Partly scored ("&amp;COUNTA(Q281:V281)&amp;"/6)",IF(W281&gt;=Settings!$S$8,"Hot",IF(W281&gt;=Settings!$S$9,"Warm","Cold")))))</f>
        <v/>
      </c>
      <c r="Y281" s="44" t="str">
        <f aca="false">IF(E281="","",IF(AND(Q281="No",S281="No"),"🚩 Budget  ·  🚩 No one on camera",IF(Q281="No","🚩 Budget under AED 5k",IF(S281="No","🚩 No one on camera",""))))</f>
        <v/>
      </c>
      <c r="Z281" s="17"/>
      <c r="AA281" s="17"/>
      <c r="AB281" s="40"/>
      <c r="AC281" s="17"/>
      <c r="AD281" s="45" t="str">
        <f aca="false">IF(OR(E281="",AB281="",OR(AA281="Contract signed + paid",AA281="Closed – No response",AA281="Lost"),N(AC281)&gt;=Settings!$S$3),"",AB281+Settings!$S$2)</f>
        <v/>
      </c>
      <c r="AE281" s="40"/>
      <c r="AF281" s="41"/>
      <c r="AG281" s="17"/>
      <c r="AH281" s="17"/>
      <c r="AI281" s="17"/>
      <c r="AJ281" s="46" t="str">
        <f aca="true">IF(OR(E281="",B281=""),"",INT(TODAY()-B281))</f>
        <v/>
      </c>
      <c r="AK281" s="44" t="str">
        <f aca="true">IF(E281="","",IF(OR(COUNTIFS(Clients!$C$2:$C$501,E281,Clients!$S$2:$S$501,"Paid")&gt;0,AND(I281&lt;&gt;"",COUNTIFS(Clients!$E$2:$E$501,I281,Clients!$S$2:$S$501,"Paid")&gt;0)),"⚠ Refunded before – no free video",IF(OR(AA281="Contract signed + paid",AA281="Closed – No response",AA281="Lost"),"",IF(AA281="","Set a stage",IF(AND(AA281="Proposal sent",COUNTA(Q281:V281)&lt;6),"Score this lead – proposal sent unscored",IF(N(AC281)&gt;=Settings!$S$3,"Close – 4 follow-ups sent",IF(AD281="",IF(AB281="","Make first contact",""),IF(TODAY()&gt;AD281,"OVERDUE follow-up",IF(TODAY()=AD281,"Follow up today","")))))))))</f>
        <v/>
      </c>
    </row>
    <row r="282" customFormat="false" ht="15" hidden="false" customHeight="false" outlineLevel="0" collapsed="false">
      <c r="A282" s="17"/>
      <c r="B282" s="40"/>
      <c r="C282" s="41"/>
      <c r="D282" s="17"/>
      <c r="E282" s="17"/>
      <c r="F282" s="17"/>
      <c r="G282" s="17"/>
      <c r="H282" s="17"/>
      <c r="I282" s="42"/>
      <c r="J282" s="17"/>
      <c r="K282" s="17"/>
      <c r="L282" s="17"/>
      <c r="M282" s="17"/>
      <c r="N282" s="40"/>
      <c r="O282" s="41"/>
      <c r="P282" s="43" t="str">
        <f aca="false">IF(OR(B282="",N282=""),"",ROUND(((N282+N(O282))-(B282+N(C282)))*24,1))</f>
        <v/>
      </c>
      <c r="Q282" s="17"/>
      <c r="R282" s="17"/>
      <c r="S282" s="17"/>
      <c r="T282" s="17"/>
      <c r="U282" s="17"/>
      <c r="V282" s="17"/>
      <c r="W282" s="44" t="str">
        <f aca="false">IF(OR(E282="",COUNTA(Q282:V282)=0),"",SUMIFS(Settings!$AA$2:$AA$21,Settings!$Y$2:$Y$21,"Budget AED 5k+/mo?",Settings!$Z$2:$Z$21,Q282)+SUMIFS(Settings!$AA$2:$AA$21,Settings!$Y$2:$Y$21,"Decision-maker?",Settings!$Z$2:$Z$21,R282)+SUMIFS(Settings!$AA$2:$AA$21,Settings!$Y$2:$Y$21,"Someone on camera?",Settings!$Z$2:$Z$21,S282)+SUMIFS(Settings!$AA$2:$AA$21,Settings!$Y$2:$Y$21,"OK with 3-month term?",Settings!$Z$2:$Z$21,T282)+SUMIFS(Settings!$AA$2:$AA$21,Settings!$Y$2:$Y$21,"Start timeline",Settings!$Z$2:$Z$21,U282)+SUMIFS(Settings!$AA$2:$AA$21,Settings!$Y$2:$Y$21,"Social media gap",Settings!$Z$2:$Z$21,V282)+IF(F282="",0,IF(COUNTIF(Settings!$AC$2:$AC$6,F282)&gt;0,Settings!$AA$20,Settings!$AA$21)))</f>
        <v/>
      </c>
      <c r="X282" s="44" t="str">
        <f aca="false">IF(E282="","",IF(COUNTA(Q282:V282)=0,"Not scored",IF(COUNTA(Q282:V282)&lt;6,"Partly scored ("&amp;COUNTA(Q282:V282)&amp;"/6)",IF(W282&gt;=Settings!$S$8,"Hot",IF(W282&gt;=Settings!$S$9,"Warm","Cold")))))</f>
        <v/>
      </c>
      <c r="Y282" s="44" t="str">
        <f aca="false">IF(E282="","",IF(AND(Q282="No",S282="No"),"🚩 Budget  ·  🚩 No one on camera",IF(Q282="No","🚩 Budget under AED 5k",IF(S282="No","🚩 No one on camera",""))))</f>
        <v/>
      </c>
      <c r="Z282" s="17"/>
      <c r="AA282" s="17"/>
      <c r="AB282" s="40"/>
      <c r="AC282" s="17"/>
      <c r="AD282" s="45" t="str">
        <f aca="false">IF(OR(E282="",AB282="",OR(AA282="Contract signed + paid",AA282="Closed – No response",AA282="Lost"),N(AC282)&gt;=Settings!$S$3),"",AB282+Settings!$S$2)</f>
        <v/>
      </c>
      <c r="AE282" s="40"/>
      <c r="AF282" s="41"/>
      <c r="AG282" s="17"/>
      <c r="AH282" s="17"/>
      <c r="AI282" s="17"/>
      <c r="AJ282" s="46" t="str">
        <f aca="true">IF(OR(E282="",B282=""),"",INT(TODAY()-B282))</f>
        <v/>
      </c>
      <c r="AK282" s="44" t="str">
        <f aca="true">IF(E282="","",IF(OR(COUNTIFS(Clients!$C$2:$C$501,E282,Clients!$S$2:$S$501,"Paid")&gt;0,AND(I282&lt;&gt;"",COUNTIFS(Clients!$E$2:$E$501,I282,Clients!$S$2:$S$501,"Paid")&gt;0)),"⚠ Refunded before – no free video",IF(OR(AA282="Contract signed + paid",AA282="Closed – No response",AA282="Lost"),"",IF(AA282="","Set a stage",IF(AND(AA282="Proposal sent",COUNTA(Q282:V282)&lt;6),"Score this lead – proposal sent unscored",IF(N(AC282)&gt;=Settings!$S$3,"Close – 4 follow-ups sent",IF(AD282="",IF(AB282="","Make first contact",""),IF(TODAY()&gt;AD282,"OVERDUE follow-up",IF(TODAY()=AD282,"Follow up today","")))))))))</f>
        <v/>
      </c>
    </row>
    <row r="283" customFormat="false" ht="15" hidden="false" customHeight="false" outlineLevel="0" collapsed="false">
      <c r="A283" s="17"/>
      <c r="B283" s="40"/>
      <c r="C283" s="41"/>
      <c r="D283" s="17"/>
      <c r="E283" s="17"/>
      <c r="F283" s="17"/>
      <c r="G283" s="17"/>
      <c r="H283" s="17"/>
      <c r="I283" s="42"/>
      <c r="J283" s="17"/>
      <c r="K283" s="17"/>
      <c r="L283" s="17"/>
      <c r="M283" s="17"/>
      <c r="N283" s="40"/>
      <c r="O283" s="41"/>
      <c r="P283" s="43" t="str">
        <f aca="false">IF(OR(B283="",N283=""),"",ROUND(((N283+N(O283))-(B283+N(C283)))*24,1))</f>
        <v/>
      </c>
      <c r="Q283" s="17"/>
      <c r="R283" s="17"/>
      <c r="S283" s="17"/>
      <c r="T283" s="17"/>
      <c r="U283" s="17"/>
      <c r="V283" s="17"/>
      <c r="W283" s="44" t="str">
        <f aca="false">IF(OR(E283="",COUNTA(Q283:V283)=0),"",SUMIFS(Settings!$AA$2:$AA$21,Settings!$Y$2:$Y$21,"Budget AED 5k+/mo?",Settings!$Z$2:$Z$21,Q283)+SUMIFS(Settings!$AA$2:$AA$21,Settings!$Y$2:$Y$21,"Decision-maker?",Settings!$Z$2:$Z$21,R283)+SUMIFS(Settings!$AA$2:$AA$21,Settings!$Y$2:$Y$21,"Someone on camera?",Settings!$Z$2:$Z$21,S283)+SUMIFS(Settings!$AA$2:$AA$21,Settings!$Y$2:$Y$21,"OK with 3-month term?",Settings!$Z$2:$Z$21,T283)+SUMIFS(Settings!$AA$2:$AA$21,Settings!$Y$2:$Y$21,"Start timeline",Settings!$Z$2:$Z$21,U283)+SUMIFS(Settings!$AA$2:$AA$21,Settings!$Y$2:$Y$21,"Social media gap",Settings!$Z$2:$Z$21,V283)+IF(F283="",0,IF(COUNTIF(Settings!$AC$2:$AC$6,F283)&gt;0,Settings!$AA$20,Settings!$AA$21)))</f>
        <v/>
      </c>
      <c r="X283" s="44" t="str">
        <f aca="false">IF(E283="","",IF(COUNTA(Q283:V283)=0,"Not scored",IF(COUNTA(Q283:V283)&lt;6,"Partly scored ("&amp;COUNTA(Q283:V283)&amp;"/6)",IF(W283&gt;=Settings!$S$8,"Hot",IF(W283&gt;=Settings!$S$9,"Warm","Cold")))))</f>
        <v/>
      </c>
      <c r="Y283" s="44" t="str">
        <f aca="false">IF(E283="","",IF(AND(Q283="No",S283="No"),"🚩 Budget  ·  🚩 No one on camera",IF(Q283="No","🚩 Budget under AED 5k",IF(S283="No","🚩 No one on camera",""))))</f>
        <v/>
      </c>
      <c r="Z283" s="17"/>
      <c r="AA283" s="17"/>
      <c r="AB283" s="40"/>
      <c r="AC283" s="17"/>
      <c r="AD283" s="45" t="str">
        <f aca="false">IF(OR(E283="",AB283="",OR(AA283="Contract signed + paid",AA283="Closed – No response",AA283="Lost"),N(AC283)&gt;=Settings!$S$3),"",AB283+Settings!$S$2)</f>
        <v/>
      </c>
      <c r="AE283" s="40"/>
      <c r="AF283" s="41"/>
      <c r="AG283" s="17"/>
      <c r="AH283" s="17"/>
      <c r="AI283" s="17"/>
      <c r="AJ283" s="46" t="str">
        <f aca="true">IF(OR(E283="",B283=""),"",INT(TODAY()-B283))</f>
        <v/>
      </c>
      <c r="AK283" s="44" t="str">
        <f aca="true">IF(E283="","",IF(OR(COUNTIFS(Clients!$C$2:$C$501,E283,Clients!$S$2:$S$501,"Paid")&gt;0,AND(I283&lt;&gt;"",COUNTIFS(Clients!$E$2:$E$501,I283,Clients!$S$2:$S$501,"Paid")&gt;0)),"⚠ Refunded before – no free video",IF(OR(AA283="Contract signed + paid",AA283="Closed – No response",AA283="Lost"),"",IF(AA283="","Set a stage",IF(AND(AA283="Proposal sent",COUNTA(Q283:V283)&lt;6),"Score this lead – proposal sent unscored",IF(N(AC283)&gt;=Settings!$S$3,"Close – 4 follow-ups sent",IF(AD283="",IF(AB283="","Make first contact",""),IF(TODAY()&gt;AD283,"OVERDUE follow-up",IF(TODAY()=AD283,"Follow up today","")))))))))</f>
        <v/>
      </c>
    </row>
    <row r="284" customFormat="false" ht="15" hidden="false" customHeight="false" outlineLevel="0" collapsed="false">
      <c r="A284" s="17"/>
      <c r="B284" s="40"/>
      <c r="C284" s="41"/>
      <c r="D284" s="17"/>
      <c r="E284" s="17"/>
      <c r="F284" s="17"/>
      <c r="G284" s="17"/>
      <c r="H284" s="17"/>
      <c r="I284" s="42"/>
      <c r="J284" s="17"/>
      <c r="K284" s="17"/>
      <c r="L284" s="17"/>
      <c r="M284" s="17"/>
      <c r="N284" s="40"/>
      <c r="O284" s="41"/>
      <c r="P284" s="43" t="str">
        <f aca="false">IF(OR(B284="",N284=""),"",ROUND(((N284+N(O284))-(B284+N(C284)))*24,1))</f>
        <v/>
      </c>
      <c r="Q284" s="17"/>
      <c r="R284" s="17"/>
      <c r="S284" s="17"/>
      <c r="T284" s="17"/>
      <c r="U284" s="17"/>
      <c r="V284" s="17"/>
      <c r="W284" s="44" t="str">
        <f aca="false">IF(OR(E284="",COUNTA(Q284:V284)=0),"",SUMIFS(Settings!$AA$2:$AA$21,Settings!$Y$2:$Y$21,"Budget AED 5k+/mo?",Settings!$Z$2:$Z$21,Q284)+SUMIFS(Settings!$AA$2:$AA$21,Settings!$Y$2:$Y$21,"Decision-maker?",Settings!$Z$2:$Z$21,R284)+SUMIFS(Settings!$AA$2:$AA$21,Settings!$Y$2:$Y$21,"Someone on camera?",Settings!$Z$2:$Z$21,S284)+SUMIFS(Settings!$AA$2:$AA$21,Settings!$Y$2:$Y$21,"OK with 3-month term?",Settings!$Z$2:$Z$21,T284)+SUMIFS(Settings!$AA$2:$AA$21,Settings!$Y$2:$Y$21,"Start timeline",Settings!$Z$2:$Z$21,U284)+SUMIFS(Settings!$AA$2:$AA$21,Settings!$Y$2:$Y$21,"Social media gap",Settings!$Z$2:$Z$21,V284)+IF(F284="",0,IF(COUNTIF(Settings!$AC$2:$AC$6,F284)&gt;0,Settings!$AA$20,Settings!$AA$21)))</f>
        <v/>
      </c>
      <c r="X284" s="44" t="str">
        <f aca="false">IF(E284="","",IF(COUNTA(Q284:V284)=0,"Not scored",IF(COUNTA(Q284:V284)&lt;6,"Partly scored ("&amp;COUNTA(Q284:V284)&amp;"/6)",IF(W284&gt;=Settings!$S$8,"Hot",IF(W284&gt;=Settings!$S$9,"Warm","Cold")))))</f>
        <v/>
      </c>
      <c r="Y284" s="44" t="str">
        <f aca="false">IF(E284="","",IF(AND(Q284="No",S284="No"),"🚩 Budget  ·  🚩 No one on camera",IF(Q284="No","🚩 Budget under AED 5k",IF(S284="No","🚩 No one on camera",""))))</f>
        <v/>
      </c>
      <c r="Z284" s="17"/>
      <c r="AA284" s="17"/>
      <c r="AB284" s="40"/>
      <c r="AC284" s="17"/>
      <c r="AD284" s="45" t="str">
        <f aca="false">IF(OR(E284="",AB284="",OR(AA284="Contract signed + paid",AA284="Closed – No response",AA284="Lost"),N(AC284)&gt;=Settings!$S$3),"",AB284+Settings!$S$2)</f>
        <v/>
      </c>
      <c r="AE284" s="40"/>
      <c r="AF284" s="41"/>
      <c r="AG284" s="17"/>
      <c r="AH284" s="17"/>
      <c r="AI284" s="17"/>
      <c r="AJ284" s="46" t="str">
        <f aca="true">IF(OR(E284="",B284=""),"",INT(TODAY()-B284))</f>
        <v/>
      </c>
      <c r="AK284" s="44" t="str">
        <f aca="true">IF(E284="","",IF(OR(COUNTIFS(Clients!$C$2:$C$501,E284,Clients!$S$2:$S$501,"Paid")&gt;0,AND(I284&lt;&gt;"",COUNTIFS(Clients!$E$2:$E$501,I284,Clients!$S$2:$S$501,"Paid")&gt;0)),"⚠ Refunded before – no free video",IF(OR(AA284="Contract signed + paid",AA284="Closed – No response",AA284="Lost"),"",IF(AA284="","Set a stage",IF(AND(AA284="Proposal sent",COUNTA(Q284:V284)&lt;6),"Score this lead – proposal sent unscored",IF(N(AC284)&gt;=Settings!$S$3,"Close – 4 follow-ups sent",IF(AD284="",IF(AB284="","Make first contact",""),IF(TODAY()&gt;AD284,"OVERDUE follow-up",IF(TODAY()=AD284,"Follow up today","")))))))))</f>
        <v/>
      </c>
    </row>
    <row r="285" customFormat="false" ht="15" hidden="false" customHeight="false" outlineLevel="0" collapsed="false">
      <c r="A285" s="17"/>
      <c r="B285" s="40"/>
      <c r="C285" s="41"/>
      <c r="D285" s="17"/>
      <c r="E285" s="17"/>
      <c r="F285" s="17"/>
      <c r="G285" s="17"/>
      <c r="H285" s="17"/>
      <c r="I285" s="42"/>
      <c r="J285" s="17"/>
      <c r="K285" s="17"/>
      <c r="L285" s="17"/>
      <c r="M285" s="17"/>
      <c r="N285" s="40"/>
      <c r="O285" s="41"/>
      <c r="P285" s="43" t="str">
        <f aca="false">IF(OR(B285="",N285=""),"",ROUND(((N285+N(O285))-(B285+N(C285)))*24,1))</f>
        <v/>
      </c>
      <c r="Q285" s="17"/>
      <c r="R285" s="17"/>
      <c r="S285" s="17"/>
      <c r="T285" s="17"/>
      <c r="U285" s="17"/>
      <c r="V285" s="17"/>
      <c r="W285" s="44" t="str">
        <f aca="false">IF(OR(E285="",COUNTA(Q285:V285)=0),"",SUMIFS(Settings!$AA$2:$AA$21,Settings!$Y$2:$Y$21,"Budget AED 5k+/mo?",Settings!$Z$2:$Z$21,Q285)+SUMIFS(Settings!$AA$2:$AA$21,Settings!$Y$2:$Y$21,"Decision-maker?",Settings!$Z$2:$Z$21,R285)+SUMIFS(Settings!$AA$2:$AA$21,Settings!$Y$2:$Y$21,"Someone on camera?",Settings!$Z$2:$Z$21,S285)+SUMIFS(Settings!$AA$2:$AA$21,Settings!$Y$2:$Y$21,"OK with 3-month term?",Settings!$Z$2:$Z$21,T285)+SUMIFS(Settings!$AA$2:$AA$21,Settings!$Y$2:$Y$21,"Start timeline",Settings!$Z$2:$Z$21,U285)+SUMIFS(Settings!$AA$2:$AA$21,Settings!$Y$2:$Y$21,"Social media gap",Settings!$Z$2:$Z$21,V285)+IF(F285="",0,IF(COUNTIF(Settings!$AC$2:$AC$6,F285)&gt;0,Settings!$AA$20,Settings!$AA$21)))</f>
        <v/>
      </c>
      <c r="X285" s="44" t="str">
        <f aca="false">IF(E285="","",IF(COUNTA(Q285:V285)=0,"Not scored",IF(COUNTA(Q285:V285)&lt;6,"Partly scored ("&amp;COUNTA(Q285:V285)&amp;"/6)",IF(W285&gt;=Settings!$S$8,"Hot",IF(W285&gt;=Settings!$S$9,"Warm","Cold")))))</f>
        <v/>
      </c>
      <c r="Y285" s="44" t="str">
        <f aca="false">IF(E285="","",IF(AND(Q285="No",S285="No"),"🚩 Budget  ·  🚩 No one on camera",IF(Q285="No","🚩 Budget under AED 5k",IF(S285="No","🚩 No one on camera",""))))</f>
        <v/>
      </c>
      <c r="Z285" s="17"/>
      <c r="AA285" s="17"/>
      <c r="AB285" s="40"/>
      <c r="AC285" s="17"/>
      <c r="AD285" s="45" t="str">
        <f aca="false">IF(OR(E285="",AB285="",OR(AA285="Contract signed + paid",AA285="Closed – No response",AA285="Lost"),N(AC285)&gt;=Settings!$S$3),"",AB285+Settings!$S$2)</f>
        <v/>
      </c>
      <c r="AE285" s="40"/>
      <c r="AF285" s="41"/>
      <c r="AG285" s="17"/>
      <c r="AH285" s="17"/>
      <c r="AI285" s="17"/>
      <c r="AJ285" s="46" t="str">
        <f aca="true">IF(OR(E285="",B285=""),"",INT(TODAY()-B285))</f>
        <v/>
      </c>
      <c r="AK285" s="44" t="str">
        <f aca="true">IF(E285="","",IF(OR(COUNTIFS(Clients!$C$2:$C$501,E285,Clients!$S$2:$S$501,"Paid")&gt;0,AND(I285&lt;&gt;"",COUNTIFS(Clients!$E$2:$E$501,I285,Clients!$S$2:$S$501,"Paid")&gt;0)),"⚠ Refunded before – no free video",IF(OR(AA285="Contract signed + paid",AA285="Closed – No response",AA285="Lost"),"",IF(AA285="","Set a stage",IF(AND(AA285="Proposal sent",COUNTA(Q285:V285)&lt;6),"Score this lead – proposal sent unscored",IF(N(AC285)&gt;=Settings!$S$3,"Close – 4 follow-ups sent",IF(AD285="",IF(AB285="","Make first contact",""),IF(TODAY()&gt;AD285,"OVERDUE follow-up",IF(TODAY()=AD285,"Follow up today","")))))))))</f>
        <v/>
      </c>
    </row>
    <row r="286" customFormat="false" ht="15" hidden="false" customHeight="false" outlineLevel="0" collapsed="false">
      <c r="A286" s="17"/>
      <c r="B286" s="40"/>
      <c r="C286" s="41"/>
      <c r="D286" s="17"/>
      <c r="E286" s="17"/>
      <c r="F286" s="17"/>
      <c r="G286" s="17"/>
      <c r="H286" s="17"/>
      <c r="I286" s="42"/>
      <c r="J286" s="17"/>
      <c r="K286" s="17"/>
      <c r="L286" s="17"/>
      <c r="M286" s="17"/>
      <c r="N286" s="40"/>
      <c r="O286" s="41"/>
      <c r="P286" s="43" t="str">
        <f aca="false">IF(OR(B286="",N286=""),"",ROUND(((N286+N(O286))-(B286+N(C286)))*24,1))</f>
        <v/>
      </c>
      <c r="Q286" s="17"/>
      <c r="R286" s="17"/>
      <c r="S286" s="17"/>
      <c r="T286" s="17"/>
      <c r="U286" s="17"/>
      <c r="V286" s="17"/>
      <c r="W286" s="44" t="str">
        <f aca="false">IF(OR(E286="",COUNTA(Q286:V286)=0),"",SUMIFS(Settings!$AA$2:$AA$21,Settings!$Y$2:$Y$21,"Budget AED 5k+/mo?",Settings!$Z$2:$Z$21,Q286)+SUMIFS(Settings!$AA$2:$AA$21,Settings!$Y$2:$Y$21,"Decision-maker?",Settings!$Z$2:$Z$21,R286)+SUMIFS(Settings!$AA$2:$AA$21,Settings!$Y$2:$Y$21,"Someone on camera?",Settings!$Z$2:$Z$21,S286)+SUMIFS(Settings!$AA$2:$AA$21,Settings!$Y$2:$Y$21,"OK with 3-month term?",Settings!$Z$2:$Z$21,T286)+SUMIFS(Settings!$AA$2:$AA$21,Settings!$Y$2:$Y$21,"Start timeline",Settings!$Z$2:$Z$21,U286)+SUMIFS(Settings!$AA$2:$AA$21,Settings!$Y$2:$Y$21,"Social media gap",Settings!$Z$2:$Z$21,V286)+IF(F286="",0,IF(COUNTIF(Settings!$AC$2:$AC$6,F286)&gt;0,Settings!$AA$20,Settings!$AA$21)))</f>
        <v/>
      </c>
      <c r="X286" s="44" t="str">
        <f aca="false">IF(E286="","",IF(COUNTA(Q286:V286)=0,"Not scored",IF(COUNTA(Q286:V286)&lt;6,"Partly scored ("&amp;COUNTA(Q286:V286)&amp;"/6)",IF(W286&gt;=Settings!$S$8,"Hot",IF(W286&gt;=Settings!$S$9,"Warm","Cold")))))</f>
        <v/>
      </c>
      <c r="Y286" s="44" t="str">
        <f aca="false">IF(E286="","",IF(AND(Q286="No",S286="No"),"🚩 Budget  ·  🚩 No one on camera",IF(Q286="No","🚩 Budget under AED 5k",IF(S286="No","🚩 No one on camera",""))))</f>
        <v/>
      </c>
      <c r="Z286" s="17"/>
      <c r="AA286" s="17"/>
      <c r="AB286" s="40"/>
      <c r="AC286" s="17"/>
      <c r="AD286" s="45" t="str">
        <f aca="false">IF(OR(E286="",AB286="",OR(AA286="Contract signed + paid",AA286="Closed – No response",AA286="Lost"),N(AC286)&gt;=Settings!$S$3),"",AB286+Settings!$S$2)</f>
        <v/>
      </c>
      <c r="AE286" s="40"/>
      <c r="AF286" s="41"/>
      <c r="AG286" s="17"/>
      <c r="AH286" s="17"/>
      <c r="AI286" s="17"/>
      <c r="AJ286" s="46" t="str">
        <f aca="true">IF(OR(E286="",B286=""),"",INT(TODAY()-B286))</f>
        <v/>
      </c>
      <c r="AK286" s="44" t="str">
        <f aca="true">IF(E286="","",IF(OR(COUNTIFS(Clients!$C$2:$C$501,E286,Clients!$S$2:$S$501,"Paid")&gt;0,AND(I286&lt;&gt;"",COUNTIFS(Clients!$E$2:$E$501,I286,Clients!$S$2:$S$501,"Paid")&gt;0)),"⚠ Refunded before – no free video",IF(OR(AA286="Contract signed + paid",AA286="Closed – No response",AA286="Lost"),"",IF(AA286="","Set a stage",IF(AND(AA286="Proposal sent",COUNTA(Q286:V286)&lt;6),"Score this lead – proposal sent unscored",IF(N(AC286)&gt;=Settings!$S$3,"Close – 4 follow-ups sent",IF(AD286="",IF(AB286="","Make first contact",""),IF(TODAY()&gt;AD286,"OVERDUE follow-up",IF(TODAY()=AD286,"Follow up today","")))))))))</f>
        <v/>
      </c>
    </row>
    <row r="287" customFormat="false" ht="15" hidden="false" customHeight="false" outlineLevel="0" collapsed="false">
      <c r="A287" s="17"/>
      <c r="B287" s="40"/>
      <c r="C287" s="41"/>
      <c r="D287" s="17"/>
      <c r="E287" s="17"/>
      <c r="F287" s="17"/>
      <c r="G287" s="17"/>
      <c r="H287" s="17"/>
      <c r="I287" s="42"/>
      <c r="J287" s="17"/>
      <c r="K287" s="17"/>
      <c r="L287" s="17"/>
      <c r="M287" s="17"/>
      <c r="N287" s="40"/>
      <c r="O287" s="41"/>
      <c r="P287" s="43" t="str">
        <f aca="false">IF(OR(B287="",N287=""),"",ROUND(((N287+N(O287))-(B287+N(C287)))*24,1))</f>
        <v/>
      </c>
      <c r="Q287" s="17"/>
      <c r="R287" s="17"/>
      <c r="S287" s="17"/>
      <c r="T287" s="17"/>
      <c r="U287" s="17"/>
      <c r="V287" s="17"/>
      <c r="W287" s="44" t="str">
        <f aca="false">IF(OR(E287="",COUNTA(Q287:V287)=0),"",SUMIFS(Settings!$AA$2:$AA$21,Settings!$Y$2:$Y$21,"Budget AED 5k+/mo?",Settings!$Z$2:$Z$21,Q287)+SUMIFS(Settings!$AA$2:$AA$21,Settings!$Y$2:$Y$21,"Decision-maker?",Settings!$Z$2:$Z$21,R287)+SUMIFS(Settings!$AA$2:$AA$21,Settings!$Y$2:$Y$21,"Someone on camera?",Settings!$Z$2:$Z$21,S287)+SUMIFS(Settings!$AA$2:$AA$21,Settings!$Y$2:$Y$21,"OK with 3-month term?",Settings!$Z$2:$Z$21,T287)+SUMIFS(Settings!$AA$2:$AA$21,Settings!$Y$2:$Y$21,"Start timeline",Settings!$Z$2:$Z$21,U287)+SUMIFS(Settings!$AA$2:$AA$21,Settings!$Y$2:$Y$21,"Social media gap",Settings!$Z$2:$Z$21,V287)+IF(F287="",0,IF(COUNTIF(Settings!$AC$2:$AC$6,F287)&gt;0,Settings!$AA$20,Settings!$AA$21)))</f>
        <v/>
      </c>
      <c r="X287" s="44" t="str">
        <f aca="false">IF(E287="","",IF(COUNTA(Q287:V287)=0,"Not scored",IF(COUNTA(Q287:V287)&lt;6,"Partly scored ("&amp;COUNTA(Q287:V287)&amp;"/6)",IF(W287&gt;=Settings!$S$8,"Hot",IF(W287&gt;=Settings!$S$9,"Warm","Cold")))))</f>
        <v/>
      </c>
      <c r="Y287" s="44" t="str">
        <f aca="false">IF(E287="","",IF(AND(Q287="No",S287="No"),"🚩 Budget  ·  🚩 No one on camera",IF(Q287="No","🚩 Budget under AED 5k",IF(S287="No","🚩 No one on camera",""))))</f>
        <v/>
      </c>
      <c r="Z287" s="17"/>
      <c r="AA287" s="17"/>
      <c r="AB287" s="40"/>
      <c r="AC287" s="17"/>
      <c r="AD287" s="45" t="str">
        <f aca="false">IF(OR(E287="",AB287="",OR(AA287="Contract signed + paid",AA287="Closed – No response",AA287="Lost"),N(AC287)&gt;=Settings!$S$3),"",AB287+Settings!$S$2)</f>
        <v/>
      </c>
      <c r="AE287" s="40"/>
      <c r="AF287" s="41"/>
      <c r="AG287" s="17"/>
      <c r="AH287" s="17"/>
      <c r="AI287" s="17"/>
      <c r="AJ287" s="46" t="str">
        <f aca="true">IF(OR(E287="",B287=""),"",INT(TODAY()-B287))</f>
        <v/>
      </c>
      <c r="AK287" s="44" t="str">
        <f aca="true">IF(E287="","",IF(OR(COUNTIFS(Clients!$C$2:$C$501,E287,Clients!$S$2:$S$501,"Paid")&gt;0,AND(I287&lt;&gt;"",COUNTIFS(Clients!$E$2:$E$501,I287,Clients!$S$2:$S$501,"Paid")&gt;0)),"⚠ Refunded before – no free video",IF(OR(AA287="Contract signed + paid",AA287="Closed – No response",AA287="Lost"),"",IF(AA287="","Set a stage",IF(AND(AA287="Proposal sent",COUNTA(Q287:V287)&lt;6),"Score this lead – proposal sent unscored",IF(N(AC287)&gt;=Settings!$S$3,"Close – 4 follow-ups sent",IF(AD287="",IF(AB287="","Make first contact",""),IF(TODAY()&gt;AD287,"OVERDUE follow-up",IF(TODAY()=AD287,"Follow up today","")))))))))</f>
        <v/>
      </c>
    </row>
    <row r="288" customFormat="false" ht="15" hidden="false" customHeight="false" outlineLevel="0" collapsed="false">
      <c r="A288" s="17"/>
      <c r="B288" s="40"/>
      <c r="C288" s="41"/>
      <c r="D288" s="17"/>
      <c r="E288" s="17"/>
      <c r="F288" s="17"/>
      <c r="G288" s="17"/>
      <c r="H288" s="17"/>
      <c r="I288" s="42"/>
      <c r="J288" s="17"/>
      <c r="K288" s="17"/>
      <c r="L288" s="17"/>
      <c r="M288" s="17"/>
      <c r="N288" s="40"/>
      <c r="O288" s="41"/>
      <c r="P288" s="43" t="str">
        <f aca="false">IF(OR(B288="",N288=""),"",ROUND(((N288+N(O288))-(B288+N(C288)))*24,1))</f>
        <v/>
      </c>
      <c r="Q288" s="17"/>
      <c r="R288" s="17"/>
      <c r="S288" s="17"/>
      <c r="T288" s="17"/>
      <c r="U288" s="17"/>
      <c r="V288" s="17"/>
      <c r="W288" s="44" t="str">
        <f aca="false">IF(OR(E288="",COUNTA(Q288:V288)=0),"",SUMIFS(Settings!$AA$2:$AA$21,Settings!$Y$2:$Y$21,"Budget AED 5k+/mo?",Settings!$Z$2:$Z$21,Q288)+SUMIFS(Settings!$AA$2:$AA$21,Settings!$Y$2:$Y$21,"Decision-maker?",Settings!$Z$2:$Z$21,R288)+SUMIFS(Settings!$AA$2:$AA$21,Settings!$Y$2:$Y$21,"Someone on camera?",Settings!$Z$2:$Z$21,S288)+SUMIFS(Settings!$AA$2:$AA$21,Settings!$Y$2:$Y$21,"OK with 3-month term?",Settings!$Z$2:$Z$21,T288)+SUMIFS(Settings!$AA$2:$AA$21,Settings!$Y$2:$Y$21,"Start timeline",Settings!$Z$2:$Z$21,U288)+SUMIFS(Settings!$AA$2:$AA$21,Settings!$Y$2:$Y$21,"Social media gap",Settings!$Z$2:$Z$21,V288)+IF(F288="",0,IF(COUNTIF(Settings!$AC$2:$AC$6,F288)&gt;0,Settings!$AA$20,Settings!$AA$21)))</f>
        <v/>
      </c>
      <c r="X288" s="44" t="str">
        <f aca="false">IF(E288="","",IF(COUNTA(Q288:V288)=0,"Not scored",IF(COUNTA(Q288:V288)&lt;6,"Partly scored ("&amp;COUNTA(Q288:V288)&amp;"/6)",IF(W288&gt;=Settings!$S$8,"Hot",IF(W288&gt;=Settings!$S$9,"Warm","Cold")))))</f>
        <v/>
      </c>
      <c r="Y288" s="44" t="str">
        <f aca="false">IF(E288="","",IF(AND(Q288="No",S288="No"),"🚩 Budget  ·  🚩 No one on camera",IF(Q288="No","🚩 Budget under AED 5k",IF(S288="No","🚩 No one on camera",""))))</f>
        <v/>
      </c>
      <c r="Z288" s="17"/>
      <c r="AA288" s="17"/>
      <c r="AB288" s="40"/>
      <c r="AC288" s="17"/>
      <c r="AD288" s="45" t="str">
        <f aca="false">IF(OR(E288="",AB288="",OR(AA288="Contract signed + paid",AA288="Closed – No response",AA288="Lost"),N(AC288)&gt;=Settings!$S$3),"",AB288+Settings!$S$2)</f>
        <v/>
      </c>
      <c r="AE288" s="40"/>
      <c r="AF288" s="41"/>
      <c r="AG288" s="17"/>
      <c r="AH288" s="17"/>
      <c r="AI288" s="17"/>
      <c r="AJ288" s="46" t="str">
        <f aca="true">IF(OR(E288="",B288=""),"",INT(TODAY()-B288))</f>
        <v/>
      </c>
      <c r="AK288" s="44" t="str">
        <f aca="true">IF(E288="","",IF(OR(COUNTIFS(Clients!$C$2:$C$501,E288,Clients!$S$2:$S$501,"Paid")&gt;0,AND(I288&lt;&gt;"",COUNTIFS(Clients!$E$2:$E$501,I288,Clients!$S$2:$S$501,"Paid")&gt;0)),"⚠ Refunded before – no free video",IF(OR(AA288="Contract signed + paid",AA288="Closed – No response",AA288="Lost"),"",IF(AA288="","Set a stage",IF(AND(AA288="Proposal sent",COUNTA(Q288:V288)&lt;6),"Score this lead – proposal sent unscored",IF(N(AC288)&gt;=Settings!$S$3,"Close – 4 follow-ups sent",IF(AD288="",IF(AB288="","Make first contact",""),IF(TODAY()&gt;AD288,"OVERDUE follow-up",IF(TODAY()=AD288,"Follow up today","")))))))))</f>
        <v/>
      </c>
    </row>
    <row r="289" customFormat="false" ht="15" hidden="false" customHeight="false" outlineLevel="0" collapsed="false">
      <c r="A289" s="17"/>
      <c r="B289" s="40"/>
      <c r="C289" s="41"/>
      <c r="D289" s="17"/>
      <c r="E289" s="17"/>
      <c r="F289" s="17"/>
      <c r="G289" s="17"/>
      <c r="H289" s="17"/>
      <c r="I289" s="42"/>
      <c r="J289" s="17"/>
      <c r="K289" s="17"/>
      <c r="L289" s="17"/>
      <c r="M289" s="17"/>
      <c r="N289" s="40"/>
      <c r="O289" s="41"/>
      <c r="P289" s="43" t="str">
        <f aca="false">IF(OR(B289="",N289=""),"",ROUND(((N289+N(O289))-(B289+N(C289)))*24,1))</f>
        <v/>
      </c>
      <c r="Q289" s="17"/>
      <c r="R289" s="17"/>
      <c r="S289" s="17"/>
      <c r="T289" s="17"/>
      <c r="U289" s="17"/>
      <c r="V289" s="17"/>
      <c r="W289" s="44" t="str">
        <f aca="false">IF(OR(E289="",COUNTA(Q289:V289)=0),"",SUMIFS(Settings!$AA$2:$AA$21,Settings!$Y$2:$Y$21,"Budget AED 5k+/mo?",Settings!$Z$2:$Z$21,Q289)+SUMIFS(Settings!$AA$2:$AA$21,Settings!$Y$2:$Y$21,"Decision-maker?",Settings!$Z$2:$Z$21,R289)+SUMIFS(Settings!$AA$2:$AA$21,Settings!$Y$2:$Y$21,"Someone on camera?",Settings!$Z$2:$Z$21,S289)+SUMIFS(Settings!$AA$2:$AA$21,Settings!$Y$2:$Y$21,"OK with 3-month term?",Settings!$Z$2:$Z$21,T289)+SUMIFS(Settings!$AA$2:$AA$21,Settings!$Y$2:$Y$21,"Start timeline",Settings!$Z$2:$Z$21,U289)+SUMIFS(Settings!$AA$2:$AA$21,Settings!$Y$2:$Y$21,"Social media gap",Settings!$Z$2:$Z$21,V289)+IF(F289="",0,IF(COUNTIF(Settings!$AC$2:$AC$6,F289)&gt;0,Settings!$AA$20,Settings!$AA$21)))</f>
        <v/>
      </c>
      <c r="X289" s="44" t="str">
        <f aca="false">IF(E289="","",IF(COUNTA(Q289:V289)=0,"Not scored",IF(COUNTA(Q289:V289)&lt;6,"Partly scored ("&amp;COUNTA(Q289:V289)&amp;"/6)",IF(W289&gt;=Settings!$S$8,"Hot",IF(W289&gt;=Settings!$S$9,"Warm","Cold")))))</f>
        <v/>
      </c>
      <c r="Y289" s="44" t="str">
        <f aca="false">IF(E289="","",IF(AND(Q289="No",S289="No"),"🚩 Budget  ·  🚩 No one on camera",IF(Q289="No","🚩 Budget under AED 5k",IF(S289="No","🚩 No one on camera",""))))</f>
        <v/>
      </c>
      <c r="Z289" s="17"/>
      <c r="AA289" s="17"/>
      <c r="AB289" s="40"/>
      <c r="AC289" s="17"/>
      <c r="AD289" s="45" t="str">
        <f aca="false">IF(OR(E289="",AB289="",OR(AA289="Contract signed + paid",AA289="Closed – No response",AA289="Lost"),N(AC289)&gt;=Settings!$S$3),"",AB289+Settings!$S$2)</f>
        <v/>
      </c>
      <c r="AE289" s="40"/>
      <c r="AF289" s="41"/>
      <c r="AG289" s="17"/>
      <c r="AH289" s="17"/>
      <c r="AI289" s="17"/>
      <c r="AJ289" s="46" t="str">
        <f aca="true">IF(OR(E289="",B289=""),"",INT(TODAY()-B289))</f>
        <v/>
      </c>
      <c r="AK289" s="44" t="str">
        <f aca="true">IF(E289="","",IF(OR(COUNTIFS(Clients!$C$2:$C$501,E289,Clients!$S$2:$S$501,"Paid")&gt;0,AND(I289&lt;&gt;"",COUNTIFS(Clients!$E$2:$E$501,I289,Clients!$S$2:$S$501,"Paid")&gt;0)),"⚠ Refunded before – no free video",IF(OR(AA289="Contract signed + paid",AA289="Closed – No response",AA289="Lost"),"",IF(AA289="","Set a stage",IF(AND(AA289="Proposal sent",COUNTA(Q289:V289)&lt;6),"Score this lead – proposal sent unscored",IF(N(AC289)&gt;=Settings!$S$3,"Close – 4 follow-ups sent",IF(AD289="",IF(AB289="","Make first contact",""),IF(TODAY()&gt;AD289,"OVERDUE follow-up",IF(TODAY()=AD289,"Follow up today","")))))))))</f>
        <v/>
      </c>
    </row>
    <row r="290" customFormat="false" ht="15" hidden="false" customHeight="false" outlineLevel="0" collapsed="false">
      <c r="A290" s="17"/>
      <c r="B290" s="40"/>
      <c r="C290" s="41"/>
      <c r="D290" s="17"/>
      <c r="E290" s="17"/>
      <c r="F290" s="17"/>
      <c r="G290" s="17"/>
      <c r="H290" s="17"/>
      <c r="I290" s="42"/>
      <c r="J290" s="17"/>
      <c r="K290" s="17"/>
      <c r="L290" s="17"/>
      <c r="M290" s="17"/>
      <c r="N290" s="40"/>
      <c r="O290" s="41"/>
      <c r="P290" s="43" t="str">
        <f aca="false">IF(OR(B290="",N290=""),"",ROUND(((N290+N(O290))-(B290+N(C290)))*24,1))</f>
        <v/>
      </c>
      <c r="Q290" s="17"/>
      <c r="R290" s="17"/>
      <c r="S290" s="17"/>
      <c r="T290" s="17"/>
      <c r="U290" s="17"/>
      <c r="V290" s="17"/>
      <c r="W290" s="44" t="str">
        <f aca="false">IF(OR(E290="",COUNTA(Q290:V290)=0),"",SUMIFS(Settings!$AA$2:$AA$21,Settings!$Y$2:$Y$21,"Budget AED 5k+/mo?",Settings!$Z$2:$Z$21,Q290)+SUMIFS(Settings!$AA$2:$AA$21,Settings!$Y$2:$Y$21,"Decision-maker?",Settings!$Z$2:$Z$21,R290)+SUMIFS(Settings!$AA$2:$AA$21,Settings!$Y$2:$Y$21,"Someone on camera?",Settings!$Z$2:$Z$21,S290)+SUMIFS(Settings!$AA$2:$AA$21,Settings!$Y$2:$Y$21,"OK with 3-month term?",Settings!$Z$2:$Z$21,T290)+SUMIFS(Settings!$AA$2:$AA$21,Settings!$Y$2:$Y$21,"Start timeline",Settings!$Z$2:$Z$21,U290)+SUMIFS(Settings!$AA$2:$AA$21,Settings!$Y$2:$Y$21,"Social media gap",Settings!$Z$2:$Z$21,V290)+IF(F290="",0,IF(COUNTIF(Settings!$AC$2:$AC$6,F290)&gt;0,Settings!$AA$20,Settings!$AA$21)))</f>
        <v/>
      </c>
      <c r="X290" s="44" t="str">
        <f aca="false">IF(E290="","",IF(COUNTA(Q290:V290)=0,"Not scored",IF(COUNTA(Q290:V290)&lt;6,"Partly scored ("&amp;COUNTA(Q290:V290)&amp;"/6)",IF(W290&gt;=Settings!$S$8,"Hot",IF(W290&gt;=Settings!$S$9,"Warm","Cold")))))</f>
        <v/>
      </c>
      <c r="Y290" s="44" t="str">
        <f aca="false">IF(E290="","",IF(AND(Q290="No",S290="No"),"🚩 Budget  ·  🚩 No one on camera",IF(Q290="No","🚩 Budget under AED 5k",IF(S290="No","🚩 No one on camera",""))))</f>
        <v/>
      </c>
      <c r="Z290" s="17"/>
      <c r="AA290" s="17"/>
      <c r="AB290" s="40"/>
      <c r="AC290" s="17"/>
      <c r="AD290" s="45" t="str">
        <f aca="false">IF(OR(E290="",AB290="",OR(AA290="Contract signed + paid",AA290="Closed – No response",AA290="Lost"),N(AC290)&gt;=Settings!$S$3),"",AB290+Settings!$S$2)</f>
        <v/>
      </c>
      <c r="AE290" s="40"/>
      <c r="AF290" s="41"/>
      <c r="AG290" s="17"/>
      <c r="AH290" s="17"/>
      <c r="AI290" s="17"/>
      <c r="AJ290" s="46" t="str">
        <f aca="true">IF(OR(E290="",B290=""),"",INT(TODAY()-B290))</f>
        <v/>
      </c>
      <c r="AK290" s="44" t="str">
        <f aca="true">IF(E290="","",IF(OR(COUNTIFS(Clients!$C$2:$C$501,E290,Clients!$S$2:$S$501,"Paid")&gt;0,AND(I290&lt;&gt;"",COUNTIFS(Clients!$E$2:$E$501,I290,Clients!$S$2:$S$501,"Paid")&gt;0)),"⚠ Refunded before – no free video",IF(OR(AA290="Contract signed + paid",AA290="Closed – No response",AA290="Lost"),"",IF(AA290="","Set a stage",IF(AND(AA290="Proposal sent",COUNTA(Q290:V290)&lt;6),"Score this lead – proposal sent unscored",IF(N(AC290)&gt;=Settings!$S$3,"Close – 4 follow-ups sent",IF(AD290="",IF(AB290="","Make first contact",""),IF(TODAY()&gt;AD290,"OVERDUE follow-up",IF(TODAY()=AD290,"Follow up today","")))))))))</f>
        <v/>
      </c>
    </row>
    <row r="291" customFormat="false" ht="15" hidden="false" customHeight="false" outlineLevel="0" collapsed="false">
      <c r="A291" s="17"/>
      <c r="B291" s="40"/>
      <c r="C291" s="41"/>
      <c r="D291" s="17"/>
      <c r="E291" s="17"/>
      <c r="F291" s="17"/>
      <c r="G291" s="17"/>
      <c r="H291" s="17"/>
      <c r="I291" s="42"/>
      <c r="J291" s="17"/>
      <c r="K291" s="17"/>
      <c r="L291" s="17"/>
      <c r="M291" s="17"/>
      <c r="N291" s="40"/>
      <c r="O291" s="41"/>
      <c r="P291" s="43" t="str">
        <f aca="false">IF(OR(B291="",N291=""),"",ROUND(((N291+N(O291))-(B291+N(C291)))*24,1))</f>
        <v/>
      </c>
      <c r="Q291" s="17"/>
      <c r="R291" s="17"/>
      <c r="S291" s="17"/>
      <c r="T291" s="17"/>
      <c r="U291" s="17"/>
      <c r="V291" s="17"/>
      <c r="W291" s="44" t="str">
        <f aca="false">IF(OR(E291="",COUNTA(Q291:V291)=0),"",SUMIFS(Settings!$AA$2:$AA$21,Settings!$Y$2:$Y$21,"Budget AED 5k+/mo?",Settings!$Z$2:$Z$21,Q291)+SUMIFS(Settings!$AA$2:$AA$21,Settings!$Y$2:$Y$21,"Decision-maker?",Settings!$Z$2:$Z$21,R291)+SUMIFS(Settings!$AA$2:$AA$21,Settings!$Y$2:$Y$21,"Someone on camera?",Settings!$Z$2:$Z$21,S291)+SUMIFS(Settings!$AA$2:$AA$21,Settings!$Y$2:$Y$21,"OK with 3-month term?",Settings!$Z$2:$Z$21,T291)+SUMIFS(Settings!$AA$2:$AA$21,Settings!$Y$2:$Y$21,"Start timeline",Settings!$Z$2:$Z$21,U291)+SUMIFS(Settings!$AA$2:$AA$21,Settings!$Y$2:$Y$21,"Social media gap",Settings!$Z$2:$Z$21,V291)+IF(F291="",0,IF(COUNTIF(Settings!$AC$2:$AC$6,F291)&gt;0,Settings!$AA$20,Settings!$AA$21)))</f>
        <v/>
      </c>
      <c r="X291" s="44" t="str">
        <f aca="false">IF(E291="","",IF(COUNTA(Q291:V291)=0,"Not scored",IF(COUNTA(Q291:V291)&lt;6,"Partly scored ("&amp;COUNTA(Q291:V291)&amp;"/6)",IF(W291&gt;=Settings!$S$8,"Hot",IF(W291&gt;=Settings!$S$9,"Warm","Cold")))))</f>
        <v/>
      </c>
      <c r="Y291" s="44" t="str">
        <f aca="false">IF(E291="","",IF(AND(Q291="No",S291="No"),"🚩 Budget  ·  🚩 No one on camera",IF(Q291="No","🚩 Budget under AED 5k",IF(S291="No","🚩 No one on camera",""))))</f>
        <v/>
      </c>
      <c r="Z291" s="17"/>
      <c r="AA291" s="17"/>
      <c r="AB291" s="40"/>
      <c r="AC291" s="17"/>
      <c r="AD291" s="45" t="str">
        <f aca="false">IF(OR(E291="",AB291="",OR(AA291="Contract signed + paid",AA291="Closed – No response",AA291="Lost"),N(AC291)&gt;=Settings!$S$3),"",AB291+Settings!$S$2)</f>
        <v/>
      </c>
      <c r="AE291" s="40"/>
      <c r="AF291" s="41"/>
      <c r="AG291" s="17"/>
      <c r="AH291" s="17"/>
      <c r="AI291" s="17"/>
      <c r="AJ291" s="46" t="str">
        <f aca="true">IF(OR(E291="",B291=""),"",INT(TODAY()-B291))</f>
        <v/>
      </c>
      <c r="AK291" s="44" t="str">
        <f aca="true">IF(E291="","",IF(OR(COUNTIFS(Clients!$C$2:$C$501,E291,Clients!$S$2:$S$501,"Paid")&gt;0,AND(I291&lt;&gt;"",COUNTIFS(Clients!$E$2:$E$501,I291,Clients!$S$2:$S$501,"Paid")&gt;0)),"⚠ Refunded before – no free video",IF(OR(AA291="Contract signed + paid",AA291="Closed – No response",AA291="Lost"),"",IF(AA291="","Set a stage",IF(AND(AA291="Proposal sent",COUNTA(Q291:V291)&lt;6),"Score this lead – proposal sent unscored",IF(N(AC291)&gt;=Settings!$S$3,"Close – 4 follow-ups sent",IF(AD291="",IF(AB291="","Make first contact",""),IF(TODAY()&gt;AD291,"OVERDUE follow-up",IF(TODAY()=AD291,"Follow up today","")))))))))</f>
        <v/>
      </c>
    </row>
    <row r="292" customFormat="false" ht="15" hidden="false" customHeight="false" outlineLevel="0" collapsed="false">
      <c r="A292" s="17"/>
      <c r="B292" s="40"/>
      <c r="C292" s="41"/>
      <c r="D292" s="17"/>
      <c r="E292" s="17"/>
      <c r="F292" s="17"/>
      <c r="G292" s="17"/>
      <c r="H292" s="17"/>
      <c r="I292" s="42"/>
      <c r="J292" s="17"/>
      <c r="K292" s="17"/>
      <c r="L292" s="17"/>
      <c r="M292" s="17"/>
      <c r="N292" s="40"/>
      <c r="O292" s="41"/>
      <c r="P292" s="43" t="str">
        <f aca="false">IF(OR(B292="",N292=""),"",ROUND(((N292+N(O292))-(B292+N(C292)))*24,1))</f>
        <v/>
      </c>
      <c r="Q292" s="17"/>
      <c r="R292" s="17"/>
      <c r="S292" s="17"/>
      <c r="T292" s="17"/>
      <c r="U292" s="17"/>
      <c r="V292" s="17"/>
      <c r="W292" s="44" t="str">
        <f aca="false">IF(OR(E292="",COUNTA(Q292:V292)=0),"",SUMIFS(Settings!$AA$2:$AA$21,Settings!$Y$2:$Y$21,"Budget AED 5k+/mo?",Settings!$Z$2:$Z$21,Q292)+SUMIFS(Settings!$AA$2:$AA$21,Settings!$Y$2:$Y$21,"Decision-maker?",Settings!$Z$2:$Z$21,R292)+SUMIFS(Settings!$AA$2:$AA$21,Settings!$Y$2:$Y$21,"Someone on camera?",Settings!$Z$2:$Z$21,S292)+SUMIFS(Settings!$AA$2:$AA$21,Settings!$Y$2:$Y$21,"OK with 3-month term?",Settings!$Z$2:$Z$21,T292)+SUMIFS(Settings!$AA$2:$AA$21,Settings!$Y$2:$Y$21,"Start timeline",Settings!$Z$2:$Z$21,U292)+SUMIFS(Settings!$AA$2:$AA$21,Settings!$Y$2:$Y$21,"Social media gap",Settings!$Z$2:$Z$21,V292)+IF(F292="",0,IF(COUNTIF(Settings!$AC$2:$AC$6,F292)&gt;0,Settings!$AA$20,Settings!$AA$21)))</f>
        <v/>
      </c>
      <c r="X292" s="44" t="str">
        <f aca="false">IF(E292="","",IF(COUNTA(Q292:V292)=0,"Not scored",IF(COUNTA(Q292:V292)&lt;6,"Partly scored ("&amp;COUNTA(Q292:V292)&amp;"/6)",IF(W292&gt;=Settings!$S$8,"Hot",IF(W292&gt;=Settings!$S$9,"Warm","Cold")))))</f>
        <v/>
      </c>
      <c r="Y292" s="44" t="str">
        <f aca="false">IF(E292="","",IF(AND(Q292="No",S292="No"),"🚩 Budget  ·  🚩 No one on camera",IF(Q292="No","🚩 Budget under AED 5k",IF(S292="No","🚩 No one on camera",""))))</f>
        <v/>
      </c>
      <c r="Z292" s="17"/>
      <c r="AA292" s="17"/>
      <c r="AB292" s="40"/>
      <c r="AC292" s="17"/>
      <c r="AD292" s="45" t="str">
        <f aca="false">IF(OR(E292="",AB292="",OR(AA292="Contract signed + paid",AA292="Closed – No response",AA292="Lost"),N(AC292)&gt;=Settings!$S$3),"",AB292+Settings!$S$2)</f>
        <v/>
      </c>
      <c r="AE292" s="40"/>
      <c r="AF292" s="41"/>
      <c r="AG292" s="17"/>
      <c r="AH292" s="17"/>
      <c r="AI292" s="17"/>
      <c r="AJ292" s="46" t="str">
        <f aca="true">IF(OR(E292="",B292=""),"",INT(TODAY()-B292))</f>
        <v/>
      </c>
      <c r="AK292" s="44" t="str">
        <f aca="true">IF(E292="","",IF(OR(COUNTIFS(Clients!$C$2:$C$501,E292,Clients!$S$2:$S$501,"Paid")&gt;0,AND(I292&lt;&gt;"",COUNTIFS(Clients!$E$2:$E$501,I292,Clients!$S$2:$S$501,"Paid")&gt;0)),"⚠ Refunded before – no free video",IF(OR(AA292="Contract signed + paid",AA292="Closed – No response",AA292="Lost"),"",IF(AA292="","Set a stage",IF(AND(AA292="Proposal sent",COUNTA(Q292:V292)&lt;6),"Score this lead – proposal sent unscored",IF(N(AC292)&gt;=Settings!$S$3,"Close – 4 follow-ups sent",IF(AD292="",IF(AB292="","Make first contact",""),IF(TODAY()&gt;AD292,"OVERDUE follow-up",IF(TODAY()=AD292,"Follow up today","")))))))))</f>
        <v/>
      </c>
    </row>
    <row r="293" customFormat="false" ht="15" hidden="false" customHeight="false" outlineLevel="0" collapsed="false">
      <c r="A293" s="17"/>
      <c r="B293" s="40"/>
      <c r="C293" s="41"/>
      <c r="D293" s="17"/>
      <c r="E293" s="17"/>
      <c r="F293" s="17"/>
      <c r="G293" s="17"/>
      <c r="H293" s="17"/>
      <c r="I293" s="42"/>
      <c r="J293" s="17"/>
      <c r="K293" s="17"/>
      <c r="L293" s="17"/>
      <c r="M293" s="17"/>
      <c r="N293" s="40"/>
      <c r="O293" s="41"/>
      <c r="P293" s="43" t="str">
        <f aca="false">IF(OR(B293="",N293=""),"",ROUND(((N293+N(O293))-(B293+N(C293)))*24,1))</f>
        <v/>
      </c>
      <c r="Q293" s="17"/>
      <c r="R293" s="17"/>
      <c r="S293" s="17"/>
      <c r="T293" s="17"/>
      <c r="U293" s="17"/>
      <c r="V293" s="17"/>
      <c r="W293" s="44" t="str">
        <f aca="false">IF(OR(E293="",COUNTA(Q293:V293)=0),"",SUMIFS(Settings!$AA$2:$AA$21,Settings!$Y$2:$Y$21,"Budget AED 5k+/mo?",Settings!$Z$2:$Z$21,Q293)+SUMIFS(Settings!$AA$2:$AA$21,Settings!$Y$2:$Y$21,"Decision-maker?",Settings!$Z$2:$Z$21,R293)+SUMIFS(Settings!$AA$2:$AA$21,Settings!$Y$2:$Y$21,"Someone on camera?",Settings!$Z$2:$Z$21,S293)+SUMIFS(Settings!$AA$2:$AA$21,Settings!$Y$2:$Y$21,"OK with 3-month term?",Settings!$Z$2:$Z$21,T293)+SUMIFS(Settings!$AA$2:$AA$21,Settings!$Y$2:$Y$21,"Start timeline",Settings!$Z$2:$Z$21,U293)+SUMIFS(Settings!$AA$2:$AA$21,Settings!$Y$2:$Y$21,"Social media gap",Settings!$Z$2:$Z$21,V293)+IF(F293="",0,IF(COUNTIF(Settings!$AC$2:$AC$6,F293)&gt;0,Settings!$AA$20,Settings!$AA$21)))</f>
        <v/>
      </c>
      <c r="X293" s="44" t="str">
        <f aca="false">IF(E293="","",IF(COUNTA(Q293:V293)=0,"Not scored",IF(COUNTA(Q293:V293)&lt;6,"Partly scored ("&amp;COUNTA(Q293:V293)&amp;"/6)",IF(W293&gt;=Settings!$S$8,"Hot",IF(W293&gt;=Settings!$S$9,"Warm","Cold")))))</f>
        <v/>
      </c>
      <c r="Y293" s="44" t="str">
        <f aca="false">IF(E293="","",IF(AND(Q293="No",S293="No"),"🚩 Budget  ·  🚩 No one on camera",IF(Q293="No","🚩 Budget under AED 5k",IF(S293="No","🚩 No one on camera",""))))</f>
        <v/>
      </c>
      <c r="Z293" s="17"/>
      <c r="AA293" s="17"/>
      <c r="AB293" s="40"/>
      <c r="AC293" s="17"/>
      <c r="AD293" s="45" t="str">
        <f aca="false">IF(OR(E293="",AB293="",OR(AA293="Contract signed + paid",AA293="Closed – No response",AA293="Lost"),N(AC293)&gt;=Settings!$S$3),"",AB293+Settings!$S$2)</f>
        <v/>
      </c>
      <c r="AE293" s="40"/>
      <c r="AF293" s="41"/>
      <c r="AG293" s="17"/>
      <c r="AH293" s="17"/>
      <c r="AI293" s="17"/>
      <c r="AJ293" s="46" t="str">
        <f aca="true">IF(OR(E293="",B293=""),"",INT(TODAY()-B293))</f>
        <v/>
      </c>
      <c r="AK293" s="44" t="str">
        <f aca="true">IF(E293="","",IF(OR(COUNTIFS(Clients!$C$2:$C$501,E293,Clients!$S$2:$S$501,"Paid")&gt;0,AND(I293&lt;&gt;"",COUNTIFS(Clients!$E$2:$E$501,I293,Clients!$S$2:$S$501,"Paid")&gt;0)),"⚠ Refunded before – no free video",IF(OR(AA293="Contract signed + paid",AA293="Closed – No response",AA293="Lost"),"",IF(AA293="","Set a stage",IF(AND(AA293="Proposal sent",COUNTA(Q293:V293)&lt;6),"Score this lead – proposal sent unscored",IF(N(AC293)&gt;=Settings!$S$3,"Close – 4 follow-ups sent",IF(AD293="",IF(AB293="","Make first contact",""),IF(TODAY()&gt;AD293,"OVERDUE follow-up",IF(TODAY()=AD293,"Follow up today","")))))))))</f>
        <v/>
      </c>
    </row>
    <row r="294" customFormat="false" ht="15" hidden="false" customHeight="false" outlineLevel="0" collapsed="false">
      <c r="A294" s="17"/>
      <c r="B294" s="40"/>
      <c r="C294" s="41"/>
      <c r="D294" s="17"/>
      <c r="E294" s="17"/>
      <c r="F294" s="17"/>
      <c r="G294" s="17"/>
      <c r="H294" s="17"/>
      <c r="I294" s="42"/>
      <c r="J294" s="17"/>
      <c r="K294" s="17"/>
      <c r="L294" s="17"/>
      <c r="M294" s="17"/>
      <c r="N294" s="40"/>
      <c r="O294" s="41"/>
      <c r="P294" s="43" t="str">
        <f aca="false">IF(OR(B294="",N294=""),"",ROUND(((N294+N(O294))-(B294+N(C294)))*24,1))</f>
        <v/>
      </c>
      <c r="Q294" s="17"/>
      <c r="R294" s="17"/>
      <c r="S294" s="17"/>
      <c r="T294" s="17"/>
      <c r="U294" s="17"/>
      <c r="V294" s="17"/>
      <c r="W294" s="44" t="str">
        <f aca="false">IF(OR(E294="",COUNTA(Q294:V294)=0),"",SUMIFS(Settings!$AA$2:$AA$21,Settings!$Y$2:$Y$21,"Budget AED 5k+/mo?",Settings!$Z$2:$Z$21,Q294)+SUMIFS(Settings!$AA$2:$AA$21,Settings!$Y$2:$Y$21,"Decision-maker?",Settings!$Z$2:$Z$21,R294)+SUMIFS(Settings!$AA$2:$AA$21,Settings!$Y$2:$Y$21,"Someone on camera?",Settings!$Z$2:$Z$21,S294)+SUMIFS(Settings!$AA$2:$AA$21,Settings!$Y$2:$Y$21,"OK with 3-month term?",Settings!$Z$2:$Z$21,T294)+SUMIFS(Settings!$AA$2:$AA$21,Settings!$Y$2:$Y$21,"Start timeline",Settings!$Z$2:$Z$21,U294)+SUMIFS(Settings!$AA$2:$AA$21,Settings!$Y$2:$Y$21,"Social media gap",Settings!$Z$2:$Z$21,V294)+IF(F294="",0,IF(COUNTIF(Settings!$AC$2:$AC$6,F294)&gt;0,Settings!$AA$20,Settings!$AA$21)))</f>
        <v/>
      </c>
      <c r="X294" s="44" t="str">
        <f aca="false">IF(E294="","",IF(COUNTA(Q294:V294)=0,"Not scored",IF(COUNTA(Q294:V294)&lt;6,"Partly scored ("&amp;COUNTA(Q294:V294)&amp;"/6)",IF(W294&gt;=Settings!$S$8,"Hot",IF(W294&gt;=Settings!$S$9,"Warm","Cold")))))</f>
        <v/>
      </c>
      <c r="Y294" s="44" t="str">
        <f aca="false">IF(E294="","",IF(AND(Q294="No",S294="No"),"🚩 Budget  ·  🚩 No one on camera",IF(Q294="No","🚩 Budget under AED 5k",IF(S294="No","🚩 No one on camera",""))))</f>
        <v/>
      </c>
      <c r="Z294" s="17"/>
      <c r="AA294" s="17"/>
      <c r="AB294" s="40"/>
      <c r="AC294" s="17"/>
      <c r="AD294" s="45" t="str">
        <f aca="false">IF(OR(E294="",AB294="",OR(AA294="Contract signed + paid",AA294="Closed – No response",AA294="Lost"),N(AC294)&gt;=Settings!$S$3),"",AB294+Settings!$S$2)</f>
        <v/>
      </c>
      <c r="AE294" s="40"/>
      <c r="AF294" s="41"/>
      <c r="AG294" s="17"/>
      <c r="AH294" s="17"/>
      <c r="AI294" s="17"/>
      <c r="AJ294" s="46" t="str">
        <f aca="true">IF(OR(E294="",B294=""),"",INT(TODAY()-B294))</f>
        <v/>
      </c>
      <c r="AK294" s="44" t="str">
        <f aca="true">IF(E294="","",IF(OR(COUNTIFS(Clients!$C$2:$C$501,E294,Clients!$S$2:$S$501,"Paid")&gt;0,AND(I294&lt;&gt;"",COUNTIFS(Clients!$E$2:$E$501,I294,Clients!$S$2:$S$501,"Paid")&gt;0)),"⚠ Refunded before – no free video",IF(OR(AA294="Contract signed + paid",AA294="Closed – No response",AA294="Lost"),"",IF(AA294="","Set a stage",IF(AND(AA294="Proposal sent",COUNTA(Q294:V294)&lt;6),"Score this lead – proposal sent unscored",IF(N(AC294)&gt;=Settings!$S$3,"Close – 4 follow-ups sent",IF(AD294="",IF(AB294="","Make first contact",""),IF(TODAY()&gt;AD294,"OVERDUE follow-up",IF(TODAY()=AD294,"Follow up today","")))))))))</f>
        <v/>
      </c>
    </row>
    <row r="295" customFormat="false" ht="15" hidden="false" customHeight="false" outlineLevel="0" collapsed="false">
      <c r="A295" s="17"/>
      <c r="B295" s="40"/>
      <c r="C295" s="41"/>
      <c r="D295" s="17"/>
      <c r="E295" s="17"/>
      <c r="F295" s="17"/>
      <c r="G295" s="17"/>
      <c r="H295" s="17"/>
      <c r="I295" s="42"/>
      <c r="J295" s="17"/>
      <c r="K295" s="17"/>
      <c r="L295" s="17"/>
      <c r="M295" s="17"/>
      <c r="N295" s="40"/>
      <c r="O295" s="41"/>
      <c r="P295" s="43" t="str">
        <f aca="false">IF(OR(B295="",N295=""),"",ROUND(((N295+N(O295))-(B295+N(C295)))*24,1))</f>
        <v/>
      </c>
      <c r="Q295" s="17"/>
      <c r="R295" s="17"/>
      <c r="S295" s="17"/>
      <c r="T295" s="17"/>
      <c r="U295" s="17"/>
      <c r="V295" s="17"/>
      <c r="W295" s="44" t="str">
        <f aca="false">IF(OR(E295="",COUNTA(Q295:V295)=0),"",SUMIFS(Settings!$AA$2:$AA$21,Settings!$Y$2:$Y$21,"Budget AED 5k+/mo?",Settings!$Z$2:$Z$21,Q295)+SUMIFS(Settings!$AA$2:$AA$21,Settings!$Y$2:$Y$21,"Decision-maker?",Settings!$Z$2:$Z$21,R295)+SUMIFS(Settings!$AA$2:$AA$21,Settings!$Y$2:$Y$21,"Someone on camera?",Settings!$Z$2:$Z$21,S295)+SUMIFS(Settings!$AA$2:$AA$21,Settings!$Y$2:$Y$21,"OK with 3-month term?",Settings!$Z$2:$Z$21,T295)+SUMIFS(Settings!$AA$2:$AA$21,Settings!$Y$2:$Y$21,"Start timeline",Settings!$Z$2:$Z$21,U295)+SUMIFS(Settings!$AA$2:$AA$21,Settings!$Y$2:$Y$21,"Social media gap",Settings!$Z$2:$Z$21,V295)+IF(F295="",0,IF(COUNTIF(Settings!$AC$2:$AC$6,F295)&gt;0,Settings!$AA$20,Settings!$AA$21)))</f>
        <v/>
      </c>
      <c r="X295" s="44" t="str">
        <f aca="false">IF(E295="","",IF(COUNTA(Q295:V295)=0,"Not scored",IF(COUNTA(Q295:V295)&lt;6,"Partly scored ("&amp;COUNTA(Q295:V295)&amp;"/6)",IF(W295&gt;=Settings!$S$8,"Hot",IF(W295&gt;=Settings!$S$9,"Warm","Cold")))))</f>
        <v/>
      </c>
      <c r="Y295" s="44" t="str">
        <f aca="false">IF(E295="","",IF(AND(Q295="No",S295="No"),"🚩 Budget  ·  🚩 No one on camera",IF(Q295="No","🚩 Budget under AED 5k",IF(S295="No","🚩 No one on camera",""))))</f>
        <v/>
      </c>
      <c r="Z295" s="17"/>
      <c r="AA295" s="17"/>
      <c r="AB295" s="40"/>
      <c r="AC295" s="17"/>
      <c r="AD295" s="45" t="str">
        <f aca="false">IF(OR(E295="",AB295="",OR(AA295="Contract signed + paid",AA295="Closed – No response",AA295="Lost"),N(AC295)&gt;=Settings!$S$3),"",AB295+Settings!$S$2)</f>
        <v/>
      </c>
      <c r="AE295" s="40"/>
      <c r="AF295" s="41"/>
      <c r="AG295" s="17"/>
      <c r="AH295" s="17"/>
      <c r="AI295" s="17"/>
      <c r="AJ295" s="46" t="str">
        <f aca="true">IF(OR(E295="",B295=""),"",INT(TODAY()-B295))</f>
        <v/>
      </c>
      <c r="AK295" s="44" t="str">
        <f aca="true">IF(E295="","",IF(OR(COUNTIFS(Clients!$C$2:$C$501,E295,Clients!$S$2:$S$501,"Paid")&gt;0,AND(I295&lt;&gt;"",COUNTIFS(Clients!$E$2:$E$501,I295,Clients!$S$2:$S$501,"Paid")&gt;0)),"⚠ Refunded before – no free video",IF(OR(AA295="Contract signed + paid",AA295="Closed – No response",AA295="Lost"),"",IF(AA295="","Set a stage",IF(AND(AA295="Proposal sent",COUNTA(Q295:V295)&lt;6),"Score this lead – proposal sent unscored",IF(N(AC295)&gt;=Settings!$S$3,"Close – 4 follow-ups sent",IF(AD295="",IF(AB295="","Make first contact",""),IF(TODAY()&gt;AD295,"OVERDUE follow-up",IF(TODAY()=AD295,"Follow up today","")))))))))</f>
        <v/>
      </c>
    </row>
    <row r="296" customFormat="false" ht="15" hidden="false" customHeight="false" outlineLevel="0" collapsed="false">
      <c r="A296" s="17"/>
      <c r="B296" s="40"/>
      <c r="C296" s="41"/>
      <c r="D296" s="17"/>
      <c r="E296" s="17"/>
      <c r="F296" s="17"/>
      <c r="G296" s="17"/>
      <c r="H296" s="17"/>
      <c r="I296" s="42"/>
      <c r="J296" s="17"/>
      <c r="K296" s="17"/>
      <c r="L296" s="17"/>
      <c r="M296" s="17"/>
      <c r="N296" s="40"/>
      <c r="O296" s="41"/>
      <c r="P296" s="43" t="str">
        <f aca="false">IF(OR(B296="",N296=""),"",ROUND(((N296+N(O296))-(B296+N(C296)))*24,1))</f>
        <v/>
      </c>
      <c r="Q296" s="17"/>
      <c r="R296" s="17"/>
      <c r="S296" s="17"/>
      <c r="T296" s="17"/>
      <c r="U296" s="17"/>
      <c r="V296" s="17"/>
      <c r="W296" s="44" t="str">
        <f aca="false">IF(OR(E296="",COUNTA(Q296:V296)=0),"",SUMIFS(Settings!$AA$2:$AA$21,Settings!$Y$2:$Y$21,"Budget AED 5k+/mo?",Settings!$Z$2:$Z$21,Q296)+SUMIFS(Settings!$AA$2:$AA$21,Settings!$Y$2:$Y$21,"Decision-maker?",Settings!$Z$2:$Z$21,R296)+SUMIFS(Settings!$AA$2:$AA$21,Settings!$Y$2:$Y$21,"Someone on camera?",Settings!$Z$2:$Z$21,S296)+SUMIFS(Settings!$AA$2:$AA$21,Settings!$Y$2:$Y$21,"OK with 3-month term?",Settings!$Z$2:$Z$21,T296)+SUMIFS(Settings!$AA$2:$AA$21,Settings!$Y$2:$Y$21,"Start timeline",Settings!$Z$2:$Z$21,U296)+SUMIFS(Settings!$AA$2:$AA$21,Settings!$Y$2:$Y$21,"Social media gap",Settings!$Z$2:$Z$21,V296)+IF(F296="",0,IF(COUNTIF(Settings!$AC$2:$AC$6,F296)&gt;0,Settings!$AA$20,Settings!$AA$21)))</f>
        <v/>
      </c>
      <c r="X296" s="44" t="str">
        <f aca="false">IF(E296="","",IF(COUNTA(Q296:V296)=0,"Not scored",IF(COUNTA(Q296:V296)&lt;6,"Partly scored ("&amp;COUNTA(Q296:V296)&amp;"/6)",IF(W296&gt;=Settings!$S$8,"Hot",IF(W296&gt;=Settings!$S$9,"Warm","Cold")))))</f>
        <v/>
      </c>
      <c r="Y296" s="44" t="str">
        <f aca="false">IF(E296="","",IF(AND(Q296="No",S296="No"),"🚩 Budget  ·  🚩 No one on camera",IF(Q296="No","🚩 Budget under AED 5k",IF(S296="No","🚩 No one on camera",""))))</f>
        <v/>
      </c>
      <c r="Z296" s="17"/>
      <c r="AA296" s="17"/>
      <c r="AB296" s="40"/>
      <c r="AC296" s="17"/>
      <c r="AD296" s="45" t="str">
        <f aca="false">IF(OR(E296="",AB296="",OR(AA296="Contract signed + paid",AA296="Closed – No response",AA296="Lost"),N(AC296)&gt;=Settings!$S$3),"",AB296+Settings!$S$2)</f>
        <v/>
      </c>
      <c r="AE296" s="40"/>
      <c r="AF296" s="41"/>
      <c r="AG296" s="17"/>
      <c r="AH296" s="17"/>
      <c r="AI296" s="17"/>
      <c r="AJ296" s="46" t="str">
        <f aca="true">IF(OR(E296="",B296=""),"",INT(TODAY()-B296))</f>
        <v/>
      </c>
      <c r="AK296" s="44" t="str">
        <f aca="true">IF(E296="","",IF(OR(COUNTIFS(Clients!$C$2:$C$501,E296,Clients!$S$2:$S$501,"Paid")&gt;0,AND(I296&lt;&gt;"",COUNTIFS(Clients!$E$2:$E$501,I296,Clients!$S$2:$S$501,"Paid")&gt;0)),"⚠ Refunded before – no free video",IF(OR(AA296="Contract signed + paid",AA296="Closed – No response",AA296="Lost"),"",IF(AA296="","Set a stage",IF(AND(AA296="Proposal sent",COUNTA(Q296:V296)&lt;6),"Score this lead – proposal sent unscored",IF(N(AC296)&gt;=Settings!$S$3,"Close – 4 follow-ups sent",IF(AD296="",IF(AB296="","Make first contact",""),IF(TODAY()&gt;AD296,"OVERDUE follow-up",IF(TODAY()=AD296,"Follow up today","")))))))))</f>
        <v/>
      </c>
    </row>
    <row r="297" customFormat="false" ht="15" hidden="false" customHeight="false" outlineLevel="0" collapsed="false">
      <c r="A297" s="17"/>
      <c r="B297" s="40"/>
      <c r="C297" s="41"/>
      <c r="D297" s="17"/>
      <c r="E297" s="17"/>
      <c r="F297" s="17"/>
      <c r="G297" s="17"/>
      <c r="H297" s="17"/>
      <c r="I297" s="42"/>
      <c r="J297" s="17"/>
      <c r="K297" s="17"/>
      <c r="L297" s="17"/>
      <c r="M297" s="17"/>
      <c r="N297" s="40"/>
      <c r="O297" s="41"/>
      <c r="P297" s="43" t="str">
        <f aca="false">IF(OR(B297="",N297=""),"",ROUND(((N297+N(O297))-(B297+N(C297)))*24,1))</f>
        <v/>
      </c>
      <c r="Q297" s="17"/>
      <c r="R297" s="17"/>
      <c r="S297" s="17"/>
      <c r="T297" s="17"/>
      <c r="U297" s="17"/>
      <c r="V297" s="17"/>
      <c r="W297" s="44" t="str">
        <f aca="false">IF(OR(E297="",COUNTA(Q297:V297)=0),"",SUMIFS(Settings!$AA$2:$AA$21,Settings!$Y$2:$Y$21,"Budget AED 5k+/mo?",Settings!$Z$2:$Z$21,Q297)+SUMIFS(Settings!$AA$2:$AA$21,Settings!$Y$2:$Y$21,"Decision-maker?",Settings!$Z$2:$Z$21,R297)+SUMIFS(Settings!$AA$2:$AA$21,Settings!$Y$2:$Y$21,"Someone on camera?",Settings!$Z$2:$Z$21,S297)+SUMIFS(Settings!$AA$2:$AA$21,Settings!$Y$2:$Y$21,"OK with 3-month term?",Settings!$Z$2:$Z$21,T297)+SUMIFS(Settings!$AA$2:$AA$21,Settings!$Y$2:$Y$21,"Start timeline",Settings!$Z$2:$Z$21,U297)+SUMIFS(Settings!$AA$2:$AA$21,Settings!$Y$2:$Y$21,"Social media gap",Settings!$Z$2:$Z$21,V297)+IF(F297="",0,IF(COUNTIF(Settings!$AC$2:$AC$6,F297)&gt;0,Settings!$AA$20,Settings!$AA$21)))</f>
        <v/>
      </c>
      <c r="X297" s="44" t="str">
        <f aca="false">IF(E297="","",IF(COUNTA(Q297:V297)=0,"Not scored",IF(COUNTA(Q297:V297)&lt;6,"Partly scored ("&amp;COUNTA(Q297:V297)&amp;"/6)",IF(W297&gt;=Settings!$S$8,"Hot",IF(W297&gt;=Settings!$S$9,"Warm","Cold")))))</f>
        <v/>
      </c>
      <c r="Y297" s="44" t="str">
        <f aca="false">IF(E297="","",IF(AND(Q297="No",S297="No"),"🚩 Budget  ·  🚩 No one on camera",IF(Q297="No","🚩 Budget under AED 5k",IF(S297="No","🚩 No one on camera",""))))</f>
        <v/>
      </c>
      <c r="Z297" s="17"/>
      <c r="AA297" s="17"/>
      <c r="AB297" s="40"/>
      <c r="AC297" s="17"/>
      <c r="AD297" s="45" t="str">
        <f aca="false">IF(OR(E297="",AB297="",OR(AA297="Contract signed + paid",AA297="Closed – No response",AA297="Lost"),N(AC297)&gt;=Settings!$S$3),"",AB297+Settings!$S$2)</f>
        <v/>
      </c>
      <c r="AE297" s="40"/>
      <c r="AF297" s="41"/>
      <c r="AG297" s="17"/>
      <c r="AH297" s="17"/>
      <c r="AI297" s="17"/>
      <c r="AJ297" s="46" t="str">
        <f aca="true">IF(OR(E297="",B297=""),"",INT(TODAY()-B297))</f>
        <v/>
      </c>
      <c r="AK297" s="44" t="str">
        <f aca="true">IF(E297="","",IF(OR(COUNTIFS(Clients!$C$2:$C$501,E297,Clients!$S$2:$S$501,"Paid")&gt;0,AND(I297&lt;&gt;"",COUNTIFS(Clients!$E$2:$E$501,I297,Clients!$S$2:$S$501,"Paid")&gt;0)),"⚠ Refunded before – no free video",IF(OR(AA297="Contract signed + paid",AA297="Closed – No response",AA297="Lost"),"",IF(AA297="","Set a stage",IF(AND(AA297="Proposal sent",COUNTA(Q297:V297)&lt;6),"Score this lead – proposal sent unscored",IF(N(AC297)&gt;=Settings!$S$3,"Close – 4 follow-ups sent",IF(AD297="",IF(AB297="","Make first contact",""),IF(TODAY()&gt;AD297,"OVERDUE follow-up",IF(TODAY()=AD297,"Follow up today","")))))))))</f>
        <v/>
      </c>
    </row>
    <row r="298" customFormat="false" ht="15" hidden="false" customHeight="false" outlineLevel="0" collapsed="false">
      <c r="A298" s="17"/>
      <c r="B298" s="40"/>
      <c r="C298" s="41"/>
      <c r="D298" s="17"/>
      <c r="E298" s="17"/>
      <c r="F298" s="17"/>
      <c r="G298" s="17"/>
      <c r="H298" s="17"/>
      <c r="I298" s="42"/>
      <c r="J298" s="17"/>
      <c r="K298" s="17"/>
      <c r="L298" s="17"/>
      <c r="M298" s="17"/>
      <c r="N298" s="40"/>
      <c r="O298" s="41"/>
      <c r="P298" s="43" t="str">
        <f aca="false">IF(OR(B298="",N298=""),"",ROUND(((N298+N(O298))-(B298+N(C298)))*24,1))</f>
        <v/>
      </c>
      <c r="Q298" s="17"/>
      <c r="R298" s="17"/>
      <c r="S298" s="17"/>
      <c r="T298" s="17"/>
      <c r="U298" s="17"/>
      <c r="V298" s="17"/>
      <c r="W298" s="44" t="str">
        <f aca="false">IF(OR(E298="",COUNTA(Q298:V298)=0),"",SUMIFS(Settings!$AA$2:$AA$21,Settings!$Y$2:$Y$21,"Budget AED 5k+/mo?",Settings!$Z$2:$Z$21,Q298)+SUMIFS(Settings!$AA$2:$AA$21,Settings!$Y$2:$Y$21,"Decision-maker?",Settings!$Z$2:$Z$21,R298)+SUMIFS(Settings!$AA$2:$AA$21,Settings!$Y$2:$Y$21,"Someone on camera?",Settings!$Z$2:$Z$21,S298)+SUMIFS(Settings!$AA$2:$AA$21,Settings!$Y$2:$Y$21,"OK with 3-month term?",Settings!$Z$2:$Z$21,T298)+SUMIFS(Settings!$AA$2:$AA$21,Settings!$Y$2:$Y$21,"Start timeline",Settings!$Z$2:$Z$21,U298)+SUMIFS(Settings!$AA$2:$AA$21,Settings!$Y$2:$Y$21,"Social media gap",Settings!$Z$2:$Z$21,V298)+IF(F298="",0,IF(COUNTIF(Settings!$AC$2:$AC$6,F298)&gt;0,Settings!$AA$20,Settings!$AA$21)))</f>
        <v/>
      </c>
      <c r="X298" s="44" t="str">
        <f aca="false">IF(E298="","",IF(COUNTA(Q298:V298)=0,"Not scored",IF(COUNTA(Q298:V298)&lt;6,"Partly scored ("&amp;COUNTA(Q298:V298)&amp;"/6)",IF(W298&gt;=Settings!$S$8,"Hot",IF(W298&gt;=Settings!$S$9,"Warm","Cold")))))</f>
        <v/>
      </c>
      <c r="Y298" s="44" t="str">
        <f aca="false">IF(E298="","",IF(AND(Q298="No",S298="No"),"🚩 Budget  ·  🚩 No one on camera",IF(Q298="No","🚩 Budget under AED 5k",IF(S298="No","🚩 No one on camera",""))))</f>
        <v/>
      </c>
      <c r="Z298" s="17"/>
      <c r="AA298" s="17"/>
      <c r="AB298" s="40"/>
      <c r="AC298" s="17"/>
      <c r="AD298" s="45" t="str">
        <f aca="false">IF(OR(E298="",AB298="",OR(AA298="Contract signed + paid",AA298="Closed – No response",AA298="Lost"),N(AC298)&gt;=Settings!$S$3),"",AB298+Settings!$S$2)</f>
        <v/>
      </c>
      <c r="AE298" s="40"/>
      <c r="AF298" s="41"/>
      <c r="AG298" s="17"/>
      <c r="AH298" s="17"/>
      <c r="AI298" s="17"/>
      <c r="AJ298" s="46" t="str">
        <f aca="true">IF(OR(E298="",B298=""),"",INT(TODAY()-B298))</f>
        <v/>
      </c>
      <c r="AK298" s="44" t="str">
        <f aca="true">IF(E298="","",IF(OR(COUNTIFS(Clients!$C$2:$C$501,E298,Clients!$S$2:$S$501,"Paid")&gt;0,AND(I298&lt;&gt;"",COUNTIFS(Clients!$E$2:$E$501,I298,Clients!$S$2:$S$501,"Paid")&gt;0)),"⚠ Refunded before – no free video",IF(OR(AA298="Contract signed + paid",AA298="Closed – No response",AA298="Lost"),"",IF(AA298="","Set a stage",IF(AND(AA298="Proposal sent",COUNTA(Q298:V298)&lt;6),"Score this lead – proposal sent unscored",IF(N(AC298)&gt;=Settings!$S$3,"Close – 4 follow-ups sent",IF(AD298="",IF(AB298="","Make first contact",""),IF(TODAY()&gt;AD298,"OVERDUE follow-up",IF(TODAY()=AD298,"Follow up today","")))))))))</f>
        <v/>
      </c>
    </row>
    <row r="299" customFormat="false" ht="15" hidden="false" customHeight="false" outlineLevel="0" collapsed="false">
      <c r="A299" s="17"/>
      <c r="B299" s="40"/>
      <c r="C299" s="41"/>
      <c r="D299" s="17"/>
      <c r="E299" s="17"/>
      <c r="F299" s="17"/>
      <c r="G299" s="17"/>
      <c r="H299" s="17"/>
      <c r="I299" s="42"/>
      <c r="J299" s="17"/>
      <c r="K299" s="17"/>
      <c r="L299" s="17"/>
      <c r="M299" s="17"/>
      <c r="N299" s="40"/>
      <c r="O299" s="41"/>
      <c r="P299" s="43" t="str">
        <f aca="false">IF(OR(B299="",N299=""),"",ROUND(((N299+N(O299))-(B299+N(C299)))*24,1))</f>
        <v/>
      </c>
      <c r="Q299" s="17"/>
      <c r="R299" s="17"/>
      <c r="S299" s="17"/>
      <c r="T299" s="17"/>
      <c r="U299" s="17"/>
      <c r="V299" s="17"/>
      <c r="W299" s="44" t="str">
        <f aca="false">IF(OR(E299="",COUNTA(Q299:V299)=0),"",SUMIFS(Settings!$AA$2:$AA$21,Settings!$Y$2:$Y$21,"Budget AED 5k+/mo?",Settings!$Z$2:$Z$21,Q299)+SUMIFS(Settings!$AA$2:$AA$21,Settings!$Y$2:$Y$21,"Decision-maker?",Settings!$Z$2:$Z$21,R299)+SUMIFS(Settings!$AA$2:$AA$21,Settings!$Y$2:$Y$21,"Someone on camera?",Settings!$Z$2:$Z$21,S299)+SUMIFS(Settings!$AA$2:$AA$21,Settings!$Y$2:$Y$21,"OK with 3-month term?",Settings!$Z$2:$Z$21,T299)+SUMIFS(Settings!$AA$2:$AA$21,Settings!$Y$2:$Y$21,"Start timeline",Settings!$Z$2:$Z$21,U299)+SUMIFS(Settings!$AA$2:$AA$21,Settings!$Y$2:$Y$21,"Social media gap",Settings!$Z$2:$Z$21,V299)+IF(F299="",0,IF(COUNTIF(Settings!$AC$2:$AC$6,F299)&gt;0,Settings!$AA$20,Settings!$AA$21)))</f>
        <v/>
      </c>
      <c r="X299" s="44" t="str">
        <f aca="false">IF(E299="","",IF(COUNTA(Q299:V299)=0,"Not scored",IF(COUNTA(Q299:V299)&lt;6,"Partly scored ("&amp;COUNTA(Q299:V299)&amp;"/6)",IF(W299&gt;=Settings!$S$8,"Hot",IF(W299&gt;=Settings!$S$9,"Warm","Cold")))))</f>
        <v/>
      </c>
      <c r="Y299" s="44" t="str">
        <f aca="false">IF(E299="","",IF(AND(Q299="No",S299="No"),"🚩 Budget  ·  🚩 No one on camera",IF(Q299="No","🚩 Budget under AED 5k",IF(S299="No","🚩 No one on camera",""))))</f>
        <v/>
      </c>
      <c r="Z299" s="17"/>
      <c r="AA299" s="17"/>
      <c r="AB299" s="40"/>
      <c r="AC299" s="17"/>
      <c r="AD299" s="45" t="str">
        <f aca="false">IF(OR(E299="",AB299="",OR(AA299="Contract signed + paid",AA299="Closed – No response",AA299="Lost"),N(AC299)&gt;=Settings!$S$3),"",AB299+Settings!$S$2)</f>
        <v/>
      </c>
      <c r="AE299" s="40"/>
      <c r="AF299" s="41"/>
      <c r="AG299" s="17"/>
      <c r="AH299" s="17"/>
      <c r="AI299" s="17"/>
      <c r="AJ299" s="46" t="str">
        <f aca="true">IF(OR(E299="",B299=""),"",INT(TODAY()-B299))</f>
        <v/>
      </c>
      <c r="AK299" s="44" t="str">
        <f aca="true">IF(E299="","",IF(OR(COUNTIFS(Clients!$C$2:$C$501,E299,Clients!$S$2:$S$501,"Paid")&gt;0,AND(I299&lt;&gt;"",COUNTIFS(Clients!$E$2:$E$501,I299,Clients!$S$2:$S$501,"Paid")&gt;0)),"⚠ Refunded before – no free video",IF(OR(AA299="Contract signed + paid",AA299="Closed – No response",AA299="Lost"),"",IF(AA299="","Set a stage",IF(AND(AA299="Proposal sent",COUNTA(Q299:V299)&lt;6),"Score this lead – proposal sent unscored",IF(N(AC299)&gt;=Settings!$S$3,"Close – 4 follow-ups sent",IF(AD299="",IF(AB299="","Make first contact",""),IF(TODAY()&gt;AD299,"OVERDUE follow-up",IF(TODAY()=AD299,"Follow up today","")))))))))</f>
        <v/>
      </c>
    </row>
    <row r="300" customFormat="false" ht="15" hidden="false" customHeight="false" outlineLevel="0" collapsed="false">
      <c r="A300" s="17"/>
      <c r="B300" s="40"/>
      <c r="C300" s="41"/>
      <c r="D300" s="17"/>
      <c r="E300" s="17"/>
      <c r="F300" s="17"/>
      <c r="G300" s="17"/>
      <c r="H300" s="17"/>
      <c r="I300" s="42"/>
      <c r="J300" s="17"/>
      <c r="K300" s="17"/>
      <c r="L300" s="17"/>
      <c r="M300" s="17"/>
      <c r="N300" s="40"/>
      <c r="O300" s="41"/>
      <c r="P300" s="43" t="str">
        <f aca="false">IF(OR(B300="",N300=""),"",ROUND(((N300+N(O300))-(B300+N(C300)))*24,1))</f>
        <v/>
      </c>
      <c r="Q300" s="17"/>
      <c r="R300" s="17"/>
      <c r="S300" s="17"/>
      <c r="T300" s="17"/>
      <c r="U300" s="17"/>
      <c r="V300" s="17"/>
      <c r="W300" s="44" t="str">
        <f aca="false">IF(OR(E300="",COUNTA(Q300:V300)=0),"",SUMIFS(Settings!$AA$2:$AA$21,Settings!$Y$2:$Y$21,"Budget AED 5k+/mo?",Settings!$Z$2:$Z$21,Q300)+SUMIFS(Settings!$AA$2:$AA$21,Settings!$Y$2:$Y$21,"Decision-maker?",Settings!$Z$2:$Z$21,R300)+SUMIFS(Settings!$AA$2:$AA$21,Settings!$Y$2:$Y$21,"Someone on camera?",Settings!$Z$2:$Z$21,S300)+SUMIFS(Settings!$AA$2:$AA$21,Settings!$Y$2:$Y$21,"OK with 3-month term?",Settings!$Z$2:$Z$21,T300)+SUMIFS(Settings!$AA$2:$AA$21,Settings!$Y$2:$Y$21,"Start timeline",Settings!$Z$2:$Z$21,U300)+SUMIFS(Settings!$AA$2:$AA$21,Settings!$Y$2:$Y$21,"Social media gap",Settings!$Z$2:$Z$21,V300)+IF(F300="",0,IF(COUNTIF(Settings!$AC$2:$AC$6,F300)&gt;0,Settings!$AA$20,Settings!$AA$21)))</f>
        <v/>
      </c>
      <c r="X300" s="44" t="str">
        <f aca="false">IF(E300="","",IF(COUNTA(Q300:V300)=0,"Not scored",IF(COUNTA(Q300:V300)&lt;6,"Partly scored ("&amp;COUNTA(Q300:V300)&amp;"/6)",IF(W300&gt;=Settings!$S$8,"Hot",IF(W300&gt;=Settings!$S$9,"Warm","Cold")))))</f>
        <v/>
      </c>
      <c r="Y300" s="44" t="str">
        <f aca="false">IF(E300="","",IF(AND(Q300="No",S300="No"),"🚩 Budget  ·  🚩 No one on camera",IF(Q300="No","🚩 Budget under AED 5k",IF(S300="No","🚩 No one on camera",""))))</f>
        <v/>
      </c>
      <c r="Z300" s="17"/>
      <c r="AA300" s="17"/>
      <c r="AB300" s="40"/>
      <c r="AC300" s="17"/>
      <c r="AD300" s="45" t="str">
        <f aca="false">IF(OR(E300="",AB300="",OR(AA300="Contract signed + paid",AA300="Closed – No response",AA300="Lost"),N(AC300)&gt;=Settings!$S$3),"",AB300+Settings!$S$2)</f>
        <v/>
      </c>
      <c r="AE300" s="40"/>
      <c r="AF300" s="41"/>
      <c r="AG300" s="17"/>
      <c r="AH300" s="17"/>
      <c r="AI300" s="17"/>
      <c r="AJ300" s="46" t="str">
        <f aca="true">IF(OR(E300="",B300=""),"",INT(TODAY()-B300))</f>
        <v/>
      </c>
      <c r="AK300" s="44" t="str">
        <f aca="true">IF(E300="","",IF(OR(COUNTIFS(Clients!$C$2:$C$501,E300,Clients!$S$2:$S$501,"Paid")&gt;0,AND(I300&lt;&gt;"",COUNTIFS(Clients!$E$2:$E$501,I300,Clients!$S$2:$S$501,"Paid")&gt;0)),"⚠ Refunded before – no free video",IF(OR(AA300="Contract signed + paid",AA300="Closed – No response",AA300="Lost"),"",IF(AA300="","Set a stage",IF(AND(AA300="Proposal sent",COUNTA(Q300:V300)&lt;6),"Score this lead – proposal sent unscored",IF(N(AC300)&gt;=Settings!$S$3,"Close – 4 follow-ups sent",IF(AD300="",IF(AB300="","Make first contact",""),IF(TODAY()&gt;AD300,"OVERDUE follow-up",IF(TODAY()=AD300,"Follow up today","")))))))))</f>
        <v/>
      </c>
    </row>
    <row r="301" customFormat="false" ht="15" hidden="false" customHeight="false" outlineLevel="0" collapsed="false">
      <c r="A301" s="17"/>
      <c r="B301" s="40"/>
      <c r="C301" s="41"/>
      <c r="D301" s="17"/>
      <c r="E301" s="17"/>
      <c r="F301" s="17"/>
      <c r="G301" s="17"/>
      <c r="H301" s="17"/>
      <c r="I301" s="42"/>
      <c r="J301" s="17"/>
      <c r="K301" s="17"/>
      <c r="L301" s="17"/>
      <c r="M301" s="17"/>
      <c r="N301" s="40"/>
      <c r="O301" s="41"/>
      <c r="P301" s="43" t="str">
        <f aca="false">IF(OR(B301="",N301=""),"",ROUND(((N301+N(O301))-(B301+N(C301)))*24,1))</f>
        <v/>
      </c>
      <c r="Q301" s="17"/>
      <c r="R301" s="17"/>
      <c r="S301" s="17"/>
      <c r="T301" s="17"/>
      <c r="U301" s="17"/>
      <c r="V301" s="17"/>
      <c r="W301" s="44" t="str">
        <f aca="false">IF(OR(E301="",COUNTA(Q301:V301)=0),"",SUMIFS(Settings!$AA$2:$AA$21,Settings!$Y$2:$Y$21,"Budget AED 5k+/mo?",Settings!$Z$2:$Z$21,Q301)+SUMIFS(Settings!$AA$2:$AA$21,Settings!$Y$2:$Y$21,"Decision-maker?",Settings!$Z$2:$Z$21,R301)+SUMIFS(Settings!$AA$2:$AA$21,Settings!$Y$2:$Y$21,"Someone on camera?",Settings!$Z$2:$Z$21,S301)+SUMIFS(Settings!$AA$2:$AA$21,Settings!$Y$2:$Y$21,"OK with 3-month term?",Settings!$Z$2:$Z$21,T301)+SUMIFS(Settings!$AA$2:$AA$21,Settings!$Y$2:$Y$21,"Start timeline",Settings!$Z$2:$Z$21,U301)+SUMIFS(Settings!$AA$2:$AA$21,Settings!$Y$2:$Y$21,"Social media gap",Settings!$Z$2:$Z$21,V301)+IF(F301="",0,IF(COUNTIF(Settings!$AC$2:$AC$6,F301)&gt;0,Settings!$AA$20,Settings!$AA$21)))</f>
        <v/>
      </c>
      <c r="X301" s="44" t="str">
        <f aca="false">IF(E301="","",IF(COUNTA(Q301:V301)=0,"Not scored",IF(COUNTA(Q301:V301)&lt;6,"Partly scored ("&amp;COUNTA(Q301:V301)&amp;"/6)",IF(W301&gt;=Settings!$S$8,"Hot",IF(W301&gt;=Settings!$S$9,"Warm","Cold")))))</f>
        <v/>
      </c>
      <c r="Y301" s="44" t="str">
        <f aca="false">IF(E301="","",IF(AND(Q301="No",S301="No"),"🚩 Budget  ·  🚩 No one on camera",IF(Q301="No","🚩 Budget under AED 5k",IF(S301="No","🚩 No one on camera",""))))</f>
        <v/>
      </c>
      <c r="Z301" s="17"/>
      <c r="AA301" s="17"/>
      <c r="AB301" s="40"/>
      <c r="AC301" s="17"/>
      <c r="AD301" s="45" t="str">
        <f aca="false">IF(OR(E301="",AB301="",OR(AA301="Contract signed + paid",AA301="Closed – No response",AA301="Lost"),N(AC301)&gt;=Settings!$S$3),"",AB301+Settings!$S$2)</f>
        <v/>
      </c>
      <c r="AE301" s="40"/>
      <c r="AF301" s="41"/>
      <c r="AG301" s="17"/>
      <c r="AH301" s="17"/>
      <c r="AI301" s="17"/>
      <c r="AJ301" s="46" t="str">
        <f aca="true">IF(OR(E301="",B301=""),"",INT(TODAY()-B301))</f>
        <v/>
      </c>
      <c r="AK301" s="44" t="str">
        <f aca="true">IF(E301="","",IF(OR(COUNTIFS(Clients!$C$2:$C$501,E301,Clients!$S$2:$S$501,"Paid")&gt;0,AND(I301&lt;&gt;"",COUNTIFS(Clients!$E$2:$E$501,I301,Clients!$S$2:$S$501,"Paid")&gt;0)),"⚠ Refunded before – no free video",IF(OR(AA301="Contract signed + paid",AA301="Closed – No response",AA301="Lost"),"",IF(AA301="","Set a stage",IF(AND(AA301="Proposal sent",COUNTA(Q301:V301)&lt;6),"Score this lead – proposal sent unscored",IF(N(AC301)&gt;=Settings!$S$3,"Close – 4 follow-ups sent",IF(AD301="",IF(AB301="","Make first contact",""),IF(TODAY()&gt;AD301,"OVERDUE follow-up",IF(TODAY()=AD301,"Follow up today","")))))))))</f>
        <v/>
      </c>
    </row>
    <row r="302" customFormat="false" ht="15" hidden="false" customHeight="false" outlineLevel="0" collapsed="false">
      <c r="A302" s="17"/>
      <c r="B302" s="40"/>
      <c r="C302" s="41"/>
      <c r="D302" s="17"/>
      <c r="E302" s="17"/>
      <c r="F302" s="17"/>
      <c r="G302" s="17"/>
      <c r="H302" s="17"/>
      <c r="I302" s="42"/>
      <c r="J302" s="17"/>
      <c r="K302" s="17"/>
      <c r="L302" s="17"/>
      <c r="M302" s="17"/>
      <c r="N302" s="40"/>
      <c r="O302" s="41"/>
      <c r="P302" s="43" t="str">
        <f aca="false">IF(OR(B302="",N302=""),"",ROUND(((N302+N(O302))-(B302+N(C302)))*24,1))</f>
        <v/>
      </c>
      <c r="Q302" s="17"/>
      <c r="R302" s="17"/>
      <c r="S302" s="17"/>
      <c r="T302" s="17"/>
      <c r="U302" s="17"/>
      <c r="V302" s="17"/>
      <c r="W302" s="44" t="str">
        <f aca="false">IF(OR(E302="",COUNTA(Q302:V302)=0),"",SUMIFS(Settings!$AA$2:$AA$21,Settings!$Y$2:$Y$21,"Budget AED 5k+/mo?",Settings!$Z$2:$Z$21,Q302)+SUMIFS(Settings!$AA$2:$AA$21,Settings!$Y$2:$Y$21,"Decision-maker?",Settings!$Z$2:$Z$21,R302)+SUMIFS(Settings!$AA$2:$AA$21,Settings!$Y$2:$Y$21,"Someone on camera?",Settings!$Z$2:$Z$21,S302)+SUMIFS(Settings!$AA$2:$AA$21,Settings!$Y$2:$Y$21,"OK with 3-month term?",Settings!$Z$2:$Z$21,T302)+SUMIFS(Settings!$AA$2:$AA$21,Settings!$Y$2:$Y$21,"Start timeline",Settings!$Z$2:$Z$21,U302)+SUMIFS(Settings!$AA$2:$AA$21,Settings!$Y$2:$Y$21,"Social media gap",Settings!$Z$2:$Z$21,V302)+IF(F302="",0,IF(COUNTIF(Settings!$AC$2:$AC$6,F302)&gt;0,Settings!$AA$20,Settings!$AA$21)))</f>
        <v/>
      </c>
      <c r="X302" s="44" t="str">
        <f aca="false">IF(E302="","",IF(COUNTA(Q302:V302)=0,"Not scored",IF(COUNTA(Q302:V302)&lt;6,"Partly scored ("&amp;COUNTA(Q302:V302)&amp;"/6)",IF(W302&gt;=Settings!$S$8,"Hot",IF(W302&gt;=Settings!$S$9,"Warm","Cold")))))</f>
        <v/>
      </c>
      <c r="Y302" s="44" t="str">
        <f aca="false">IF(E302="","",IF(AND(Q302="No",S302="No"),"🚩 Budget  ·  🚩 No one on camera",IF(Q302="No","🚩 Budget under AED 5k",IF(S302="No","🚩 No one on camera",""))))</f>
        <v/>
      </c>
      <c r="Z302" s="17"/>
      <c r="AA302" s="17"/>
      <c r="AB302" s="40"/>
      <c r="AC302" s="17"/>
      <c r="AD302" s="45" t="str">
        <f aca="false">IF(OR(E302="",AB302="",OR(AA302="Contract signed + paid",AA302="Closed – No response",AA302="Lost"),N(AC302)&gt;=Settings!$S$3),"",AB302+Settings!$S$2)</f>
        <v/>
      </c>
      <c r="AE302" s="40"/>
      <c r="AF302" s="41"/>
      <c r="AG302" s="17"/>
      <c r="AH302" s="17"/>
      <c r="AI302" s="17"/>
      <c r="AJ302" s="46" t="str">
        <f aca="true">IF(OR(E302="",B302=""),"",INT(TODAY()-B302))</f>
        <v/>
      </c>
      <c r="AK302" s="44" t="str">
        <f aca="true">IF(E302="","",IF(OR(COUNTIFS(Clients!$C$2:$C$501,E302,Clients!$S$2:$S$501,"Paid")&gt;0,AND(I302&lt;&gt;"",COUNTIFS(Clients!$E$2:$E$501,I302,Clients!$S$2:$S$501,"Paid")&gt;0)),"⚠ Refunded before – no free video",IF(OR(AA302="Contract signed + paid",AA302="Closed – No response",AA302="Lost"),"",IF(AA302="","Set a stage",IF(AND(AA302="Proposal sent",COUNTA(Q302:V302)&lt;6),"Score this lead – proposal sent unscored",IF(N(AC302)&gt;=Settings!$S$3,"Close – 4 follow-ups sent",IF(AD302="",IF(AB302="","Make first contact",""),IF(TODAY()&gt;AD302,"OVERDUE follow-up",IF(TODAY()=AD302,"Follow up today","")))))))))</f>
        <v/>
      </c>
    </row>
    <row r="303" customFormat="false" ht="15" hidden="false" customHeight="false" outlineLevel="0" collapsed="false">
      <c r="A303" s="17"/>
      <c r="B303" s="40"/>
      <c r="C303" s="41"/>
      <c r="D303" s="17"/>
      <c r="E303" s="17"/>
      <c r="F303" s="17"/>
      <c r="G303" s="17"/>
      <c r="H303" s="17"/>
      <c r="I303" s="42"/>
      <c r="J303" s="17"/>
      <c r="K303" s="17"/>
      <c r="L303" s="17"/>
      <c r="M303" s="17"/>
      <c r="N303" s="40"/>
      <c r="O303" s="41"/>
      <c r="P303" s="43" t="str">
        <f aca="false">IF(OR(B303="",N303=""),"",ROUND(((N303+N(O303))-(B303+N(C303)))*24,1))</f>
        <v/>
      </c>
      <c r="Q303" s="17"/>
      <c r="R303" s="17"/>
      <c r="S303" s="17"/>
      <c r="T303" s="17"/>
      <c r="U303" s="17"/>
      <c r="V303" s="17"/>
      <c r="W303" s="44" t="str">
        <f aca="false">IF(OR(E303="",COUNTA(Q303:V303)=0),"",SUMIFS(Settings!$AA$2:$AA$21,Settings!$Y$2:$Y$21,"Budget AED 5k+/mo?",Settings!$Z$2:$Z$21,Q303)+SUMIFS(Settings!$AA$2:$AA$21,Settings!$Y$2:$Y$21,"Decision-maker?",Settings!$Z$2:$Z$21,R303)+SUMIFS(Settings!$AA$2:$AA$21,Settings!$Y$2:$Y$21,"Someone on camera?",Settings!$Z$2:$Z$21,S303)+SUMIFS(Settings!$AA$2:$AA$21,Settings!$Y$2:$Y$21,"OK with 3-month term?",Settings!$Z$2:$Z$21,T303)+SUMIFS(Settings!$AA$2:$AA$21,Settings!$Y$2:$Y$21,"Start timeline",Settings!$Z$2:$Z$21,U303)+SUMIFS(Settings!$AA$2:$AA$21,Settings!$Y$2:$Y$21,"Social media gap",Settings!$Z$2:$Z$21,V303)+IF(F303="",0,IF(COUNTIF(Settings!$AC$2:$AC$6,F303)&gt;0,Settings!$AA$20,Settings!$AA$21)))</f>
        <v/>
      </c>
      <c r="X303" s="44" t="str">
        <f aca="false">IF(E303="","",IF(COUNTA(Q303:V303)=0,"Not scored",IF(COUNTA(Q303:V303)&lt;6,"Partly scored ("&amp;COUNTA(Q303:V303)&amp;"/6)",IF(W303&gt;=Settings!$S$8,"Hot",IF(W303&gt;=Settings!$S$9,"Warm","Cold")))))</f>
        <v/>
      </c>
      <c r="Y303" s="44" t="str">
        <f aca="false">IF(E303="","",IF(AND(Q303="No",S303="No"),"🚩 Budget  ·  🚩 No one on camera",IF(Q303="No","🚩 Budget under AED 5k",IF(S303="No","🚩 No one on camera",""))))</f>
        <v/>
      </c>
      <c r="Z303" s="17"/>
      <c r="AA303" s="17"/>
      <c r="AB303" s="40"/>
      <c r="AC303" s="17"/>
      <c r="AD303" s="45" t="str">
        <f aca="false">IF(OR(E303="",AB303="",OR(AA303="Contract signed + paid",AA303="Closed – No response",AA303="Lost"),N(AC303)&gt;=Settings!$S$3),"",AB303+Settings!$S$2)</f>
        <v/>
      </c>
      <c r="AE303" s="40"/>
      <c r="AF303" s="41"/>
      <c r="AG303" s="17"/>
      <c r="AH303" s="17"/>
      <c r="AI303" s="17"/>
      <c r="AJ303" s="46" t="str">
        <f aca="true">IF(OR(E303="",B303=""),"",INT(TODAY()-B303))</f>
        <v/>
      </c>
      <c r="AK303" s="44" t="str">
        <f aca="true">IF(E303="","",IF(OR(COUNTIFS(Clients!$C$2:$C$501,E303,Clients!$S$2:$S$501,"Paid")&gt;0,AND(I303&lt;&gt;"",COUNTIFS(Clients!$E$2:$E$501,I303,Clients!$S$2:$S$501,"Paid")&gt;0)),"⚠ Refunded before – no free video",IF(OR(AA303="Contract signed + paid",AA303="Closed – No response",AA303="Lost"),"",IF(AA303="","Set a stage",IF(AND(AA303="Proposal sent",COUNTA(Q303:V303)&lt;6),"Score this lead – proposal sent unscored",IF(N(AC303)&gt;=Settings!$S$3,"Close – 4 follow-ups sent",IF(AD303="",IF(AB303="","Make first contact",""),IF(TODAY()&gt;AD303,"OVERDUE follow-up",IF(TODAY()=AD303,"Follow up today","")))))))))</f>
        <v/>
      </c>
    </row>
    <row r="304" customFormat="false" ht="15" hidden="false" customHeight="false" outlineLevel="0" collapsed="false">
      <c r="A304" s="17"/>
      <c r="B304" s="40"/>
      <c r="C304" s="41"/>
      <c r="D304" s="17"/>
      <c r="E304" s="17"/>
      <c r="F304" s="17"/>
      <c r="G304" s="17"/>
      <c r="H304" s="17"/>
      <c r="I304" s="42"/>
      <c r="J304" s="17"/>
      <c r="K304" s="17"/>
      <c r="L304" s="17"/>
      <c r="M304" s="17"/>
      <c r="N304" s="40"/>
      <c r="O304" s="41"/>
      <c r="P304" s="43" t="str">
        <f aca="false">IF(OR(B304="",N304=""),"",ROUND(((N304+N(O304))-(B304+N(C304)))*24,1))</f>
        <v/>
      </c>
      <c r="Q304" s="17"/>
      <c r="R304" s="17"/>
      <c r="S304" s="17"/>
      <c r="T304" s="17"/>
      <c r="U304" s="17"/>
      <c r="V304" s="17"/>
      <c r="W304" s="44" t="str">
        <f aca="false">IF(OR(E304="",COUNTA(Q304:V304)=0),"",SUMIFS(Settings!$AA$2:$AA$21,Settings!$Y$2:$Y$21,"Budget AED 5k+/mo?",Settings!$Z$2:$Z$21,Q304)+SUMIFS(Settings!$AA$2:$AA$21,Settings!$Y$2:$Y$21,"Decision-maker?",Settings!$Z$2:$Z$21,R304)+SUMIFS(Settings!$AA$2:$AA$21,Settings!$Y$2:$Y$21,"Someone on camera?",Settings!$Z$2:$Z$21,S304)+SUMIFS(Settings!$AA$2:$AA$21,Settings!$Y$2:$Y$21,"OK with 3-month term?",Settings!$Z$2:$Z$21,T304)+SUMIFS(Settings!$AA$2:$AA$21,Settings!$Y$2:$Y$21,"Start timeline",Settings!$Z$2:$Z$21,U304)+SUMIFS(Settings!$AA$2:$AA$21,Settings!$Y$2:$Y$21,"Social media gap",Settings!$Z$2:$Z$21,V304)+IF(F304="",0,IF(COUNTIF(Settings!$AC$2:$AC$6,F304)&gt;0,Settings!$AA$20,Settings!$AA$21)))</f>
        <v/>
      </c>
      <c r="X304" s="44" t="str">
        <f aca="false">IF(E304="","",IF(COUNTA(Q304:V304)=0,"Not scored",IF(COUNTA(Q304:V304)&lt;6,"Partly scored ("&amp;COUNTA(Q304:V304)&amp;"/6)",IF(W304&gt;=Settings!$S$8,"Hot",IF(W304&gt;=Settings!$S$9,"Warm","Cold")))))</f>
        <v/>
      </c>
      <c r="Y304" s="44" t="str">
        <f aca="false">IF(E304="","",IF(AND(Q304="No",S304="No"),"🚩 Budget  ·  🚩 No one on camera",IF(Q304="No","🚩 Budget under AED 5k",IF(S304="No","🚩 No one on camera",""))))</f>
        <v/>
      </c>
      <c r="Z304" s="17"/>
      <c r="AA304" s="17"/>
      <c r="AB304" s="40"/>
      <c r="AC304" s="17"/>
      <c r="AD304" s="45" t="str">
        <f aca="false">IF(OR(E304="",AB304="",OR(AA304="Contract signed + paid",AA304="Closed – No response",AA304="Lost"),N(AC304)&gt;=Settings!$S$3),"",AB304+Settings!$S$2)</f>
        <v/>
      </c>
      <c r="AE304" s="40"/>
      <c r="AF304" s="41"/>
      <c r="AG304" s="17"/>
      <c r="AH304" s="17"/>
      <c r="AI304" s="17"/>
      <c r="AJ304" s="46" t="str">
        <f aca="true">IF(OR(E304="",B304=""),"",INT(TODAY()-B304))</f>
        <v/>
      </c>
      <c r="AK304" s="44" t="str">
        <f aca="true">IF(E304="","",IF(OR(COUNTIFS(Clients!$C$2:$C$501,E304,Clients!$S$2:$S$501,"Paid")&gt;0,AND(I304&lt;&gt;"",COUNTIFS(Clients!$E$2:$E$501,I304,Clients!$S$2:$S$501,"Paid")&gt;0)),"⚠ Refunded before – no free video",IF(OR(AA304="Contract signed + paid",AA304="Closed – No response",AA304="Lost"),"",IF(AA304="","Set a stage",IF(AND(AA304="Proposal sent",COUNTA(Q304:V304)&lt;6),"Score this lead – proposal sent unscored",IF(N(AC304)&gt;=Settings!$S$3,"Close – 4 follow-ups sent",IF(AD304="",IF(AB304="","Make first contact",""),IF(TODAY()&gt;AD304,"OVERDUE follow-up",IF(TODAY()=AD304,"Follow up today","")))))))))</f>
        <v/>
      </c>
    </row>
    <row r="305" customFormat="false" ht="15" hidden="false" customHeight="false" outlineLevel="0" collapsed="false">
      <c r="A305" s="17"/>
      <c r="B305" s="40"/>
      <c r="C305" s="41"/>
      <c r="D305" s="17"/>
      <c r="E305" s="17"/>
      <c r="F305" s="17"/>
      <c r="G305" s="17"/>
      <c r="H305" s="17"/>
      <c r="I305" s="42"/>
      <c r="J305" s="17"/>
      <c r="K305" s="17"/>
      <c r="L305" s="17"/>
      <c r="M305" s="17"/>
      <c r="N305" s="40"/>
      <c r="O305" s="41"/>
      <c r="P305" s="43" t="str">
        <f aca="false">IF(OR(B305="",N305=""),"",ROUND(((N305+N(O305))-(B305+N(C305)))*24,1))</f>
        <v/>
      </c>
      <c r="Q305" s="17"/>
      <c r="R305" s="17"/>
      <c r="S305" s="17"/>
      <c r="T305" s="17"/>
      <c r="U305" s="17"/>
      <c r="V305" s="17"/>
      <c r="W305" s="44" t="str">
        <f aca="false">IF(OR(E305="",COUNTA(Q305:V305)=0),"",SUMIFS(Settings!$AA$2:$AA$21,Settings!$Y$2:$Y$21,"Budget AED 5k+/mo?",Settings!$Z$2:$Z$21,Q305)+SUMIFS(Settings!$AA$2:$AA$21,Settings!$Y$2:$Y$21,"Decision-maker?",Settings!$Z$2:$Z$21,R305)+SUMIFS(Settings!$AA$2:$AA$21,Settings!$Y$2:$Y$21,"Someone on camera?",Settings!$Z$2:$Z$21,S305)+SUMIFS(Settings!$AA$2:$AA$21,Settings!$Y$2:$Y$21,"OK with 3-month term?",Settings!$Z$2:$Z$21,T305)+SUMIFS(Settings!$AA$2:$AA$21,Settings!$Y$2:$Y$21,"Start timeline",Settings!$Z$2:$Z$21,U305)+SUMIFS(Settings!$AA$2:$AA$21,Settings!$Y$2:$Y$21,"Social media gap",Settings!$Z$2:$Z$21,V305)+IF(F305="",0,IF(COUNTIF(Settings!$AC$2:$AC$6,F305)&gt;0,Settings!$AA$20,Settings!$AA$21)))</f>
        <v/>
      </c>
      <c r="X305" s="44" t="str">
        <f aca="false">IF(E305="","",IF(COUNTA(Q305:V305)=0,"Not scored",IF(COUNTA(Q305:V305)&lt;6,"Partly scored ("&amp;COUNTA(Q305:V305)&amp;"/6)",IF(W305&gt;=Settings!$S$8,"Hot",IF(W305&gt;=Settings!$S$9,"Warm","Cold")))))</f>
        <v/>
      </c>
      <c r="Y305" s="44" t="str">
        <f aca="false">IF(E305="","",IF(AND(Q305="No",S305="No"),"🚩 Budget  ·  🚩 No one on camera",IF(Q305="No","🚩 Budget under AED 5k",IF(S305="No","🚩 No one on camera",""))))</f>
        <v/>
      </c>
      <c r="Z305" s="17"/>
      <c r="AA305" s="17"/>
      <c r="AB305" s="40"/>
      <c r="AC305" s="17"/>
      <c r="AD305" s="45" t="str">
        <f aca="false">IF(OR(E305="",AB305="",OR(AA305="Contract signed + paid",AA305="Closed – No response",AA305="Lost"),N(AC305)&gt;=Settings!$S$3),"",AB305+Settings!$S$2)</f>
        <v/>
      </c>
      <c r="AE305" s="40"/>
      <c r="AF305" s="41"/>
      <c r="AG305" s="17"/>
      <c r="AH305" s="17"/>
      <c r="AI305" s="17"/>
      <c r="AJ305" s="46" t="str">
        <f aca="true">IF(OR(E305="",B305=""),"",INT(TODAY()-B305))</f>
        <v/>
      </c>
      <c r="AK305" s="44" t="str">
        <f aca="true">IF(E305="","",IF(OR(COUNTIFS(Clients!$C$2:$C$501,E305,Clients!$S$2:$S$501,"Paid")&gt;0,AND(I305&lt;&gt;"",COUNTIFS(Clients!$E$2:$E$501,I305,Clients!$S$2:$S$501,"Paid")&gt;0)),"⚠ Refunded before – no free video",IF(OR(AA305="Contract signed + paid",AA305="Closed – No response",AA305="Lost"),"",IF(AA305="","Set a stage",IF(AND(AA305="Proposal sent",COUNTA(Q305:V305)&lt;6),"Score this lead – proposal sent unscored",IF(N(AC305)&gt;=Settings!$S$3,"Close – 4 follow-ups sent",IF(AD305="",IF(AB305="","Make first contact",""),IF(TODAY()&gt;AD305,"OVERDUE follow-up",IF(TODAY()=AD305,"Follow up today","")))))))))</f>
        <v/>
      </c>
    </row>
    <row r="306" customFormat="false" ht="15" hidden="false" customHeight="false" outlineLevel="0" collapsed="false">
      <c r="A306" s="17"/>
      <c r="B306" s="40"/>
      <c r="C306" s="41"/>
      <c r="D306" s="17"/>
      <c r="E306" s="17"/>
      <c r="F306" s="17"/>
      <c r="G306" s="17"/>
      <c r="H306" s="17"/>
      <c r="I306" s="42"/>
      <c r="J306" s="17"/>
      <c r="K306" s="17"/>
      <c r="L306" s="17"/>
      <c r="M306" s="17"/>
      <c r="N306" s="40"/>
      <c r="O306" s="41"/>
      <c r="P306" s="43" t="str">
        <f aca="false">IF(OR(B306="",N306=""),"",ROUND(((N306+N(O306))-(B306+N(C306)))*24,1))</f>
        <v/>
      </c>
      <c r="Q306" s="17"/>
      <c r="R306" s="17"/>
      <c r="S306" s="17"/>
      <c r="T306" s="17"/>
      <c r="U306" s="17"/>
      <c r="V306" s="17"/>
      <c r="W306" s="44" t="str">
        <f aca="false">IF(OR(E306="",COUNTA(Q306:V306)=0),"",SUMIFS(Settings!$AA$2:$AA$21,Settings!$Y$2:$Y$21,"Budget AED 5k+/mo?",Settings!$Z$2:$Z$21,Q306)+SUMIFS(Settings!$AA$2:$AA$21,Settings!$Y$2:$Y$21,"Decision-maker?",Settings!$Z$2:$Z$21,R306)+SUMIFS(Settings!$AA$2:$AA$21,Settings!$Y$2:$Y$21,"Someone on camera?",Settings!$Z$2:$Z$21,S306)+SUMIFS(Settings!$AA$2:$AA$21,Settings!$Y$2:$Y$21,"OK with 3-month term?",Settings!$Z$2:$Z$21,T306)+SUMIFS(Settings!$AA$2:$AA$21,Settings!$Y$2:$Y$21,"Start timeline",Settings!$Z$2:$Z$21,U306)+SUMIFS(Settings!$AA$2:$AA$21,Settings!$Y$2:$Y$21,"Social media gap",Settings!$Z$2:$Z$21,V306)+IF(F306="",0,IF(COUNTIF(Settings!$AC$2:$AC$6,F306)&gt;0,Settings!$AA$20,Settings!$AA$21)))</f>
        <v/>
      </c>
      <c r="X306" s="44" t="str">
        <f aca="false">IF(E306="","",IF(COUNTA(Q306:V306)=0,"Not scored",IF(COUNTA(Q306:V306)&lt;6,"Partly scored ("&amp;COUNTA(Q306:V306)&amp;"/6)",IF(W306&gt;=Settings!$S$8,"Hot",IF(W306&gt;=Settings!$S$9,"Warm","Cold")))))</f>
        <v/>
      </c>
      <c r="Y306" s="44" t="str">
        <f aca="false">IF(E306="","",IF(AND(Q306="No",S306="No"),"🚩 Budget  ·  🚩 No one on camera",IF(Q306="No","🚩 Budget under AED 5k",IF(S306="No","🚩 No one on camera",""))))</f>
        <v/>
      </c>
      <c r="Z306" s="17"/>
      <c r="AA306" s="17"/>
      <c r="AB306" s="40"/>
      <c r="AC306" s="17"/>
      <c r="AD306" s="45" t="str">
        <f aca="false">IF(OR(E306="",AB306="",OR(AA306="Contract signed + paid",AA306="Closed – No response",AA306="Lost"),N(AC306)&gt;=Settings!$S$3),"",AB306+Settings!$S$2)</f>
        <v/>
      </c>
      <c r="AE306" s="40"/>
      <c r="AF306" s="41"/>
      <c r="AG306" s="17"/>
      <c r="AH306" s="17"/>
      <c r="AI306" s="17"/>
      <c r="AJ306" s="46" t="str">
        <f aca="true">IF(OR(E306="",B306=""),"",INT(TODAY()-B306))</f>
        <v/>
      </c>
      <c r="AK306" s="44" t="str">
        <f aca="true">IF(E306="","",IF(OR(COUNTIFS(Clients!$C$2:$C$501,E306,Clients!$S$2:$S$501,"Paid")&gt;0,AND(I306&lt;&gt;"",COUNTIFS(Clients!$E$2:$E$501,I306,Clients!$S$2:$S$501,"Paid")&gt;0)),"⚠ Refunded before – no free video",IF(OR(AA306="Contract signed + paid",AA306="Closed – No response",AA306="Lost"),"",IF(AA306="","Set a stage",IF(AND(AA306="Proposal sent",COUNTA(Q306:V306)&lt;6),"Score this lead – proposal sent unscored",IF(N(AC306)&gt;=Settings!$S$3,"Close – 4 follow-ups sent",IF(AD306="",IF(AB306="","Make first contact",""),IF(TODAY()&gt;AD306,"OVERDUE follow-up",IF(TODAY()=AD306,"Follow up today","")))))))))</f>
        <v/>
      </c>
    </row>
    <row r="307" customFormat="false" ht="15" hidden="false" customHeight="false" outlineLevel="0" collapsed="false">
      <c r="A307" s="17"/>
      <c r="B307" s="40"/>
      <c r="C307" s="41"/>
      <c r="D307" s="17"/>
      <c r="E307" s="17"/>
      <c r="F307" s="17"/>
      <c r="G307" s="17"/>
      <c r="H307" s="17"/>
      <c r="I307" s="42"/>
      <c r="J307" s="17"/>
      <c r="K307" s="17"/>
      <c r="L307" s="17"/>
      <c r="M307" s="17"/>
      <c r="N307" s="40"/>
      <c r="O307" s="41"/>
      <c r="P307" s="43" t="str">
        <f aca="false">IF(OR(B307="",N307=""),"",ROUND(((N307+N(O307))-(B307+N(C307)))*24,1))</f>
        <v/>
      </c>
      <c r="Q307" s="17"/>
      <c r="R307" s="17"/>
      <c r="S307" s="17"/>
      <c r="T307" s="17"/>
      <c r="U307" s="17"/>
      <c r="V307" s="17"/>
      <c r="W307" s="44" t="str">
        <f aca="false">IF(OR(E307="",COUNTA(Q307:V307)=0),"",SUMIFS(Settings!$AA$2:$AA$21,Settings!$Y$2:$Y$21,"Budget AED 5k+/mo?",Settings!$Z$2:$Z$21,Q307)+SUMIFS(Settings!$AA$2:$AA$21,Settings!$Y$2:$Y$21,"Decision-maker?",Settings!$Z$2:$Z$21,R307)+SUMIFS(Settings!$AA$2:$AA$21,Settings!$Y$2:$Y$21,"Someone on camera?",Settings!$Z$2:$Z$21,S307)+SUMIFS(Settings!$AA$2:$AA$21,Settings!$Y$2:$Y$21,"OK with 3-month term?",Settings!$Z$2:$Z$21,T307)+SUMIFS(Settings!$AA$2:$AA$21,Settings!$Y$2:$Y$21,"Start timeline",Settings!$Z$2:$Z$21,U307)+SUMIFS(Settings!$AA$2:$AA$21,Settings!$Y$2:$Y$21,"Social media gap",Settings!$Z$2:$Z$21,V307)+IF(F307="",0,IF(COUNTIF(Settings!$AC$2:$AC$6,F307)&gt;0,Settings!$AA$20,Settings!$AA$21)))</f>
        <v/>
      </c>
      <c r="X307" s="44" t="str">
        <f aca="false">IF(E307="","",IF(COUNTA(Q307:V307)=0,"Not scored",IF(COUNTA(Q307:V307)&lt;6,"Partly scored ("&amp;COUNTA(Q307:V307)&amp;"/6)",IF(W307&gt;=Settings!$S$8,"Hot",IF(W307&gt;=Settings!$S$9,"Warm","Cold")))))</f>
        <v/>
      </c>
      <c r="Y307" s="44" t="str">
        <f aca="false">IF(E307="","",IF(AND(Q307="No",S307="No"),"🚩 Budget  ·  🚩 No one on camera",IF(Q307="No","🚩 Budget under AED 5k",IF(S307="No","🚩 No one on camera",""))))</f>
        <v/>
      </c>
      <c r="Z307" s="17"/>
      <c r="AA307" s="17"/>
      <c r="AB307" s="40"/>
      <c r="AC307" s="17"/>
      <c r="AD307" s="45" t="str">
        <f aca="false">IF(OR(E307="",AB307="",OR(AA307="Contract signed + paid",AA307="Closed – No response",AA307="Lost"),N(AC307)&gt;=Settings!$S$3),"",AB307+Settings!$S$2)</f>
        <v/>
      </c>
      <c r="AE307" s="40"/>
      <c r="AF307" s="41"/>
      <c r="AG307" s="17"/>
      <c r="AH307" s="17"/>
      <c r="AI307" s="17"/>
      <c r="AJ307" s="46" t="str">
        <f aca="true">IF(OR(E307="",B307=""),"",INT(TODAY()-B307))</f>
        <v/>
      </c>
      <c r="AK307" s="44" t="str">
        <f aca="true">IF(E307="","",IF(OR(COUNTIFS(Clients!$C$2:$C$501,E307,Clients!$S$2:$S$501,"Paid")&gt;0,AND(I307&lt;&gt;"",COUNTIFS(Clients!$E$2:$E$501,I307,Clients!$S$2:$S$501,"Paid")&gt;0)),"⚠ Refunded before – no free video",IF(OR(AA307="Contract signed + paid",AA307="Closed – No response",AA307="Lost"),"",IF(AA307="","Set a stage",IF(AND(AA307="Proposal sent",COUNTA(Q307:V307)&lt;6),"Score this lead – proposal sent unscored",IF(N(AC307)&gt;=Settings!$S$3,"Close – 4 follow-ups sent",IF(AD307="",IF(AB307="","Make first contact",""),IF(TODAY()&gt;AD307,"OVERDUE follow-up",IF(TODAY()=AD307,"Follow up today","")))))))))</f>
        <v/>
      </c>
    </row>
    <row r="308" customFormat="false" ht="15" hidden="false" customHeight="false" outlineLevel="0" collapsed="false">
      <c r="A308" s="17"/>
      <c r="B308" s="40"/>
      <c r="C308" s="41"/>
      <c r="D308" s="17"/>
      <c r="E308" s="17"/>
      <c r="F308" s="17"/>
      <c r="G308" s="17"/>
      <c r="H308" s="17"/>
      <c r="I308" s="42"/>
      <c r="J308" s="17"/>
      <c r="K308" s="17"/>
      <c r="L308" s="17"/>
      <c r="M308" s="17"/>
      <c r="N308" s="40"/>
      <c r="O308" s="41"/>
      <c r="P308" s="43" t="str">
        <f aca="false">IF(OR(B308="",N308=""),"",ROUND(((N308+N(O308))-(B308+N(C308)))*24,1))</f>
        <v/>
      </c>
      <c r="Q308" s="17"/>
      <c r="R308" s="17"/>
      <c r="S308" s="17"/>
      <c r="T308" s="17"/>
      <c r="U308" s="17"/>
      <c r="V308" s="17"/>
      <c r="W308" s="44" t="str">
        <f aca="false">IF(OR(E308="",COUNTA(Q308:V308)=0),"",SUMIFS(Settings!$AA$2:$AA$21,Settings!$Y$2:$Y$21,"Budget AED 5k+/mo?",Settings!$Z$2:$Z$21,Q308)+SUMIFS(Settings!$AA$2:$AA$21,Settings!$Y$2:$Y$21,"Decision-maker?",Settings!$Z$2:$Z$21,R308)+SUMIFS(Settings!$AA$2:$AA$21,Settings!$Y$2:$Y$21,"Someone on camera?",Settings!$Z$2:$Z$21,S308)+SUMIFS(Settings!$AA$2:$AA$21,Settings!$Y$2:$Y$21,"OK with 3-month term?",Settings!$Z$2:$Z$21,T308)+SUMIFS(Settings!$AA$2:$AA$21,Settings!$Y$2:$Y$21,"Start timeline",Settings!$Z$2:$Z$21,U308)+SUMIFS(Settings!$AA$2:$AA$21,Settings!$Y$2:$Y$21,"Social media gap",Settings!$Z$2:$Z$21,V308)+IF(F308="",0,IF(COUNTIF(Settings!$AC$2:$AC$6,F308)&gt;0,Settings!$AA$20,Settings!$AA$21)))</f>
        <v/>
      </c>
      <c r="X308" s="44" t="str">
        <f aca="false">IF(E308="","",IF(COUNTA(Q308:V308)=0,"Not scored",IF(COUNTA(Q308:V308)&lt;6,"Partly scored ("&amp;COUNTA(Q308:V308)&amp;"/6)",IF(W308&gt;=Settings!$S$8,"Hot",IF(W308&gt;=Settings!$S$9,"Warm","Cold")))))</f>
        <v/>
      </c>
      <c r="Y308" s="44" t="str">
        <f aca="false">IF(E308="","",IF(AND(Q308="No",S308="No"),"🚩 Budget  ·  🚩 No one on camera",IF(Q308="No","🚩 Budget under AED 5k",IF(S308="No","🚩 No one on camera",""))))</f>
        <v/>
      </c>
      <c r="Z308" s="17"/>
      <c r="AA308" s="17"/>
      <c r="AB308" s="40"/>
      <c r="AC308" s="17"/>
      <c r="AD308" s="45" t="str">
        <f aca="false">IF(OR(E308="",AB308="",OR(AA308="Contract signed + paid",AA308="Closed – No response",AA308="Lost"),N(AC308)&gt;=Settings!$S$3),"",AB308+Settings!$S$2)</f>
        <v/>
      </c>
      <c r="AE308" s="40"/>
      <c r="AF308" s="41"/>
      <c r="AG308" s="17"/>
      <c r="AH308" s="17"/>
      <c r="AI308" s="17"/>
      <c r="AJ308" s="46" t="str">
        <f aca="true">IF(OR(E308="",B308=""),"",INT(TODAY()-B308))</f>
        <v/>
      </c>
      <c r="AK308" s="44" t="str">
        <f aca="true">IF(E308="","",IF(OR(COUNTIFS(Clients!$C$2:$C$501,E308,Clients!$S$2:$S$501,"Paid")&gt;0,AND(I308&lt;&gt;"",COUNTIFS(Clients!$E$2:$E$501,I308,Clients!$S$2:$S$501,"Paid")&gt;0)),"⚠ Refunded before – no free video",IF(OR(AA308="Contract signed + paid",AA308="Closed – No response",AA308="Lost"),"",IF(AA308="","Set a stage",IF(AND(AA308="Proposal sent",COUNTA(Q308:V308)&lt;6),"Score this lead – proposal sent unscored",IF(N(AC308)&gt;=Settings!$S$3,"Close – 4 follow-ups sent",IF(AD308="",IF(AB308="","Make first contact",""),IF(TODAY()&gt;AD308,"OVERDUE follow-up",IF(TODAY()=AD308,"Follow up today","")))))))))</f>
        <v/>
      </c>
    </row>
    <row r="309" customFormat="false" ht="15" hidden="false" customHeight="false" outlineLevel="0" collapsed="false">
      <c r="A309" s="17"/>
      <c r="B309" s="40"/>
      <c r="C309" s="41"/>
      <c r="D309" s="17"/>
      <c r="E309" s="17"/>
      <c r="F309" s="17"/>
      <c r="G309" s="17"/>
      <c r="H309" s="17"/>
      <c r="I309" s="42"/>
      <c r="J309" s="17"/>
      <c r="K309" s="17"/>
      <c r="L309" s="17"/>
      <c r="M309" s="17"/>
      <c r="N309" s="40"/>
      <c r="O309" s="41"/>
      <c r="P309" s="43" t="str">
        <f aca="false">IF(OR(B309="",N309=""),"",ROUND(((N309+N(O309))-(B309+N(C309)))*24,1))</f>
        <v/>
      </c>
      <c r="Q309" s="17"/>
      <c r="R309" s="17"/>
      <c r="S309" s="17"/>
      <c r="T309" s="17"/>
      <c r="U309" s="17"/>
      <c r="V309" s="17"/>
      <c r="W309" s="44" t="str">
        <f aca="false">IF(OR(E309="",COUNTA(Q309:V309)=0),"",SUMIFS(Settings!$AA$2:$AA$21,Settings!$Y$2:$Y$21,"Budget AED 5k+/mo?",Settings!$Z$2:$Z$21,Q309)+SUMIFS(Settings!$AA$2:$AA$21,Settings!$Y$2:$Y$21,"Decision-maker?",Settings!$Z$2:$Z$21,R309)+SUMIFS(Settings!$AA$2:$AA$21,Settings!$Y$2:$Y$21,"Someone on camera?",Settings!$Z$2:$Z$21,S309)+SUMIFS(Settings!$AA$2:$AA$21,Settings!$Y$2:$Y$21,"OK with 3-month term?",Settings!$Z$2:$Z$21,T309)+SUMIFS(Settings!$AA$2:$AA$21,Settings!$Y$2:$Y$21,"Start timeline",Settings!$Z$2:$Z$21,U309)+SUMIFS(Settings!$AA$2:$AA$21,Settings!$Y$2:$Y$21,"Social media gap",Settings!$Z$2:$Z$21,V309)+IF(F309="",0,IF(COUNTIF(Settings!$AC$2:$AC$6,F309)&gt;0,Settings!$AA$20,Settings!$AA$21)))</f>
        <v/>
      </c>
      <c r="X309" s="44" t="str">
        <f aca="false">IF(E309="","",IF(COUNTA(Q309:V309)=0,"Not scored",IF(COUNTA(Q309:V309)&lt;6,"Partly scored ("&amp;COUNTA(Q309:V309)&amp;"/6)",IF(W309&gt;=Settings!$S$8,"Hot",IF(W309&gt;=Settings!$S$9,"Warm","Cold")))))</f>
        <v/>
      </c>
      <c r="Y309" s="44" t="str">
        <f aca="false">IF(E309="","",IF(AND(Q309="No",S309="No"),"🚩 Budget  ·  🚩 No one on camera",IF(Q309="No","🚩 Budget under AED 5k",IF(S309="No","🚩 No one on camera",""))))</f>
        <v/>
      </c>
      <c r="Z309" s="17"/>
      <c r="AA309" s="17"/>
      <c r="AB309" s="40"/>
      <c r="AC309" s="17"/>
      <c r="AD309" s="45" t="str">
        <f aca="false">IF(OR(E309="",AB309="",OR(AA309="Contract signed + paid",AA309="Closed – No response",AA309="Lost"),N(AC309)&gt;=Settings!$S$3),"",AB309+Settings!$S$2)</f>
        <v/>
      </c>
      <c r="AE309" s="40"/>
      <c r="AF309" s="41"/>
      <c r="AG309" s="17"/>
      <c r="AH309" s="17"/>
      <c r="AI309" s="17"/>
      <c r="AJ309" s="46" t="str">
        <f aca="true">IF(OR(E309="",B309=""),"",INT(TODAY()-B309))</f>
        <v/>
      </c>
      <c r="AK309" s="44" t="str">
        <f aca="true">IF(E309="","",IF(OR(COUNTIFS(Clients!$C$2:$C$501,E309,Clients!$S$2:$S$501,"Paid")&gt;0,AND(I309&lt;&gt;"",COUNTIFS(Clients!$E$2:$E$501,I309,Clients!$S$2:$S$501,"Paid")&gt;0)),"⚠ Refunded before – no free video",IF(OR(AA309="Contract signed + paid",AA309="Closed – No response",AA309="Lost"),"",IF(AA309="","Set a stage",IF(AND(AA309="Proposal sent",COUNTA(Q309:V309)&lt;6),"Score this lead – proposal sent unscored",IF(N(AC309)&gt;=Settings!$S$3,"Close – 4 follow-ups sent",IF(AD309="",IF(AB309="","Make first contact",""),IF(TODAY()&gt;AD309,"OVERDUE follow-up",IF(TODAY()=AD309,"Follow up today","")))))))))</f>
        <v/>
      </c>
    </row>
    <row r="310" customFormat="false" ht="15" hidden="false" customHeight="false" outlineLevel="0" collapsed="false">
      <c r="A310" s="17"/>
      <c r="B310" s="40"/>
      <c r="C310" s="41"/>
      <c r="D310" s="17"/>
      <c r="E310" s="17"/>
      <c r="F310" s="17"/>
      <c r="G310" s="17"/>
      <c r="H310" s="17"/>
      <c r="I310" s="42"/>
      <c r="J310" s="17"/>
      <c r="K310" s="17"/>
      <c r="L310" s="17"/>
      <c r="M310" s="17"/>
      <c r="N310" s="40"/>
      <c r="O310" s="41"/>
      <c r="P310" s="43" t="str">
        <f aca="false">IF(OR(B310="",N310=""),"",ROUND(((N310+N(O310))-(B310+N(C310)))*24,1))</f>
        <v/>
      </c>
      <c r="Q310" s="17"/>
      <c r="R310" s="17"/>
      <c r="S310" s="17"/>
      <c r="T310" s="17"/>
      <c r="U310" s="17"/>
      <c r="V310" s="17"/>
      <c r="W310" s="44" t="str">
        <f aca="false">IF(OR(E310="",COUNTA(Q310:V310)=0),"",SUMIFS(Settings!$AA$2:$AA$21,Settings!$Y$2:$Y$21,"Budget AED 5k+/mo?",Settings!$Z$2:$Z$21,Q310)+SUMIFS(Settings!$AA$2:$AA$21,Settings!$Y$2:$Y$21,"Decision-maker?",Settings!$Z$2:$Z$21,R310)+SUMIFS(Settings!$AA$2:$AA$21,Settings!$Y$2:$Y$21,"Someone on camera?",Settings!$Z$2:$Z$21,S310)+SUMIFS(Settings!$AA$2:$AA$21,Settings!$Y$2:$Y$21,"OK with 3-month term?",Settings!$Z$2:$Z$21,T310)+SUMIFS(Settings!$AA$2:$AA$21,Settings!$Y$2:$Y$21,"Start timeline",Settings!$Z$2:$Z$21,U310)+SUMIFS(Settings!$AA$2:$AA$21,Settings!$Y$2:$Y$21,"Social media gap",Settings!$Z$2:$Z$21,V310)+IF(F310="",0,IF(COUNTIF(Settings!$AC$2:$AC$6,F310)&gt;0,Settings!$AA$20,Settings!$AA$21)))</f>
        <v/>
      </c>
      <c r="X310" s="44" t="str">
        <f aca="false">IF(E310="","",IF(COUNTA(Q310:V310)=0,"Not scored",IF(COUNTA(Q310:V310)&lt;6,"Partly scored ("&amp;COUNTA(Q310:V310)&amp;"/6)",IF(W310&gt;=Settings!$S$8,"Hot",IF(W310&gt;=Settings!$S$9,"Warm","Cold")))))</f>
        <v/>
      </c>
      <c r="Y310" s="44" t="str">
        <f aca="false">IF(E310="","",IF(AND(Q310="No",S310="No"),"🚩 Budget  ·  🚩 No one on camera",IF(Q310="No","🚩 Budget under AED 5k",IF(S310="No","🚩 No one on camera",""))))</f>
        <v/>
      </c>
      <c r="Z310" s="17"/>
      <c r="AA310" s="17"/>
      <c r="AB310" s="40"/>
      <c r="AC310" s="17"/>
      <c r="AD310" s="45" t="str">
        <f aca="false">IF(OR(E310="",AB310="",OR(AA310="Contract signed + paid",AA310="Closed – No response",AA310="Lost"),N(AC310)&gt;=Settings!$S$3),"",AB310+Settings!$S$2)</f>
        <v/>
      </c>
      <c r="AE310" s="40"/>
      <c r="AF310" s="41"/>
      <c r="AG310" s="17"/>
      <c r="AH310" s="17"/>
      <c r="AI310" s="17"/>
      <c r="AJ310" s="46" t="str">
        <f aca="true">IF(OR(E310="",B310=""),"",INT(TODAY()-B310))</f>
        <v/>
      </c>
      <c r="AK310" s="44" t="str">
        <f aca="true">IF(E310="","",IF(OR(COUNTIFS(Clients!$C$2:$C$501,E310,Clients!$S$2:$S$501,"Paid")&gt;0,AND(I310&lt;&gt;"",COUNTIFS(Clients!$E$2:$E$501,I310,Clients!$S$2:$S$501,"Paid")&gt;0)),"⚠ Refunded before – no free video",IF(OR(AA310="Contract signed + paid",AA310="Closed – No response",AA310="Lost"),"",IF(AA310="","Set a stage",IF(AND(AA310="Proposal sent",COUNTA(Q310:V310)&lt;6),"Score this lead – proposal sent unscored",IF(N(AC310)&gt;=Settings!$S$3,"Close – 4 follow-ups sent",IF(AD310="",IF(AB310="","Make first contact",""),IF(TODAY()&gt;AD310,"OVERDUE follow-up",IF(TODAY()=AD310,"Follow up today","")))))))))</f>
        <v/>
      </c>
    </row>
    <row r="311" customFormat="false" ht="15" hidden="false" customHeight="false" outlineLevel="0" collapsed="false">
      <c r="A311" s="17"/>
      <c r="B311" s="40"/>
      <c r="C311" s="41"/>
      <c r="D311" s="17"/>
      <c r="E311" s="17"/>
      <c r="F311" s="17"/>
      <c r="G311" s="17"/>
      <c r="H311" s="17"/>
      <c r="I311" s="42"/>
      <c r="J311" s="17"/>
      <c r="K311" s="17"/>
      <c r="L311" s="17"/>
      <c r="M311" s="17"/>
      <c r="N311" s="40"/>
      <c r="O311" s="41"/>
      <c r="P311" s="43" t="str">
        <f aca="false">IF(OR(B311="",N311=""),"",ROUND(((N311+N(O311))-(B311+N(C311)))*24,1))</f>
        <v/>
      </c>
      <c r="Q311" s="17"/>
      <c r="R311" s="17"/>
      <c r="S311" s="17"/>
      <c r="T311" s="17"/>
      <c r="U311" s="17"/>
      <c r="V311" s="17"/>
      <c r="W311" s="44" t="str">
        <f aca="false">IF(OR(E311="",COUNTA(Q311:V311)=0),"",SUMIFS(Settings!$AA$2:$AA$21,Settings!$Y$2:$Y$21,"Budget AED 5k+/mo?",Settings!$Z$2:$Z$21,Q311)+SUMIFS(Settings!$AA$2:$AA$21,Settings!$Y$2:$Y$21,"Decision-maker?",Settings!$Z$2:$Z$21,R311)+SUMIFS(Settings!$AA$2:$AA$21,Settings!$Y$2:$Y$21,"Someone on camera?",Settings!$Z$2:$Z$21,S311)+SUMIFS(Settings!$AA$2:$AA$21,Settings!$Y$2:$Y$21,"OK with 3-month term?",Settings!$Z$2:$Z$21,T311)+SUMIFS(Settings!$AA$2:$AA$21,Settings!$Y$2:$Y$21,"Start timeline",Settings!$Z$2:$Z$21,U311)+SUMIFS(Settings!$AA$2:$AA$21,Settings!$Y$2:$Y$21,"Social media gap",Settings!$Z$2:$Z$21,V311)+IF(F311="",0,IF(COUNTIF(Settings!$AC$2:$AC$6,F311)&gt;0,Settings!$AA$20,Settings!$AA$21)))</f>
        <v/>
      </c>
      <c r="X311" s="44" t="str">
        <f aca="false">IF(E311="","",IF(COUNTA(Q311:V311)=0,"Not scored",IF(COUNTA(Q311:V311)&lt;6,"Partly scored ("&amp;COUNTA(Q311:V311)&amp;"/6)",IF(W311&gt;=Settings!$S$8,"Hot",IF(W311&gt;=Settings!$S$9,"Warm","Cold")))))</f>
        <v/>
      </c>
      <c r="Y311" s="44" t="str">
        <f aca="false">IF(E311="","",IF(AND(Q311="No",S311="No"),"🚩 Budget  ·  🚩 No one on camera",IF(Q311="No","🚩 Budget under AED 5k",IF(S311="No","🚩 No one on camera",""))))</f>
        <v/>
      </c>
      <c r="Z311" s="17"/>
      <c r="AA311" s="17"/>
      <c r="AB311" s="40"/>
      <c r="AC311" s="17"/>
      <c r="AD311" s="45" t="str">
        <f aca="false">IF(OR(E311="",AB311="",OR(AA311="Contract signed + paid",AA311="Closed – No response",AA311="Lost"),N(AC311)&gt;=Settings!$S$3),"",AB311+Settings!$S$2)</f>
        <v/>
      </c>
      <c r="AE311" s="40"/>
      <c r="AF311" s="41"/>
      <c r="AG311" s="17"/>
      <c r="AH311" s="17"/>
      <c r="AI311" s="17"/>
      <c r="AJ311" s="46" t="str">
        <f aca="true">IF(OR(E311="",B311=""),"",INT(TODAY()-B311))</f>
        <v/>
      </c>
      <c r="AK311" s="44" t="str">
        <f aca="true">IF(E311="","",IF(OR(COUNTIFS(Clients!$C$2:$C$501,E311,Clients!$S$2:$S$501,"Paid")&gt;0,AND(I311&lt;&gt;"",COUNTIFS(Clients!$E$2:$E$501,I311,Clients!$S$2:$S$501,"Paid")&gt;0)),"⚠ Refunded before – no free video",IF(OR(AA311="Contract signed + paid",AA311="Closed – No response",AA311="Lost"),"",IF(AA311="","Set a stage",IF(AND(AA311="Proposal sent",COUNTA(Q311:V311)&lt;6),"Score this lead – proposal sent unscored",IF(N(AC311)&gt;=Settings!$S$3,"Close – 4 follow-ups sent",IF(AD311="",IF(AB311="","Make first contact",""),IF(TODAY()&gt;AD311,"OVERDUE follow-up",IF(TODAY()=AD311,"Follow up today","")))))))))</f>
        <v/>
      </c>
    </row>
    <row r="312" customFormat="false" ht="15" hidden="false" customHeight="false" outlineLevel="0" collapsed="false">
      <c r="A312" s="17"/>
      <c r="B312" s="40"/>
      <c r="C312" s="41"/>
      <c r="D312" s="17"/>
      <c r="E312" s="17"/>
      <c r="F312" s="17"/>
      <c r="G312" s="17"/>
      <c r="H312" s="17"/>
      <c r="I312" s="42"/>
      <c r="J312" s="17"/>
      <c r="K312" s="17"/>
      <c r="L312" s="17"/>
      <c r="M312" s="17"/>
      <c r="N312" s="40"/>
      <c r="O312" s="41"/>
      <c r="P312" s="43" t="str">
        <f aca="false">IF(OR(B312="",N312=""),"",ROUND(((N312+N(O312))-(B312+N(C312)))*24,1))</f>
        <v/>
      </c>
      <c r="Q312" s="17"/>
      <c r="R312" s="17"/>
      <c r="S312" s="17"/>
      <c r="T312" s="17"/>
      <c r="U312" s="17"/>
      <c r="V312" s="17"/>
      <c r="W312" s="44" t="str">
        <f aca="false">IF(OR(E312="",COUNTA(Q312:V312)=0),"",SUMIFS(Settings!$AA$2:$AA$21,Settings!$Y$2:$Y$21,"Budget AED 5k+/mo?",Settings!$Z$2:$Z$21,Q312)+SUMIFS(Settings!$AA$2:$AA$21,Settings!$Y$2:$Y$21,"Decision-maker?",Settings!$Z$2:$Z$21,R312)+SUMIFS(Settings!$AA$2:$AA$21,Settings!$Y$2:$Y$21,"Someone on camera?",Settings!$Z$2:$Z$21,S312)+SUMIFS(Settings!$AA$2:$AA$21,Settings!$Y$2:$Y$21,"OK with 3-month term?",Settings!$Z$2:$Z$21,T312)+SUMIFS(Settings!$AA$2:$AA$21,Settings!$Y$2:$Y$21,"Start timeline",Settings!$Z$2:$Z$21,U312)+SUMIFS(Settings!$AA$2:$AA$21,Settings!$Y$2:$Y$21,"Social media gap",Settings!$Z$2:$Z$21,V312)+IF(F312="",0,IF(COUNTIF(Settings!$AC$2:$AC$6,F312)&gt;0,Settings!$AA$20,Settings!$AA$21)))</f>
        <v/>
      </c>
      <c r="X312" s="44" t="str">
        <f aca="false">IF(E312="","",IF(COUNTA(Q312:V312)=0,"Not scored",IF(COUNTA(Q312:V312)&lt;6,"Partly scored ("&amp;COUNTA(Q312:V312)&amp;"/6)",IF(W312&gt;=Settings!$S$8,"Hot",IF(W312&gt;=Settings!$S$9,"Warm","Cold")))))</f>
        <v/>
      </c>
      <c r="Y312" s="44" t="str">
        <f aca="false">IF(E312="","",IF(AND(Q312="No",S312="No"),"🚩 Budget  ·  🚩 No one on camera",IF(Q312="No","🚩 Budget under AED 5k",IF(S312="No","🚩 No one on camera",""))))</f>
        <v/>
      </c>
      <c r="Z312" s="17"/>
      <c r="AA312" s="17"/>
      <c r="AB312" s="40"/>
      <c r="AC312" s="17"/>
      <c r="AD312" s="45" t="str">
        <f aca="false">IF(OR(E312="",AB312="",OR(AA312="Contract signed + paid",AA312="Closed – No response",AA312="Lost"),N(AC312)&gt;=Settings!$S$3),"",AB312+Settings!$S$2)</f>
        <v/>
      </c>
      <c r="AE312" s="40"/>
      <c r="AF312" s="41"/>
      <c r="AG312" s="17"/>
      <c r="AH312" s="17"/>
      <c r="AI312" s="17"/>
      <c r="AJ312" s="46" t="str">
        <f aca="true">IF(OR(E312="",B312=""),"",INT(TODAY()-B312))</f>
        <v/>
      </c>
      <c r="AK312" s="44" t="str">
        <f aca="true">IF(E312="","",IF(OR(COUNTIFS(Clients!$C$2:$C$501,E312,Clients!$S$2:$S$501,"Paid")&gt;0,AND(I312&lt;&gt;"",COUNTIFS(Clients!$E$2:$E$501,I312,Clients!$S$2:$S$501,"Paid")&gt;0)),"⚠ Refunded before – no free video",IF(OR(AA312="Contract signed + paid",AA312="Closed – No response",AA312="Lost"),"",IF(AA312="","Set a stage",IF(AND(AA312="Proposal sent",COUNTA(Q312:V312)&lt;6),"Score this lead – proposal sent unscored",IF(N(AC312)&gt;=Settings!$S$3,"Close – 4 follow-ups sent",IF(AD312="",IF(AB312="","Make first contact",""),IF(TODAY()&gt;AD312,"OVERDUE follow-up",IF(TODAY()=AD312,"Follow up today","")))))))))</f>
        <v/>
      </c>
    </row>
    <row r="313" customFormat="false" ht="15" hidden="false" customHeight="false" outlineLevel="0" collapsed="false">
      <c r="A313" s="17"/>
      <c r="B313" s="40"/>
      <c r="C313" s="41"/>
      <c r="D313" s="17"/>
      <c r="E313" s="17"/>
      <c r="F313" s="17"/>
      <c r="G313" s="17"/>
      <c r="H313" s="17"/>
      <c r="I313" s="42"/>
      <c r="J313" s="17"/>
      <c r="K313" s="17"/>
      <c r="L313" s="17"/>
      <c r="M313" s="17"/>
      <c r="N313" s="40"/>
      <c r="O313" s="41"/>
      <c r="P313" s="43" t="str">
        <f aca="false">IF(OR(B313="",N313=""),"",ROUND(((N313+N(O313))-(B313+N(C313)))*24,1))</f>
        <v/>
      </c>
      <c r="Q313" s="17"/>
      <c r="R313" s="17"/>
      <c r="S313" s="17"/>
      <c r="T313" s="17"/>
      <c r="U313" s="17"/>
      <c r="V313" s="17"/>
      <c r="W313" s="44" t="str">
        <f aca="false">IF(OR(E313="",COUNTA(Q313:V313)=0),"",SUMIFS(Settings!$AA$2:$AA$21,Settings!$Y$2:$Y$21,"Budget AED 5k+/mo?",Settings!$Z$2:$Z$21,Q313)+SUMIFS(Settings!$AA$2:$AA$21,Settings!$Y$2:$Y$21,"Decision-maker?",Settings!$Z$2:$Z$21,R313)+SUMIFS(Settings!$AA$2:$AA$21,Settings!$Y$2:$Y$21,"Someone on camera?",Settings!$Z$2:$Z$21,S313)+SUMIFS(Settings!$AA$2:$AA$21,Settings!$Y$2:$Y$21,"OK with 3-month term?",Settings!$Z$2:$Z$21,T313)+SUMIFS(Settings!$AA$2:$AA$21,Settings!$Y$2:$Y$21,"Start timeline",Settings!$Z$2:$Z$21,U313)+SUMIFS(Settings!$AA$2:$AA$21,Settings!$Y$2:$Y$21,"Social media gap",Settings!$Z$2:$Z$21,V313)+IF(F313="",0,IF(COUNTIF(Settings!$AC$2:$AC$6,F313)&gt;0,Settings!$AA$20,Settings!$AA$21)))</f>
        <v/>
      </c>
      <c r="X313" s="44" t="str">
        <f aca="false">IF(E313="","",IF(COUNTA(Q313:V313)=0,"Not scored",IF(COUNTA(Q313:V313)&lt;6,"Partly scored ("&amp;COUNTA(Q313:V313)&amp;"/6)",IF(W313&gt;=Settings!$S$8,"Hot",IF(W313&gt;=Settings!$S$9,"Warm","Cold")))))</f>
        <v/>
      </c>
      <c r="Y313" s="44" t="str">
        <f aca="false">IF(E313="","",IF(AND(Q313="No",S313="No"),"🚩 Budget  ·  🚩 No one on camera",IF(Q313="No","🚩 Budget under AED 5k",IF(S313="No","🚩 No one on camera",""))))</f>
        <v/>
      </c>
      <c r="Z313" s="17"/>
      <c r="AA313" s="17"/>
      <c r="AB313" s="40"/>
      <c r="AC313" s="17"/>
      <c r="AD313" s="45" t="str">
        <f aca="false">IF(OR(E313="",AB313="",OR(AA313="Contract signed + paid",AA313="Closed – No response",AA313="Lost"),N(AC313)&gt;=Settings!$S$3),"",AB313+Settings!$S$2)</f>
        <v/>
      </c>
      <c r="AE313" s="40"/>
      <c r="AF313" s="41"/>
      <c r="AG313" s="17"/>
      <c r="AH313" s="17"/>
      <c r="AI313" s="17"/>
      <c r="AJ313" s="46" t="str">
        <f aca="true">IF(OR(E313="",B313=""),"",INT(TODAY()-B313))</f>
        <v/>
      </c>
      <c r="AK313" s="44" t="str">
        <f aca="true">IF(E313="","",IF(OR(COUNTIFS(Clients!$C$2:$C$501,E313,Clients!$S$2:$S$501,"Paid")&gt;0,AND(I313&lt;&gt;"",COUNTIFS(Clients!$E$2:$E$501,I313,Clients!$S$2:$S$501,"Paid")&gt;0)),"⚠ Refunded before – no free video",IF(OR(AA313="Contract signed + paid",AA313="Closed – No response",AA313="Lost"),"",IF(AA313="","Set a stage",IF(AND(AA313="Proposal sent",COUNTA(Q313:V313)&lt;6),"Score this lead – proposal sent unscored",IF(N(AC313)&gt;=Settings!$S$3,"Close – 4 follow-ups sent",IF(AD313="",IF(AB313="","Make first contact",""),IF(TODAY()&gt;AD313,"OVERDUE follow-up",IF(TODAY()=AD313,"Follow up today","")))))))))</f>
        <v/>
      </c>
    </row>
    <row r="314" customFormat="false" ht="15" hidden="false" customHeight="false" outlineLevel="0" collapsed="false">
      <c r="A314" s="17"/>
      <c r="B314" s="40"/>
      <c r="C314" s="41"/>
      <c r="D314" s="17"/>
      <c r="E314" s="17"/>
      <c r="F314" s="17"/>
      <c r="G314" s="17"/>
      <c r="H314" s="17"/>
      <c r="I314" s="42"/>
      <c r="J314" s="17"/>
      <c r="K314" s="17"/>
      <c r="L314" s="17"/>
      <c r="M314" s="17"/>
      <c r="N314" s="40"/>
      <c r="O314" s="41"/>
      <c r="P314" s="43" t="str">
        <f aca="false">IF(OR(B314="",N314=""),"",ROUND(((N314+N(O314))-(B314+N(C314)))*24,1))</f>
        <v/>
      </c>
      <c r="Q314" s="17"/>
      <c r="R314" s="17"/>
      <c r="S314" s="17"/>
      <c r="T314" s="17"/>
      <c r="U314" s="17"/>
      <c r="V314" s="17"/>
      <c r="W314" s="44" t="str">
        <f aca="false">IF(OR(E314="",COUNTA(Q314:V314)=0),"",SUMIFS(Settings!$AA$2:$AA$21,Settings!$Y$2:$Y$21,"Budget AED 5k+/mo?",Settings!$Z$2:$Z$21,Q314)+SUMIFS(Settings!$AA$2:$AA$21,Settings!$Y$2:$Y$21,"Decision-maker?",Settings!$Z$2:$Z$21,R314)+SUMIFS(Settings!$AA$2:$AA$21,Settings!$Y$2:$Y$21,"Someone on camera?",Settings!$Z$2:$Z$21,S314)+SUMIFS(Settings!$AA$2:$AA$21,Settings!$Y$2:$Y$21,"OK with 3-month term?",Settings!$Z$2:$Z$21,T314)+SUMIFS(Settings!$AA$2:$AA$21,Settings!$Y$2:$Y$21,"Start timeline",Settings!$Z$2:$Z$21,U314)+SUMIFS(Settings!$AA$2:$AA$21,Settings!$Y$2:$Y$21,"Social media gap",Settings!$Z$2:$Z$21,V314)+IF(F314="",0,IF(COUNTIF(Settings!$AC$2:$AC$6,F314)&gt;0,Settings!$AA$20,Settings!$AA$21)))</f>
        <v/>
      </c>
      <c r="X314" s="44" t="str">
        <f aca="false">IF(E314="","",IF(COUNTA(Q314:V314)=0,"Not scored",IF(COUNTA(Q314:V314)&lt;6,"Partly scored ("&amp;COUNTA(Q314:V314)&amp;"/6)",IF(W314&gt;=Settings!$S$8,"Hot",IF(W314&gt;=Settings!$S$9,"Warm","Cold")))))</f>
        <v/>
      </c>
      <c r="Y314" s="44" t="str">
        <f aca="false">IF(E314="","",IF(AND(Q314="No",S314="No"),"🚩 Budget  ·  🚩 No one on camera",IF(Q314="No","🚩 Budget under AED 5k",IF(S314="No","🚩 No one on camera",""))))</f>
        <v/>
      </c>
      <c r="Z314" s="17"/>
      <c r="AA314" s="17"/>
      <c r="AB314" s="40"/>
      <c r="AC314" s="17"/>
      <c r="AD314" s="45" t="str">
        <f aca="false">IF(OR(E314="",AB314="",OR(AA314="Contract signed + paid",AA314="Closed – No response",AA314="Lost"),N(AC314)&gt;=Settings!$S$3),"",AB314+Settings!$S$2)</f>
        <v/>
      </c>
      <c r="AE314" s="40"/>
      <c r="AF314" s="41"/>
      <c r="AG314" s="17"/>
      <c r="AH314" s="17"/>
      <c r="AI314" s="17"/>
      <c r="AJ314" s="46" t="str">
        <f aca="true">IF(OR(E314="",B314=""),"",INT(TODAY()-B314))</f>
        <v/>
      </c>
      <c r="AK314" s="44" t="str">
        <f aca="true">IF(E314="","",IF(OR(COUNTIFS(Clients!$C$2:$C$501,E314,Clients!$S$2:$S$501,"Paid")&gt;0,AND(I314&lt;&gt;"",COUNTIFS(Clients!$E$2:$E$501,I314,Clients!$S$2:$S$501,"Paid")&gt;0)),"⚠ Refunded before – no free video",IF(OR(AA314="Contract signed + paid",AA314="Closed – No response",AA314="Lost"),"",IF(AA314="","Set a stage",IF(AND(AA314="Proposal sent",COUNTA(Q314:V314)&lt;6),"Score this lead – proposal sent unscored",IF(N(AC314)&gt;=Settings!$S$3,"Close – 4 follow-ups sent",IF(AD314="",IF(AB314="","Make first contact",""),IF(TODAY()&gt;AD314,"OVERDUE follow-up",IF(TODAY()=AD314,"Follow up today","")))))))))</f>
        <v/>
      </c>
    </row>
    <row r="315" customFormat="false" ht="15" hidden="false" customHeight="false" outlineLevel="0" collapsed="false">
      <c r="A315" s="17"/>
      <c r="B315" s="40"/>
      <c r="C315" s="41"/>
      <c r="D315" s="17"/>
      <c r="E315" s="17"/>
      <c r="F315" s="17"/>
      <c r="G315" s="17"/>
      <c r="H315" s="17"/>
      <c r="I315" s="42"/>
      <c r="J315" s="17"/>
      <c r="K315" s="17"/>
      <c r="L315" s="17"/>
      <c r="M315" s="17"/>
      <c r="N315" s="40"/>
      <c r="O315" s="41"/>
      <c r="P315" s="43" t="str">
        <f aca="false">IF(OR(B315="",N315=""),"",ROUND(((N315+N(O315))-(B315+N(C315)))*24,1))</f>
        <v/>
      </c>
      <c r="Q315" s="17"/>
      <c r="R315" s="17"/>
      <c r="S315" s="17"/>
      <c r="T315" s="17"/>
      <c r="U315" s="17"/>
      <c r="V315" s="17"/>
      <c r="W315" s="44" t="str">
        <f aca="false">IF(OR(E315="",COUNTA(Q315:V315)=0),"",SUMIFS(Settings!$AA$2:$AA$21,Settings!$Y$2:$Y$21,"Budget AED 5k+/mo?",Settings!$Z$2:$Z$21,Q315)+SUMIFS(Settings!$AA$2:$AA$21,Settings!$Y$2:$Y$21,"Decision-maker?",Settings!$Z$2:$Z$21,R315)+SUMIFS(Settings!$AA$2:$AA$21,Settings!$Y$2:$Y$21,"Someone on camera?",Settings!$Z$2:$Z$21,S315)+SUMIFS(Settings!$AA$2:$AA$21,Settings!$Y$2:$Y$21,"OK with 3-month term?",Settings!$Z$2:$Z$21,T315)+SUMIFS(Settings!$AA$2:$AA$21,Settings!$Y$2:$Y$21,"Start timeline",Settings!$Z$2:$Z$21,U315)+SUMIFS(Settings!$AA$2:$AA$21,Settings!$Y$2:$Y$21,"Social media gap",Settings!$Z$2:$Z$21,V315)+IF(F315="",0,IF(COUNTIF(Settings!$AC$2:$AC$6,F315)&gt;0,Settings!$AA$20,Settings!$AA$21)))</f>
        <v/>
      </c>
      <c r="X315" s="44" t="str">
        <f aca="false">IF(E315="","",IF(COUNTA(Q315:V315)=0,"Not scored",IF(COUNTA(Q315:V315)&lt;6,"Partly scored ("&amp;COUNTA(Q315:V315)&amp;"/6)",IF(W315&gt;=Settings!$S$8,"Hot",IF(W315&gt;=Settings!$S$9,"Warm","Cold")))))</f>
        <v/>
      </c>
      <c r="Y315" s="44" t="str">
        <f aca="false">IF(E315="","",IF(AND(Q315="No",S315="No"),"🚩 Budget  ·  🚩 No one on camera",IF(Q315="No","🚩 Budget under AED 5k",IF(S315="No","🚩 No one on camera",""))))</f>
        <v/>
      </c>
      <c r="Z315" s="17"/>
      <c r="AA315" s="17"/>
      <c r="AB315" s="40"/>
      <c r="AC315" s="17"/>
      <c r="AD315" s="45" t="str">
        <f aca="false">IF(OR(E315="",AB315="",OR(AA315="Contract signed + paid",AA315="Closed – No response",AA315="Lost"),N(AC315)&gt;=Settings!$S$3),"",AB315+Settings!$S$2)</f>
        <v/>
      </c>
      <c r="AE315" s="40"/>
      <c r="AF315" s="41"/>
      <c r="AG315" s="17"/>
      <c r="AH315" s="17"/>
      <c r="AI315" s="17"/>
      <c r="AJ315" s="46" t="str">
        <f aca="true">IF(OR(E315="",B315=""),"",INT(TODAY()-B315))</f>
        <v/>
      </c>
      <c r="AK315" s="44" t="str">
        <f aca="true">IF(E315="","",IF(OR(COUNTIFS(Clients!$C$2:$C$501,E315,Clients!$S$2:$S$501,"Paid")&gt;0,AND(I315&lt;&gt;"",COUNTIFS(Clients!$E$2:$E$501,I315,Clients!$S$2:$S$501,"Paid")&gt;0)),"⚠ Refunded before – no free video",IF(OR(AA315="Contract signed + paid",AA315="Closed – No response",AA315="Lost"),"",IF(AA315="","Set a stage",IF(AND(AA315="Proposal sent",COUNTA(Q315:V315)&lt;6),"Score this lead – proposal sent unscored",IF(N(AC315)&gt;=Settings!$S$3,"Close – 4 follow-ups sent",IF(AD315="",IF(AB315="","Make first contact",""),IF(TODAY()&gt;AD315,"OVERDUE follow-up",IF(TODAY()=AD315,"Follow up today","")))))))))</f>
        <v/>
      </c>
    </row>
    <row r="316" customFormat="false" ht="15" hidden="false" customHeight="false" outlineLevel="0" collapsed="false">
      <c r="A316" s="17"/>
      <c r="B316" s="40"/>
      <c r="C316" s="41"/>
      <c r="D316" s="17"/>
      <c r="E316" s="17"/>
      <c r="F316" s="17"/>
      <c r="G316" s="17"/>
      <c r="H316" s="17"/>
      <c r="I316" s="42"/>
      <c r="J316" s="17"/>
      <c r="K316" s="17"/>
      <c r="L316" s="17"/>
      <c r="M316" s="17"/>
      <c r="N316" s="40"/>
      <c r="O316" s="41"/>
      <c r="P316" s="43" t="str">
        <f aca="false">IF(OR(B316="",N316=""),"",ROUND(((N316+N(O316))-(B316+N(C316)))*24,1))</f>
        <v/>
      </c>
      <c r="Q316" s="17"/>
      <c r="R316" s="17"/>
      <c r="S316" s="17"/>
      <c r="T316" s="17"/>
      <c r="U316" s="17"/>
      <c r="V316" s="17"/>
      <c r="W316" s="44" t="str">
        <f aca="false">IF(OR(E316="",COUNTA(Q316:V316)=0),"",SUMIFS(Settings!$AA$2:$AA$21,Settings!$Y$2:$Y$21,"Budget AED 5k+/mo?",Settings!$Z$2:$Z$21,Q316)+SUMIFS(Settings!$AA$2:$AA$21,Settings!$Y$2:$Y$21,"Decision-maker?",Settings!$Z$2:$Z$21,R316)+SUMIFS(Settings!$AA$2:$AA$21,Settings!$Y$2:$Y$21,"Someone on camera?",Settings!$Z$2:$Z$21,S316)+SUMIFS(Settings!$AA$2:$AA$21,Settings!$Y$2:$Y$21,"OK with 3-month term?",Settings!$Z$2:$Z$21,T316)+SUMIFS(Settings!$AA$2:$AA$21,Settings!$Y$2:$Y$21,"Start timeline",Settings!$Z$2:$Z$21,U316)+SUMIFS(Settings!$AA$2:$AA$21,Settings!$Y$2:$Y$21,"Social media gap",Settings!$Z$2:$Z$21,V316)+IF(F316="",0,IF(COUNTIF(Settings!$AC$2:$AC$6,F316)&gt;0,Settings!$AA$20,Settings!$AA$21)))</f>
        <v/>
      </c>
      <c r="X316" s="44" t="str">
        <f aca="false">IF(E316="","",IF(COUNTA(Q316:V316)=0,"Not scored",IF(COUNTA(Q316:V316)&lt;6,"Partly scored ("&amp;COUNTA(Q316:V316)&amp;"/6)",IF(W316&gt;=Settings!$S$8,"Hot",IF(W316&gt;=Settings!$S$9,"Warm","Cold")))))</f>
        <v/>
      </c>
      <c r="Y316" s="44" t="str">
        <f aca="false">IF(E316="","",IF(AND(Q316="No",S316="No"),"🚩 Budget  ·  🚩 No one on camera",IF(Q316="No","🚩 Budget under AED 5k",IF(S316="No","🚩 No one on camera",""))))</f>
        <v/>
      </c>
      <c r="Z316" s="17"/>
      <c r="AA316" s="17"/>
      <c r="AB316" s="40"/>
      <c r="AC316" s="17"/>
      <c r="AD316" s="45" t="str">
        <f aca="false">IF(OR(E316="",AB316="",OR(AA316="Contract signed + paid",AA316="Closed – No response",AA316="Lost"),N(AC316)&gt;=Settings!$S$3),"",AB316+Settings!$S$2)</f>
        <v/>
      </c>
      <c r="AE316" s="40"/>
      <c r="AF316" s="41"/>
      <c r="AG316" s="17"/>
      <c r="AH316" s="17"/>
      <c r="AI316" s="17"/>
      <c r="AJ316" s="46" t="str">
        <f aca="true">IF(OR(E316="",B316=""),"",INT(TODAY()-B316))</f>
        <v/>
      </c>
      <c r="AK316" s="44" t="str">
        <f aca="true">IF(E316="","",IF(OR(COUNTIFS(Clients!$C$2:$C$501,E316,Clients!$S$2:$S$501,"Paid")&gt;0,AND(I316&lt;&gt;"",COUNTIFS(Clients!$E$2:$E$501,I316,Clients!$S$2:$S$501,"Paid")&gt;0)),"⚠ Refunded before – no free video",IF(OR(AA316="Contract signed + paid",AA316="Closed – No response",AA316="Lost"),"",IF(AA316="","Set a stage",IF(AND(AA316="Proposal sent",COUNTA(Q316:V316)&lt;6),"Score this lead – proposal sent unscored",IF(N(AC316)&gt;=Settings!$S$3,"Close – 4 follow-ups sent",IF(AD316="",IF(AB316="","Make first contact",""),IF(TODAY()&gt;AD316,"OVERDUE follow-up",IF(TODAY()=AD316,"Follow up today","")))))))))</f>
        <v/>
      </c>
    </row>
    <row r="317" customFormat="false" ht="15" hidden="false" customHeight="false" outlineLevel="0" collapsed="false">
      <c r="A317" s="17"/>
      <c r="B317" s="40"/>
      <c r="C317" s="41"/>
      <c r="D317" s="17"/>
      <c r="E317" s="17"/>
      <c r="F317" s="17"/>
      <c r="G317" s="17"/>
      <c r="H317" s="17"/>
      <c r="I317" s="42"/>
      <c r="J317" s="17"/>
      <c r="K317" s="17"/>
      <c r="L317" s="17"/>
      <c r="M317" s="17"/>
      <c r="N317" s="40"/>
      <c r="O317" s="41"/>
      <c r="P317" s="43" t="str">
        <f aca="false">IF(OR(B317="",N317=""),"",ROUND(((N317+N(O317))-(B317+N(C317)))*24,1))</f>
        <v/>
      </c>
      <c r="Q317" s="17"/>
      <c r="R317" s="17"/>
      <c r="S317" s="17"/>
      <c r="T317" s="17"/>
      <c r="U317" s="17"/>
      <c r="V317" s="17"/>
      <c r="W317" s="44" t="str">
        <f aca="false">IF(OR(E317="",COUNTA(Q317:V317)=0),"",SUMIFS(Settings!$AA$2:$AA$21,Settings!$Y$2:$Y$21,"Budget AED 5k+/mo?",Settings!$Z$2:$Z$21,Q317)+SUMIFS(Settings!$AA$2:$AA$21,Settings!$Y$2:$Y$21,"Decision-maker?",Settings!$Z$2:$Z$21,R317)+SUMIFS(Settings!$AA$2:$AA$21,Settings!$Y$2:$Y$21,"Someone on camera?",Settings!$Z$2:$Z$21,S317)+SUMIFS(Settings!$AA$2:$AA$21,Settings!$Y$2:$Y$21,"OK with 3-month term?",Settings!$Z$2:$Z$21,T317)+SUMIFS(Settings!$AA$2:$AA$21,Settings!$Y$2:$Y$21,"Start timeline",Settings!$Z$2:$Z$21,U317)+SUMIFS(Settings!$AA$2:$AA$21,Settings!$Y$2:$Y$21,"Social media gap",Settings!$Z$2:$Z$21,V317)+IF(F317="",0,IF(COUNTIF(Settings!$AC$2:$AC$6,F317)&gt;0,Settings!$AA$20,Settings!$AA$21)))</f>
        <v/>
      </c>
      <c r="X317" s="44" t="str">
        <f aca="false">IF(E317="","",IF(COUNTA(Q317:V317)=0,"Not scored",IF(COUNTA(Q317:V317)&lt;6,"Partly scored ("&amp;COUNTA(Q317:V317)&amp;"/6)",IF(W317&gt;=Settings!$S$8,"Hot",IF(W317&gt;=Settings!$S$9,"Warm","Cold")))))</f>
        <v/>
      </c>
      <c r="Y317" s="44" t="str">
        <f aca="false">IF(E317="","",IF(AND(Q317="No",S317="No"),"🚩 Budget  ·  🚩 No one on camera",IF(Q317="No","🚩 Budget under AED 5k",IF(S317="No","🚩 No one on camera",""))))</f>
        <v/>
      </c>
      <c r="Z317" s="17"/>
      <c r="AA317" s="17"/>
      <c r="AB317" s="40"/>
      <c r="AC317" s="17"/>
      <c r="AD317" s="45" t="str">
        <f aca="false">IF(OR(E317="",AB317="",OR(AA317="Contract signed + paid",AA317="Closed – No response",AA317="Lost"),N(AC317)&gt;=Settings!$S$3),"",AB317+Settings!$S$2)</f>
        <v/>
      </c>
      <c r="AE317" s="40"/>
      <c r="AF317" s="41"/>
      <c r="AG317" s="17"/>
      <c r="AH317" s="17"/>
      <c r="AI317" s="17"/>
      <c r="AJ317" s="46" t="str">
        <f aca="true">IF(OR(E317="",B317=""),"",INT(TODAY()-B317))</f>
        <v/>
      </c>
      <c r="AK317" s="44" t="str">
        <f aca="true">IF(E317="","",IF(OR(COUNTIFS(Clients!$C$2:$C$501,E317,Clients!$S$2:$S$501,"Paid")&gt;0,AND(I317&lt;&gt;"",COUNTIFS(Clients!$E$2:$E$501,I317,Clients!$S$2:$S$501,"Paid")&gt;0)),"⚠ Refunded before – no free video",IF(OR(AA317="Contract signed + paid",AA317="Closed – No response",AA317="Lost"),"",IF(AA317="","Set a stage",IF(AND(AA317="Proposal sent",COUNTA(Q317:V317)&lt;6),"Score this lead – proposal sent unscored",IF(N(AC317)&gt;=Settings!$S$3,"Close – 4 follow-ups sent",IF(AD317="",IF(AB317="","Make first contact",""),IF(TODAY()&gt;AD317,"OVERDUE follow-up",IF(TODAY()=AD317,"Follow up today","")))))))))</f>
        <v/>
      </c>
    </row>
    <row r="318" customFormat="false" ht="15" hidden="false" customHeight="false" outlineLevel="0" collapsed="false">
      <c r="A318" s="17"/>
      <c r="B318" s="40"/>
      <c r="C318" s="41"/>
      <c r="D318" s="17"/>
      <c r="E318" s="17"/>
      <c r="F318" s="17"/>
      <c r="G318" s="17"/>
      <c r="H318" s="17"/>
      <c r="I318" s="42"/>
      <c r="J318" s="17"/>
      <c r="K318" s="17"/>
      <c r="L318" s="17"/>
      <c r="M318" s="17"/>
      <c r="N318" s="40"/>
      <c r="O318" s="41"/>
      <c r="P318" s="43" t="str">
        <f aca="false">IF(OR(B318="",N318=""),"",ROUND(((N318+N(O318))-(B318+N(C318)))*24,1))</f>
        <v/>
      </c>
      <c r="Q318" s="17"/>
      <c r="R318" s="17"/>
      <c r="S318" s="17"/>
      <c r="T318" s="17"/>
      <c r="U318" s="17"/>
      <c r="V318" s="17"/>
      <c r="W318" s="44" t="str">
        <f aca="false">IF(OR(E318="",COUNTA(Q318:V318)=0),"",SUMIFS(Settings!$AA$2:$AA$21,Settings!$Y$2:$Y$21,"Budget AED 5k+/mo?",Settings!$Z$2:$Z$21,Q318)+SUMIFS(Settings!$AA$2:$AA$21,Settings!$Y$2:$Y$21,"Decision-maker?",Settings!$Z$2:$Z$21,R318)+SUMIFS(Settings!$AA$2:$AA$21,Settings!$Y$2:$Y$21,"Someone on camera?",Settings!$Z$2:$Z$21,S318)+SUMIFS(Settings!$AA$2:$AA$21,Settings!$Y$2:$Y$21,"OK with 3-month term?",Settings!$Z$2:$Z$21,T318)+SUMIFS(Settings!$AA$2:$AA$21,Settings!$Y$2:$Y$21,"Start timeline",Settings!$Z$2:$Z$21,U318)+SUMIFS(Settings!$AA$2:$AA$21,Settings!$Y$2:$Y$21,"Social media gap",Settings!$Z$2:$Z$21,V318)+IF(F318="",0,IF(COUNTIF(Settings!$AC$2:$AC$6,F318)&gt;0,Settings!$AA$20,Settings!$AA$21)))</f>
        <v/>
      </c>
      <c r="X318" s="44" t="str">
        <f aca="false">IF(E318="","",IF(COUNTA(Q318:V318)=0,"Not scored",IF(COUNTA(Q318:V318)&lt;6,"Partly scored ("&amp;COUNTA(Q318:V318)&amp;"/6)",IF(W318&gt;=Settings!$S$8,"Hot",IF(W318&gt;=Settings!$S$9,"Warm","Cold")))))</f>
        <v/>
      </c>
      <c r="Y318" s="44" t="str">
        <f aca="false">IF(E318="","",IF(AND(Q318="No",S318="No"),"🚩 Budget  ·  🚩 No one on camera",IF(Q318="No","🚩 Budget under AED 5k",IF(S318="No","🚩 No one on camera",""))))</f>
        <v/>
      </c>
      <c r="Z318" s="17"/>
      <c r="AA318" s="17"/>
      <c r="AB318" s="40"/>
      <c r="AC318" s="17"/>
      <c r="AD318" s="45" t="str">
        <f aca="false">IF(OR(E318="",AB318="",OR(AA318="Contract signed + paid",AA318="Closed – No response",AA318="Lost"),N(AC318)&gt;=Settings!$S$3),"",AB318+Settings!$S$2)</f>
        <v/>
      </c>
      <c r="AE318" s="40"/>
      <c r="AF318" s="41"/>
      <c r="AG318" s="17"/>
      <c r="AH318" s="17"/>
      <c r="AI318" s="17"/>
      <c r="AJ318" s="46" t="str">
        <f aca="true">IF(OR(E318="",B318=""),"",INT(TODAY()-B318))</f>
        <v/>
      </c>
      <c r="AK318" s="44" t="str">
        <f aca="true">IF(E318="","",IF(OR(COUNTIFS(Clients!$C$2:$C$501,E318,Clients!$S$2:$S$501,"Paid")&gt;0,AND(I318&lt;&gt;"",COUNTIFS(Clients!$E$2:$E$501,I318,Clients!$S$2:$S$501,"Paid")&gt;0)),"⚠ Refunded before – no free video",IF(OR(AA318="Contract signed + paid",AA318="Closed – No response",AA318="Lost"),"",IF(AA318="","Set a stage",IF(AND(AA318="Proposal sent",COUNTA(Q318:V318)&lt;6),"Score this lead – proposal sent unscored",IF(N(AC318)&gt;=Settings!$S$3,"Close – 4 follow-ups sent",IF(AD318="",IF(AB318="","Make first contact",""),IF(TODAY()&gt;AD318,"OVERDUE follow-up",IF(TODAY()=AD318,"Follow up today","")))))))))</f>
        <v/>
      </c>
    </row>
    <row r="319" customFormat="false" ht="15" hidden="false" customHeight="false" outlineLevel="0" collapsed="false">
      <c r="A319" s="17"/>
      <c r="B319" s="40"/>
      <c r="C319" s="41"/>
      <c r="D319" s="17"/>
      <c r="E319" s="17"/>
      <c r="F319" s="17"/>
      <c r="G319" s="17"/>
      <c r="H319" s="17"/>
      <c r="I319" s="42"/>
      <c r="J319" s="17"/>
      <c r="K319" s="17"/>
      <c r="L319" s="17"/>
      <c r="M319" s="17"/>
      <c r="N319" s="40"/>
      <c r="O319" s="41"/>
      <c r="P319" s="43" t="str">
        <f aca="false">IF(OR(B319="",N319=""),"",ROUND(((N319+N(O319))-(B319+N(C319)))*24,1))</f>
        <v/>
      </c>
      <c r="Q319" s="17"/>
      <c r="R319" s="17"/>
      <c r="S319" s="17"/>
      <c r="T319" s="17"/>
      <c r="U319" s="17"/>
      <c r="V319" s="17"/>
      <c r="W319" s="44" t="str">
        <f aca="false">IF(OR(E319="",COUNTA(Q319:V319)=0),"",SUMIFS(Settings!$AA$2:$AA$21,Settings!$Y$2:$Y$21,"Budget AED 5k+/mo?",Settings!$Z$2:$Z$21,Q319)+SUMIFS(Settings!$AA$2:$AA$21,Settings!$Y$2:$Y$21,"Decision-maker?",Settings!$Z$2:$Z$21,R319)+SUMIFS(Settings!$AA$2:$AA$21,Settings!$Y$2:$Y$21,"Someone on camera?",Settings!$Z$2:$Z$21,S319)+SUMIFS(Settings!$AA$2:$AA$21,Settings!$Y$2:$Y$21,"OK with 3-month term?",Settings!$Z$2:$Z$21,T319)+SUMIFS(Settings!$AA$2:$AA$21,Settings!$Y$2:$Y$21,"Start timeline",Settings!$Z$2:$Z$21,U319)+SUMIFS(Settings!$AA$2:$AA$21,Settings!$Y$2:$Y$21,"Social media gap",Settings!$Z$2:$Z$21,V319)+IF(F319="",0,IF(COUNTIF(Settings!$AC$2:$AC$6,F319)&gt;0,Settings!$AA$20,Settings!$AA$21)))</f>
        <v/>
      </c>
      <c r="X319" s="44" t="str">
        <f aca="false">IF(E319="","",IF(COUNTA(Q319:V319)=0,"Not scored",IF(COUNTA(Q319:V319)&lt;6,"Partly scored ("&amp;COUNTA(Q319:V319)&amp;"/6)",IF(W319&gt;=Settings!$S$8,"Hot",IF(W319&gt;=Settings!$S$9,"Warm","Cold")))))</f>
        <v/>
      </c>
      <c r="Y319" s="44" t="str">
        <f aca="false">IF(E319="","",IF(AND(Q319="No",S319="No"),"🚩 Budget  ·  🚩 No one on camera",IF(Q319="No","🚩 Budget under AED 5k",IF(S319="No","🚩 No one on camera",""))))</f>
        <v/>
      </c>
      <c r="Z319" s="17"/>
      <c r="AA319" s="17"/>
      <c r="AB319" s="40"/>
      <c r="AC319" s="17"/>
      <c r="AD319" s="45" t="str">
        <f aca="false">IF(OR(E319="",AB319="",OR(AA319="Contract signed + paid",AA319="Closed – No response",AA319="Lost"),N(AC319)&gt;=Settings!$S$3),"",AB319+Settings!$S$2)</f>
        <v/>
      </c>
      <c r="AE319" s="40"/>
      <c r="AF319" s="41"/>
      <c r="AG319" s="17"/>
      <c r="AH319" s="17"/>
      <c r="AI319" s="17"/>
      <c r="AJ319" s="46" t="str">
        <f aca="true">IF(OR(E319="",B319=""),"",INT(TODAY()-B319))</f>
        <v/>
      </c>
      <c r="AK319" s="44" t="str">
        <f aca="true">IF(E319="","",IF(OR(COUNTIFS(Clients!$C$2:$C$501,E319,Clients!$S$2:$S$501,"Paid")&gt;0,AND(I319&lt;&gt;"",COUNTIFS(Clients!$E$2:$E$501,I319,Clients!$S$2:$S$501,"Paid")&gt;0)),"⚠ Refunded before – no free video",IF(OR(AA319="Contract signed + paid",AA319="Closed – No response",AA319="Lost"),"",IF(AA319="","Set a stage",IF(AND(AA319="Proposal sent",COUNTA(Q319:V319)&lt;6),"Score this lead – proposal sent unscored",IF(N(AC319)&gt;=Settings!$S$3,"Close – 4 follow-ups sent",IF(AD319="",IF(AB319="","Make first contact",""),IF(TODAY()&gt;AD319,"OVERDUE follow-up",IF(TODAY()=AD319,"Follow up today","")))))))))</f>
        <v/>
      </c>
    </row>
    <row r="320" customFormat="false" ht="15" hidden="false" customHeight="false" outlineLevel="0" collapsed="false">
      <c r="A320" s="17"/>
      <c r="B320" s="40"/>
      <c r="C320" s="41"/>
      <c r="D320" s="17"/>
      <c r="E320" s="17"/>
      <c r="F320" s="17"/>
      <c r="G320" s="17"/>
      <c r="H320" s="17"/>
      <c r="I320" s="42"/>
      <c r="J320" s="17"/>
      <c r="K320" s="17"/>
      <c r="L320" s="17"/>
      <c r="M320" s="17"/>
      <c r="N320" s="40"/>
      <c r="O320" s="41"/>
      <c r="P320" s="43" t="str">
        <f aca="false">IF(OR(B320="",N320=""),"",ROUND(((N320+N(O320))-(B320+N(C320)))*24,1))</f>
        <v/>
      </c>
      <c r="Q320" s="17"/>
      <c r="R320" s="17"/>
      <c r="S320" s="17"/>
      <c r="T320" s="17"/>
      <c r="U320" s="17"/>
      <c r="V320" s="17"/>
      <c r="W320" s="44" t="str">
        <f aca="false">IF(OR(E320="",COUNTA(Q320:V320)=0),"",SUMIFS(Settings!$AA$2:$AA$21,Settings!$Y$2:$Y$21,"Budget AED 5k+/mo?",Settings!$Z$2:$Z$21,Q320)+SUMIFS(Settings!$AA$2:$AA$21,Settings!$Y$2:$Y$21,"Decision-maker?",Settings!$Z$2:$Z$21,R320)+SUMIFS(Settings!$AA$2:$AA$21,Settings!$Y$2:$Y$21,"Someone on camera?",Settings!$Z$2:$Z$21,S320)+SUMIFS(Settings!$AA$2:$AA$21,Settings!$Y$2:$Y$21,"OK with 3-month term?",Settings!$Z$2:$Z$21,T320)+SUMIFS(Settings!$AA$2:$AA$21,Settings!$Y$2:$Y$21,"Start timeline",Settings!$Z$2:$Z$21,U320)+SUMIFS(Settings!$AA$2:$AA$21,Settings!$Y$2:$Y$21,"Social media gap",Settings!$Z$2:$Z$21,V320)+IF(F320="",0,IF(COUNTIF(Settings!$AC$2:$AC$6,F320)&gt;0,Settings!$AA$20,Settings!$AA$21)))</f>
        <v/>
      </c>
      <c r="X320" s="44" t="str">
        <f aca="false">IF(E320="","",IF(COUNTA(Q320:V320)=0,"Not scored",IF(COUNTA(Q320:V320)&lt;6,"Partly scored ("&amp;COUNTA(Q320:V320)&amp;"/6)",IF(W320&gt;=Settings!$S$8,"Hot",IF(W320&gt;=Settings!$S$9,"Warm","Cold")))))</f>
        <v/>
      </c>
      <c r="Y320" s="44" t="str">
        <f aca="false">IF(E320="","",IF(AND(Q320="No",S320="No"),"🚩 Budget  ·  🚩 No one on camera",IF(Q320="No","🚩 Budget under AED 5k",IF(S320="No","🚩 No one on camera",""))))</f>
        <v/>
      </c>
      <c r="Z320" s="17"/>
      <c r="AA320" s="17"/>
      <c r="AB320" s="40"/>
      <c r="AC320" s="17"/>
      <c r="AD320" s="45" t="str">
        <f aca="false">IF(OR(E320="",AB320="",OR(AA320="Contract signed + paid",AA320="Closed – No response",AA320="Lost"),N(AC320)&gt;=Settings!$S$3),"",AB320+Settings!$S$2)</f>
        <v/>
      </c>
      <c r="AE320" s="40"/>
      <c r="AF320" s="41"/>
      <c r="AG320" s="17"/>
      <c r="AH320" s="17"/>
      <c r="AI320" s="17"/>
      <c r="AJ320" s="46" t="str">
        <f aca="true">IF(OR(E320="",B320=""),"",INT(TODAY()-B320))</f>
        <v/>
      </c>
      <c r="AK320" s="44" t="str">
        <f aca="true">IF(E320="","",IF(OR(COUNTIFS(Clients!$C$2:$C$501,E320,Clients!$S$2:$S$501,"Paid")&gt;0,AND(I320&lt;&gt;"",COUNTIFS(Clients!$E$2:$E$501,I320,Clients!$S$2:$S$501,"Paid")&gt;0)),"⚠ Refunded before – no free video",IF(OR(AA320="Contract signed + paid",AA320="Closed – No response",AA320="Lost"),"",IF(AA320="","Set a stage",IF(AND(AA320="Proposal sent",COUNTA(Q320:V320)&lt;6),"Score this lead – proposal sent unscored",IF(N(AC320)&gt;=Settings!$S$3,"Close – 4 follow-ups sent",IF(AD320="",IF(AB320="","Make first contact",""),IF(TODAY()&gt;AD320,"OVERDUE follow-up",IF(TODAY()=AD320,"Follow up today","")))))))))</f>
        <v/>
      </c>
    </row>
    <row r="321" customFormat="false" ht="15" hidden="false" customHeight="false" outlineLevel="0" collapsed="false">
      <c r="A321" s="17"/>
      <c r="B321" s="40"/>
      <c r="C321" s="41"/>
      <c r="D321" s="17"/>
      <c r="E321" s="17"/>
      <c r="F321" s="17"/>
      <c r="G321" s="17"/>
      <c r="H321" s="17"/>
      <c r="I321" s="42"/>
      <c r="J321" s="17"/>
      <c r="K321" s="17"/>
      <c r="L321" s="17"/>
      <c r="M321" s="17"/>
      <c r="N321" s="40"/>
      <c r="O321" s="41"/>
      <c r="P321" s="43" t="str">
        <f aca="false">IF(OR(B321="",N321=""),"",ROUND(((N321+N(O321))-(B321+N(C321)))*24,1))</f>
        <v/>
      </c>
      <c r="Q321" s="17"/>
      <c r="R321" s="17"/>
      <c r="S321" s="17"/>
      <c r="T321" s="17"/>
      <c r="U321" s="17"/>
      <c r="V321" s="17"/>
      <c r="W321" s="44" t="str">
        <f aca="false">IF(OR(E321="",COUNTA(Q321:V321)=0),"",SUMIFS(Settings!$AA$2:$AA$21,Settings!$Y$2:$Y$21,"Budget AED 5k+/mo?",Settings!$Z$2:$Z$21,Q321)+SUMIFS(Settings!$AA$2:$AA$21,Settings!$Y$2:$Y$21,"Decision-maker?",Settings!$Z$2:$Z$21,R321)+SUMIFS(Settings!$AA$2:$AA$21,Settings!$Y$2:$Y$21,"Someone on camera?",Settings!$Z$2:$Z$21,S321)+SUMIFS(Settings!$AA$2:$AA$21,Settings!$Y$2:$Y$21,"OK with 3-month term?",Settings!$Z$2:$Z$21,T321)+SUMIFS(Settings!$AA$2:$AA$21,Settings!$Y$2:$Y$21,"Start timeline",Settings!$Z$2:$Z$21,U321)+SUMIFS(Settings!$AA$2:$AA$21,Settings!$Y$2:$Y$21,"Social media gap",Settings!$Z$2:$Z$21,V321)+IF(F321="",0,IF(COUNTIF(Settings!$AC$2:$AC$6,F321)&gt;0,Settings!$AA$20,Settings!$AA$21)))</f>
        <v/>
      </c>
      <c r="X321" s="44" t="str">
        <f aca="false">IF(E321="","",IF(COUNTA(Q321:V321)=0,"Not scored",IF(COUNTA(Q321:V321)&lt;6,"Partly scored ("&amp;COUNTA(Q321:V321)&amp;"/6)",IF(W321&gt;=Settings!$S$8,"Hot",IF(W321&gt;=Settings!$S$9,"Warm","Cold")))))</f>
        <v/>
      </c>
      <c r="Y321" s="44" t="str">
        <f aca="false">IF(E321="","",IF(AND(Q321="No",S321="No"),"🚩 Budget  ·  🚩 No one on camera",IF(Q321="No","🚩 Budget under AED 5k",IF(S321="No","🚩 No one on camera",""))))</f>
        <v/>
      </c>
      <c r="Z321" s="17"/>
      <c r="AA321" s="17"/>
      <c r="AB321" s="40"/>
      <c r="AC321" s="17"/>
      <c r="AD321" s="45" t="str">
        <f aca="false">IF(OR(E321="",AB321="",OR(AA321="Contract signed + paid",AA321="Closed – No response",AA321="Lost"),N(AC321)&gt;=Settings!$S$3),"",AB321+Settings!$S$2)</f>
        <v/>
      </c>
      <c r="AE321" s="40"/>
      <c r="AF321" s="41"/>
      <c r="AG321" s="17"/>
      <c r="AH321" s="17"/>
      <c r="AI321" s="17"/>
      <c r="AJ321" s="46" t="str">
        <f aca="true">IF(OR(E321="",B321=""),"",INT(TODAY()-B321))</f>
        <v/>
      </c>
      <c r="AK321" s="44" t="str">
        <f aca="true">IF(E321="","",IF(OR(COUNTIFS(Clients!$C$2:$C$501,E321,Clients!$S$2:$S$501,"Paid")&gt;0,AND(I321&lt;&gt;"",COUNTIFS(Clients!$E$2:$E$501,I321,Clients!$S$2:$S$501,"Paid")&gt;0)),"⚠ Refunded before – no free video",IF(OR(AA321="Contract signed + paid",AA321="Closed – No response",AA321="Lost"),"",IF(AA321="","Set a stage",IF(AND(AA321="Proposal sent",COUNTA(Q321:V321)&lt;6),"Score this lead – proposal sent unscored",IF(N(AC321)&gt;=Settings!$S$3,"Close – 4 follow-ups sent",IF(AD321="",IF(AB321="","Make first contact",""),IF(TODAY()&gt;AD321,"OVERDUE follow-up",IF(TODAY()=AD321,"Follow up today","")))))))))</f>
        <v/>
      </c>
    </row>
    <row r="322" customFormat="false" ht="15" hidden="false" customHeight="false" outlineLevel="0" collapsed="false">
      <c r="A322" s="17"/>
      <c r="B322" s="40"/>
      <c r="C322" s="41"/>
      <c r="D322" s="17"/>
      <c r="E322" s="17"/>
      <c r="F322" s="17"/>
      <c r="G322" s="17"/>
      <c r="H322" s="17"/>
      <c r="I322" s="42"/>
      <c r="J322" s="17"/>
      <c r="K322" s="17"/>
      <c r="L322" s="17"/>
      <c r="M322" s="17"/>
      <c r="N322" s="40"/>
      <c r="O322" s="41"/>
      <c r="P322" s="43" t="str">
        <f aca="false">IF(OR(B322="",N322=""),"",ROUND(((N322+N(O322))-(B322+N(C322)))*24,1))</f>
        <v/>
      </c>
      <c r="Q322" s="17"/>
      <c r="R322" s="17"/>
      <c r="S322" s="17"/>
      <c r="T322" s="17"/>
      <c r="U322" s="17"/>
      <c r="V322" s="17"/>
      <c r="W322" s="44" t="str">
        <f aca="false">IF(OR(E322="",COUNTA(Q322:V322)=0),"",SUMIFS(Settings!$AA$2:$AA$21,Settings!$Y$2:$Y$21,"Budget AED 5k+/mo?",Settings!$Z$2:$Z$21,Q322)+SUMIFS(Settings!$AA$2:$AA$21,Settings!$Y$2:$Y$21,"Decision-maker?",Settings!$Z$2:$Z$21,R322)+SUMIFS(Settings!$AA$2:$AA$21,Settings!$Y$2:$Y$21,"Someone on camera?",Settings!$Z$2:$Z$21,S322)+SUMIFS(Settings!$AA$2:$AA$21,Settings!$Y$2:$Y$21,"OK with 3-month term?",Settings!$Z$2:$Z$21,T322)+SUMIFS(Settings!$AA$2:$AA$21,Settings!$Y$2:$Y$21,"Start timeline",Settings!$Z$2:$Z$21,U322)+SUMIFS(Settings!$AA$2:$AA$21,Settings!$Y$2:$Y$21,"Social media gap",Settings!$Z$2:$Z$21,V322)+IF(F322="",0,IF(COUNTIF(Settings!$AC$2:$AC$6,F322)&gt;0,Settings!$AA$20,Settings!$AA$21)))</f>
        <v/>
      </c>
      <c r="X322" s="44" t="str">
        <f aca="false">IF(E322="","",IF(COUNTA(Q322:V322)=0,"Not scored",IF(COUNTA(Q322:V322)&lt;6,"Partly scored ("&amp;COUNTA(Q322:V322)&amp;"/6)",IF(W322&gt;=Settings!$S$8,"Hot",IF(W322&gt;=Settings!$S$9,"Warm","Cold")))))</f>
        <v/>
      </c>
      <c r="Y322" s="44" t="str">
        <f aca="false">IF(E322="","",IF(AND(Q322="No",S322="No"),"🚩 Budget  ·  🚩 No one on camera",IF(Q322="No","🚩 Budget under AED 5k",IF(S322="No","🚩 No one on camera",""))))</f>
        <v/>
      </c>
      <c r="Z322" s="17"/>
      <c r="AA322" s="17"/>
      <c r="AB322" s="40"/>
      <c r="AC322" s="17"/>
      <c r="AD322" s="45" t="str">
        <f aca="false">IF(OR(E322="",AB322="",OR(AA322="Contract signed + paid",AA322="Closed – No response",AA322="Lost"),N(AC322)&gt;=Settings!$S$3),"",AB322+Settings!$S$2)</f>
        <v/>
      </c>
      <c r="AE322" s="40"/>
      <c r="AF322" s="41"/>
      <c r="AG322" s="17"/>
      <c r="AH322" s="17"/>
      <c r="AI322" s="17"/>
      <c r="AJ322" s="46" t="str">
        <f aca="true">IF(OR(E322="",B322=""),"",INT(TODAY()-B322))</f>
        <v/>
      </c>
      <c r="AK322" s="44" t="str">
        <f aca="true">IF(E322="","",IF(OR(COUNTIFS(Clients!$C$2:$C$501,E322,Clients!$S$2:$S$501,"Paid")&gt;0,AND(I322&lt;&gt;"",COUNTIFS(Clients!$E$2:$E$501,I322,Clients!$S$2:$S$501,"Paid")&gt;0)),"⚠ Refunded before – no free video",IF(OR(AA322="Contract signed + paid",AA322="Closed – No response",AA322="Lost"),"",IF(AA322="","Set a stage",IF(AND(AA322="Proposal sent",COUNTA(Q322:V322)&lt;6),"Score this lead – proposal sent unscored",IF(N(AC322)&gt;=Settings!$S$3,"Close – 4 follow-ups sent",IF(AD322="",IF(AB322="","Make first contact",""),IF(TODAY()&gt;AD322,"OVERDUE follow-up",IF(TODAY()=AD322,"Follow up today","")))))))))</f>
        <v/>
      </c>
    </row>
    <row r="323" customFormat="false" ht="15" hidden="false" customHeight="false" outlineLevel="0" collapsed="false">
      <c r="A323" s="17"/>
      <c r="B323" s="40"/>
      <c r="C323" s="41"/>
      <c r="D323" s="17"/>
      <c r="E323" s="17"/>
      <c r="F323" s="17"/>
      <c r="G323" s="17"/>
      <c r="H323" s="17"/>
      <c r="I323" s="42"/>
      <c r="J323" s="17"/>
      <c r="K323" s="17"/>
      <c r="L323" s="17"/>
      <c r="M323" s="17"/>
      <c r="N323" s="40"/>
      <c r="O323" s="41"/>
      <c r="P323" s="43" t="str">
        <f aca="false">IF(OR(B323="",N323=""),"",ROUND(((N323+N(O323))-(B323+N(C323)))*24,1))</f>
        <v/>
      </c>
      <c r="Q323" s="17"/>
      <c r="R323" s="17"/>
      <c r="S323" s="17"/>
      <c r="T323" s="17"/>
      <c r="U323" s="17"/>
      <c r="V323" s="17"/>
      <c r="W323" s="44" t="str">
        <f aca="false">IF(OR(E323="",COUNTA(Q323:V323)=0),"",SUMIFS(Settings!$AA$2:$AA$21,Settings!$Y$2:$Y$21,"Budget AED 5k+/mo?",Settings!$Z$2:$Z$21,Q323)+SUMIFS(Settings!$AA$2:$AA$21,Settings!$Y$2:$Y$21,"Decision-maker?",Settings!$Z$2:$Z$21,R323)+SUMIFS(Settings!$AA$2:$AA$21,Settings!$Y$2:$Y$21,"Someone on camera?",Settings!$Z$2:$Z$21,S323)+SUMIFS(Settings!$AA$2:$AA$21,Settings!$Y$2:$Y$21,"OK with 3-month term?",Settings!$Z$2:$Z$21,T323)+SUMIFS(Settings!$AA$2:$AA$21,Settings!$Y$2:$Y$21,"Start timeline",Settings!$Z$2:$Z$21,U323)+SUMIFS(Settings!$AA$2:$AA$21,Settings!$Y$2:$Y$21,"Social media gap",Settings!$Z$2:$Z$21,V323)+IF(F323="",0,IF(COUNTIF(Settings!$AC$2:$AC$6,F323)&gt;0,Settings!$AA$20,Settings!$AA$21)))</f>
        <v/>
      </c>
      <c r="X323" s="44" t="str">
        <f aca="false">IF(E323="","",IF(COUNTA(Q323:V323)=0,"Not scored",IF(COUNTA(Q323:V323)&lt;6,"Partly scored ("&amp;COUNTA(Q323:V323)&amp;"/6)",IF(W323&gt;=Settings!$S$8,"Hot",IF(W323&gt;=Settings!$S$9,"Warm","Cold")))))</f>
        <v/>
      </c>
      <c r="Y323" s="44" t="str">
        <f aca="false">IF(E323="","",IF(AND(Q323="No",S323="No"),"🚩 Budget  ·  🚩 No one on camera",IF(Q323="No","🚩 Budget under AED 5k",IF(S323="No","🚩 No one on camera",""))))</f>
        <v/>
      </c>
      <c r="Z323" s="17"/>
      <c r="AA323" s="17"/>
      <c r="AB323" s="40"/>
      <c r="AC323" s="17"/>
      <c r="AD323" s="45" t="str">
        <f aca="false">IF(OR(E323="",AB323="",OR(AA323="Contract signed + paid",AA323="Closed – No response",AA323="Lost"),N(AC323)&gt;=Settings!$S$3),"",AB323+Settings!$S$2)</f>
        <v/>
      </c>
      <c r="AE323" s="40"/>
      <c r="AF323" s="41"/>
      <c r="AG323" s="17"/>
      <c r="AH323" s="17"/>
      <c r="AI323" s="17"/>
      <c r="AJ323" s="46" t="str">
        <f aca="true">IF(OR(E323="",B323=""),"",INT(TODAY()-B323))</f>
        <v/>
      </c>
      <c r="AK323" s="44" t="str">
        <f aca="true">IF(E323="","",IF(OR(COUNTIFS(Clients!$C$2:$C$501,E323,Clients!$S$2:$S$501,"Paid")&gt;0,AND(I323&lt;&gt;"",COUNTIFS(Clients!$E$2:$E$501,I323,Clients!$S$2:$S$501,"Paid")&gt;0)),"⚠ Refunded before – no free video",IF(OR(AA323="Contract signed + paid",AA323="Closed – No response",AA323="Lost"),"",IF(AA323="","Set a stage",IF(AND(AA323="Proposal sent",COUNTA(Q323:V323)&lt;6),"Score this lead – proposal sent unscored",IF(N(AC323)&gt;=Settings!$S$3,"Close – 4 follow-ups sent",IF(AD323="",IF(AB323="","Make first contact",""),IF(TODAY()&gt;AD323,"OVERDUE follow-up",IF(TODAY()=AD323,"Follow up today","")))))))))</f>
        <v/>
      </c>
    </row>
    <row r="324" customFormat="false" ht="15" hidden="false" customHeight="false" outlineLevel="0" collapsed="false">
      <c r="A324" s="17"/>
      <c r="B324" s="40"/>
      <c r="C324" s="41"/>
      <c r="D324" s="17"/>
      <c r="E324" s="17"/>
      <c r="F324" s="17"/>
      <c r="G324" s="17"/>
      <c r="H324" s="17"/>
      <c r="I324" s="42"/>
      <c r="J324" s="17"/>
      <c r="K324" s="17"/>
      <c r="L324" s="17"/>
      <c r="M324" s="17"/>
      <c r="N324" s="40"/>
      <c r="O324" s="41"/>
      <c r="P324" s="43" t="str">
        <f aca="false">IF(OR(B324="",N324=""),"",ROUND(((N324+N(O324))-(B324+N(C324)))*24,1))</f>
        <v/>
      </c>
      <c r="Q324" s="17"/>
      <c r="R324" s="17"/>
      <c r="S324" s="17"/>
      <c r="T324" s="17"/>
      <c r="U324" s="17"/>
      <c r="V324" s="17"/>
      <c r="W324" s="44" t="str">
        <f aca="false">IF(OR(E324="",COUNTA(Q324:V324)=0),"",SUMIFS(Settings!$AA$2:$AA$21,Settings!$Y$2:$Y$21,"Budget AED 5k+/mo?",Settings!$Z$2:$Z$21,Q324)+SUMIFS(Settings!$AA$2:$AA$21,Settings!$Y$2:$Y$21,"Decision-maker?",Settings!$Z$2:$Z$21,R324)+SUMIFS(Settings!$AA$2:$AA$21,Settings!$Y$2:$Y$21,"Someone on camera?",Settings!$Z$2:$Z$21,S324)+SUMIFS(Settings!$AA$2:$AA$21,Settings!$Y$2:$Y$21,"OK with 3-month term?",Settings!$Z$2:$Z$21,T324)+SUMIFS(Settings!$AA$2:$AA$21,Settings!$Y$2:$Y$21,"Start timeline",Settings!$Z$2:$Z$21,U324)+SUMIFS(Settings!$AA$2:$AA$21,Settings!$Y$2:$Y$21,"Social media gap",Settings!$Z$2:$Z$21,V324)+IF(F324="",0,IF(COUNTIF(Settings!$AC$2:$AC$6,F324)&gt;0,Settings!$AA$20,Settings!$AA$21)))</f>
        <v/>
      </c>
      <c r="X324" s="44" t="str">
        <f aca="false">IF(E324="","",IF(COUNTA(Q324:V324)=0,"Not scored",IF(COUNTA(Q324:V324)&lt;6,"Partly scored ("&amp;COUNTA(Q324:V324)&amp;"/6)",IF(W324&gt;=Settings!$S$8,"Hot",IF(W324&gt;=Settings!$S$9,"Warm","Cold")))))</f>
        <v/>
      </c>
      <c r="Y324" s="44" t="str">
        <f aca="false">IF(E324="","",IF(AND(Q324="No",S324="No"),"🚩 Budget  ·  🚩 No one on camera",IF(Q324="No","🚩 Budget under AED 5k",IF(S324="No","🚩 No one on camera",""))))</f>
        <v/>
      </c>
      <c r="Z324" s="17"/>
      <c r="AA324" s="17"/>
      <c r="AB324" s="40"/>
      <c r="AC324" s="17"/>
      <c r="AD324" s="45" t="str">
        <f aca="false">IF(OR(E324="",AB324="",OR(AA324="Contract signed + paid",AA324="Closed – No response",AA324="Lost"),N(AC324)&gt;=Settings!$S$3),"",AB324+Settings!$S$2)</f>
        <v/>
      </c>
      <c r="AE324" s="40"/>
      <c r="AF324" s="41"/>
      <c r="AG324" s="17"/>
      <c r="AH324" s="17"/>
      <c r="AI324" s="17"/>
      <c r="AJ324" s="46" t="str">
        <f aca="true">IF(OR(E324="",B324=""),"",INT(TODAY()-B324))</f>
        <v/>
      </c>
      <c r="AK324" s="44" t="str">
        <f aca="true">IF(E324="","",IF(OR(COUNTIFS(Clients!$C$2:$C$501,E324,Clients!$S$2:$S$501,"Paid")&gt;0,AND(I324&lt;&gt;"",COUNTIFS(Clients!$E$2:$E$501,I324,Clients!$S$2:$S$501,"Paid")&gt;0)),"⚠ Refunded before – no free video",IF(OR(AA324="Contract signed + paid",AA324="Closed – No response",AA324="Lost"),"",IF(AA324="","Set a stage",IF(AND(AA324="Proposal sent",COUNTA(Q324:V324)&lt;6),"Score this lead – proposal sent unscored",IF(N(AC324)&gt;=Settings!$S$3,"Close – 4 follow-ups sent",IF(AD324="",IF(AB324="","Make first contact",""),IF(TODAY()&gt;AD324,"OVERDUE follow-up",IF(TODAY()=AD324,"Follow up today","")))))))))</f>
        <v/>
      </c>
    </row>
    <row r="325" customFormat="false" ht="15" hidden="false" customHeight="false" outlineLevel="0" collapsed="false">
      <c r="A325" s="17"/>
      <c r="B325" s="40"/>
      <c r="C325" s="41"/>
      <c r="D325" s="17"/>
      <c r="E325" s="17"/>
      <c r="F325" s="17"/>
      <c r="G325" s="17"/>
      <c r="H325" s="17"/>
      <c r="I325" s="42"/>
      <c r="J325" s="17"/>
      <c r="K325" s="17"/>
      <c r="L325" s="17"/>
      <c r="M325" s="17"/>
      <c r="N325" s="40"/>
      <c r="O325" s="41"/>
      <c r="P325" s="43" t="str">
        <f aca="false">IF(OR(B325="",N325=""),"",ROUND(((N325+N(O325))-(B325+N(C325)))*24,1))</f>
        <v/>
      </c>
      <c r="Q325" s="17"/>
      <c r="R325" s="17"/>
      <c r="S325" s="17"/>
      <c r="T325" s="17"/>
      <c r="U325" s="17"/>
      <c r="V325" s="17"/>
      <c r="W325" s="44" t="str">
        <f aca="false">IF(OR(E325="",COUNTA(Q325:V325)=0),"",SUMIFS(Settings!$AA$2:$AA$21,Settings!$Y$2:$Y$21,"Budget AED 5k+/mo?",Settings!$Z$2:$Z$21,Q325)+SUMIFS(Settings!$AA$2:$AA$21,Settings!$Y$2:$Y$21,"Decision-maker?",Settings!$Z$2:$Z$21,R325)+SUMIFS(Settings!$AA$2:$AA$21,Settings!$Y$2:$Y$21,"Someone on camera?",Settings!$Z$2:$Z$21,S325)+SUMIFS(Settings!$AA$2:$AA$21,Settings!$Y$2:$Y$21,"OK with 3-month term?",Settings!$Z$2:$Z$21,T325)+SUMIFS(Settings!$AA$2:$AA$21,Settings!$Y$2:$Y$21,"Start timeline",Settings!$Z$2:$Z$21,U325)+SUMIFS(Settings!$AA$2:$AA$21,Settings!$Y$2:$Y$21,"Social media gap",Settings!$Z$2:$Z$21,V325)+IF(F325="",0,IF(COUNTIF(Settings!$AC$2:$AC$6,F325)&gt;0,Settings!$AA$20,Settings!$AA$21)))</f>
        <v/>
      </c>
      <c r="X325" s="44" t="str">
        <f aca="false">IF(E325="","",IF(COUNTA(Q325:V325)=0,"Not scored",IF(COUNTA(Q325:V325)&lt;6,"Partly scored ("&amp;COUNTA(Q325:V325)&amp;"/6)",IF(W325&gt;=Settings!$S$8,"Hot",IF(W325&gt;=Settings!$S$9,"Warm","Cold")))))</f>
        <v/>
      </c>
      <c r="Y325" s="44" t="str">
        <f aca="false">IF(E325="","",IF(AND(Q325="No",S325="No"),"🚩 Budget  ·  🚩 No one on camera",IF(Q325="No","🚩 Budget under AED 5k",IF(S325="No","🚩 No one on camera",""))))</f>
        <v/>
      </c>
      <c r="Z325" s="17"/>
      <c r="AA325" s="17"/>
      <c r="AB325" s="40"/>
      <c r="AC325" s="17"/>
      <c r="AD325" s="45" t="str">
        <f aca="false">IF(OR(E325="",AB325="",OR(AA325="Contract signed + paid",AA325="Closed – No response",AA325="Lost"),N(AC325)&gt;=Settings!$S$3),"",AB325+Settings!$S$2)</f>
        <v/>
      </c>
      <c r="AE325" s="40"/>
      <c r="AF325" s="41"/>
      <c r="AG325" s="17"/>
      <c r="AH325" s="17"/>
      <c r="AI325" s="17"/>
      <c r="AJ325" s="46" t="str">
        <f aca="true">IF(OR(E325="",B325=""),"",INT(TODAY()-B325))</f>
        <v/>
      </c>
      <c r="AK325" s="44" t="str">
        <f aca="true">IF(E325="","",IF(OR(COUNTIFS(Clients!$C$2:$C$501,E325,Clients!$S$2:$S$501,"Paid")&gt;0,AND(I325&lt;&gt;"",COUNTIFS(Clients!$E$2:$E$501,I325,Clients!$S$2:$S$501,"Paid")&gt;0)),"⚠ Refunded before – no free video",IF(OR(AA325="Contract signed + paid",AA325="Closed – No response",AA325="Lost"),"",IF(AA325="","Set a stage",IF(AND(AA325="Proposal sent",COUNTA(Q325:V325)&lt;6),"Score this lead – proposal sent unscored",IF(N(AC325)&gt;=Settings!$S$3,"Close – 4 follow-ups sent",IF(AD325="",IF(AB325="","Make first contact",""),IF(TODAY()&gt;AD325,"OVERDUE follow-up",IF(TODAY()=AD325,"Follow up today","")))))))))</f>
        <v/>
      </c>
    </row>
    <row r="326" customFormat="false" ht="15" hidden="false" customHeight="false" outlineLevel="0" collapsed="false">
      <c r="A326" s="17"/>
      <c r="B326" s="40"/>
      <c r="C326" s="41"/>
      <c r="D326" s="17"/>
      <c r="E326" s="17"/>
      <c r="F326" s="17"/>
      <c r="G326" s="17"/>
      <c r="H326" s="17"/>
      <c r="I326" s="42"/>
      <c r="J326" s="17"/>
      <c r="K326" s="17"/>
      <c r="L326" s="17"/>
      <c r="M326" s="17"/>
      <c r="N326" s="40"/>
      <c r="O326" s="41"/>
      <c r="P326" s="43" t="str">
        <f aca="false">IF(OR(B326="",N326=""),"",ROUND(((N326+N(O326))-(B326+N(C326)))*24,1))</f>
        <v/>
      </c>
      <c r="Q326" s="17"/>
      <c r="R326" s="17"/>
      <c r="S326" s="17"/>
      <c r="T326" s="17"/>
      <c r="U326" s="17"/>
      <c r="V326" s="17"/>
      <c r="W326" s="44" t="str">
        <f aca="false">IF(OR(E326="",COUNTA(Q326:V326)=0),"",SUMIFS(Settings!$AA$2:$AA$21,Settings!$Y$2:$Y$21,"Budget AED 5k+/mo?",Settings!$Z$2:$Z$21,Q326)+SUMIFS(Settings!$AA$2:$AA$21,Settings!$Y$2:$Y$21,"Decision-maker?",Settings!$Z$2:$Z$21,R326)+SUMIFS(Settings!$AA$2:$AA$21,Settings!$Y$2:$Y$21,"Someone on camera?",Settings!$Z$2:$Z$21,S326)+SUMIFS(Settings!$AA$2:$AA$21,Settings!$Y$2:$Y$21,"OK with 3-month term?",Settings!$Z$2:$Z$21,T326)+SUMIFS(Settings!$AA$2:$AA$21,Settings!$Y$2:$Y$21,"Start timeline",Settings!$Z$2:$Z$21,U326)+SUMIFS(Settings!$AA$2:$AA$21,Settings!$Y$2:$Y$21,"Social media gap",Settings!$Z$2:$Z$21,V326)+IF(F326="",0,IF(COUNTIF(Settings!$AC$2:$AC$6,F326)&gt;0,Settings!$AA$20,Settings!$AA$21)))</f>
        <v/>
      </c>
      <c r="X326" s="44" t="str">
        <f aca="false">IF(E326="","",IF(COUNTA(Q326:V326)=0,"Not scored",IF(COUNTA(Q326:V326)&lt;6,"Partly scored ("&amp;COUNTA(Q326:V326)&amp;"/6)",IF(W326&gt;=Settings!$S$8,"Hot",IF(W326&gt;=Settings!$S$9,"Warm","Cold")))))</f>
        <v/>
      </c>
      <c r="Y326" s="44" t="str">
        <f aca="false">IF(E326="","",IF(AND(Q326="No",S326="No"),"🚩 Budget  ·  🚩 No one on camera",IF(Q326="No","🚩 Budget under AED 5k",IF(S326="No","🚩 No one on camera",""))))</f>
        <v/>
      </c>
      <c r="Z326" s="17"/>
      <c r="AA326" s="17"/>
      <c r="AB326" s="40"/>
      <c r="AC326" s="17"/>
      <c r="AD326" s="45" t="str">
        <f aca="false">IF(OR(E326="",AB326="",OR(AA326="Contract signed + paid",AA326="Closed – No response",AA326="Lost"),N(AC326)&gt;=Settings!$S$3),"",AB326+Settings!$S$2)</f>
        <v/>
      </c>
      <c r="AE326" s="40"/>
      <c r="AF326" s="41"/>
      <c r="AG326" s="17"/>
      <c r="AH326" s="17"/>
      <c r="AI326" s="17"/>
      <c r="AJ326" s="46" t="str">
        <f aca="true">IF(OR(E326="",B326=""),"",INT(TODAY()-B326))</f>
        <v/>
      </c>
      <c r="AK326" s="44" t="str">
        <f aca="true">IF(E326="","",IF(OR(COUNTIFS(Clients!$C$2:$C$501,E326,Clients!$S$2:$S$501,"Paid")&gt;0,AND(I326&lt;&gt;"",COUNTIFS(Clients!$E$2:$E$501,I326,Clients!$S$2:$S$501,"Paid")&gt;0)),"⚠ Refunded before – no free video",IF(OR(AA326="Contract signed + paid",AA326="Closed – No response",AA326="Lost"),"",IF(AA326="","Set a stage",IF(AND(AA326="Proposal sent",COUNTA(Q326:V326)&lt;6),"Score this lead – proposal sent unscored",IF(N(AC326)&gt;=Settings!$S$3,"Close – 4 follow-ups sent",IF(AD326="",IF(AB326="","Make first contact",""),IF(TODAY()&gt;AD326,"OVERDUE follow-up",IF(TODAY()=AD326,"Follow up today","")))))))))</f>
        <v/>
      </c>
    </row>
    <row r="327" customFormat="false" ht="15" hidden="false" customHeight="false" outlineLevel="0" collapsed="false">
      <c r="A327" s="17"/>
      <c r="B327" s="40"/>
      <c r="C327" s="41"/>
      <c r="D327" s="17"/>
      <c r="E327" s="17"/>
      <c r="F327" s="17"/>
      <c r="G327" s="17"/>
      <c r="H327" s="17"/>
      <c r="I327" s="42"/>
      <c r="J327" s="17"/>
      <c r="K327" s="17"/>
      <c r="L327" s="17"/>
      <c r="M327" s="17"/>
      <c r="N327" s="40"/>
      <c r="O327" s="41"/>
      <c r="P327" s="43" t="str">
        <f aca="false">IF(OR(B327="",N327=""),"",ROUND(((N327+N(O327))-(B327+N(C327)))*24,1))</f>
        <v/>
      </c>
      <c r="Q327" s="17"/>
      <c r="R327" s="17"/>
      <c r="S327" s="17"/>
      <c r="T327" s="17"/>
      <c r="U327" s="17"/>
      <c r="V327" s="17"/>
      <c r="W327" s="44" t="str">
        <f aca="false">IF(OR(E327="",COUNTA(Q327:V327)=0),"",SUMIFS(Settings!$AA$2:$AA$21,Settings!$Y$2:$Y$21,"Budget AED 5k+/mo?",Settings!$Z$2:$Z$21,Q327)+SUMIFS(Settings!$AA$2:$AA$21,Settings!$Y$2:$Y$21,"Decision-maker?",Settings!$Z$2:$Z$21,R327)+SUMIFS(Settings!$AA$2:$AA$21,Settings!$Y$2:$Y$21,"Someone on camera?",Settings!$Z$2:$Z$21,S327)+SUMIFS(Settings!$AA$2:$AA$21,Settings!$Y$2:$Y$21,"OK with 3-month term?",Settings!$Z$2:$Z$21,T327)+SUMIFS(Settings!$AA$2:$AA$21,Settings!$Y$2:$Y$21,"Start timeline",Settings!$Z$2:$Z$21,U327)+SUMIFS(Settings!$AA$2:$AA$21,Settings!$Y$2:$Y$21,"Social media gap",Settings!$Z$2:$Z$21,V327)+IF(F327="",0,IF(COUNTIF(Settings!$AC$2:$AC$6,F327)&gt;0,Settings!$AA$20,Settings!$AA$21)))</f>
        <v/>
      </c>
      <c r="X327" s="44" t="str">
        <f aca="false">IF(E327="","",IF(COUNTA(Q327:V327)=0,"Not scored",IF(COUNTA(Q327:V327)&lt;6,"Partly scored ("&amp;COUNTA(Q327:V327)&amp;"/6)",IF(W327&gt;=Settings!$S$8,"Hot",IF(W327&gt;=Settings!$S$9,"Warm","Cold")))))</f>
        <v/>
      </c>
      <c r="Y327" s="44" t="str">
        <f aca="false">IF(E327="","",IF(AND(Q327="No",S327="No"),"🚩 Budget  ·  🚩 No one on camera",IF(Q327="No","🚩 Budget under AED 5k",IF(S327="No","🚩 No one on camera",""))))</f>
        <v/>
      </c>
      <c r="Z327" s="17"/>
      <c r="AA327" s="17"/>
      <c r="AB327" s="40"/>
      <c r="AC327" s="17"/>
      <c r="AD327" s="45" t="str">
        <f aca="false">IF(OR(E327="",AB327="",OR(AA327="Contract signed + paid",AA327="Closed – No response",AA327="Lost"),N(AC327)&gt;=Settings!$S$3),"",AB327+Settings!$S$2)</f>
        <v/>
      </c>
      <c r="AE327" s="40"/>
      <c r="AF327" s="41"/>
      <c r="AG327" s="17"/>
      <c r="AH327" s="17"/>
      <c r="AI327" s="17"/>
      <c r="AJ327" s="46" t="str">
        <f aca="true">IF(OR(E327="",B327=""),"",INT(TODAY()-B327))</f>
        <v/>
      </c>
      <c r="AK327" s="44" t="str">
        <f aca="true">IF(E327="","",IF(OR(COUNTIFS(Clients!$C$2:$C$501,E327,Clients!$S$2:$S$501,"Paid")&gt;0,AND(I327&lt;&gt;"",COUNTIFS(Clients!$E$2:$E$501,I327,Clients!$S$2:$S$501,"Paid")&gt;0)),"⚠ Refunded before – no free video",IF(OR(AA327="Contract signed + paid",AA327="Closed – No response",AA327="Lost"),"",IF(AA327="","Set a stage",IF(AND(AA327="Proposal sent",COUNTA(Q327:V327)&lt;6),"Score this lead – proposal sent unscored",IF(N(AC327)&gt;=Settings!$S$3,"Close – 4 follow-ups sent",IF(AD327="",IF(AB327="","Make first contact",""),IF(TODAY()&gt;AD327,"OVERDUE follow-up",IF(TODAY()=AD327,"Follow up today","")))))))))</f>
        <v/>
      </c>
    </row>
    <row r="328" customFormat="false" ht="15" hidden="false" customHeight="false" outlineLevel="0" collapsed="false">
      <c r="A328" s="17"/>
      <c r="B328" s="40"/>
      <c r="C328" s="41"/>
      <c r="D328" s="17"/>
      <c r="E328" s="17"/>
      <c r="F328" s="17"/>
      <c r="G328" s="17"/>
      <c r="H328" s="17"/>
      <c r="I328" s="42"/>
      <c r="J328" s="17"/>
      <c r="K328" s="17"/>
      <c r="L328" s="17"/>
      <c r="M328" s="17"/>
      <c r="N328" s="40"/>
      <c r="O328" s="41"/>
      <c r="P328" s="43" t="str">
        <f aca="false">IF(OR(B328="",N328=""),"",ROUND(((N328+N(O328))-(B328+N(C328)))*24,1))</f>
        <v/>
      </c>
      <c r="Q328" s="17"/>
      <c r="R328" s="17"/>
      <c r="S328" s="17"/>
      <c r="T328" s="17"/>
      <c r="U328" s="17"/>
      <c r="V328" s="17"/>
      <c r="W328" s="44" t="str">
        <f aca="false">IF(OR(E328="",COUNTA(Q328:V328)=0),"",SUMIFS(Settings!$AA$2:$AA$21,Settings!$Y$2:$Y$21,"Budget AED 5k+/mo?",Settings!$Z$2:$Z$21,Q328)+SUMIFS(Settings!$AA$2:$AA$21,Settings!$Y$2:$Y$21,"Decision-maker?",Settings!$Z$2:$Z$21,R328)+SUMIFS(Settings!$AA$2:$AA$21,Settings!$Y$2:$Y$21,"Someone on camera?",Settings!$Z$2:$Z$21,S328)+SUMIFS(Settings!$AA$2:$AA$21,Settings!$Y$2:$Y$21,"OK with 3-month term?",Settings!$Z$2:$Z$21,T328)+SUMIFS(Settings!$AA$2:$AA$21,Settings!$Y$2:$Y$21,"Start timeline",Settings!$Z$2:$Z$21,U328)+SUMIFS(Settings!$AA$2:$AA$21,Settings!$Y$2:$Y$21,"Social media gap",Settings!$Z$2:$Z$21,V328)+IF(F328="",0,IF(COUNTIF(Settings!$AC$2:$AC$6,F328)&gt;0,Settings!$AA$20,Settings!$AA$21)))</f>
        <v/>
      </c>
      <c r="X328" s="44" t="str">
        <f aca="false">IF(E328="","",IF(COUNTA(Q328:V328)=0,"Not scored",IF(COUNTA(Q328:V328)&lt;6,"Partly scored ("&amp;COUNTA(Q328:V328)&amp;"/6)",IF(W328&gt;=Settings!$S$8,"Hot",IF(W328&gt;=Settings!$S$9,"Warm","Cold")))))</f>
        <v/>
      </c>
      <c r="Y328" s="44" t="str">
        <f aca="false">IF(E328="","",IF(AND(Q328="No",S328="No"),"🚩 Budget  ·  🚩 No one on camera",IF(Q328="No","🚩 Budget under AED 5k",IF(S328="No","🚩 No one on camera",""))))</f>
        <v/>
      </c>
      <c r="Z328" s="17"/>
      <c r="AA328" s="17"/>
      <c r="AB328" s="40"/>
      <c r="AC328" s="17"/>
      <c r="AD328" s="45" t="str">
        <f aca="false">IF(OR(E328="",AB328="",OR(AA328="Contract signed + paid",AA328="Closed – No response",AA328="Lost"),N(AC328)&gt;=Settings!$S$3),"",AB328+Settings!$S$2)</f>
        <v/>
      </c>
      <c r="AE328" s="40"/>
      <c r="AF328" s="41"/>
      <c r="AG328" s="17"/>
      <c r="AH328" s="17"/>
      <c r="AI328" s="17"/>
      <c r="AJ328" s="46" t="str">
        <f aca="true">IF(OR(E328="",B328=""),"",INT(TODAY()-B328))</f>
        <v/>
      </c>
      <c r="AK328" s="44" t="str">
        <f aca="true">IF(E328="","",IF(OR(COUNTIFS(Clients!$C$2:$C$501,E328,Clients!$S$2:$S$501,"Paid")&gt;0,AND(I328&lt;&gt;"",COUNTIFS(Clients!$E$2:$E$501,I328,Clients!$S$2:$S$501,"Paid")&gt;0)),"⚠ Refunded before – no free video",IF(OR(AA328="Contract signed + paid",AA328="Closed – No response",AA328="Lost"),"",IF(AA328="","Set a stage",IF(AND(AA328="Proposal sent",COUNTA(Q328:V328)&lt;6),"Score this lead – proposal sent unscored",IF(N(AC328)&gt;=Settings!$S$3,"Close – 4 follow-ups sent",IF(AD328="",IF(AB328="","Make first contact",""),IF(TODAY()&gt;AD328,"OVERDUE follow-up",IF(TODAY()=AD328,"Follow up today","")))))))))</f>
        <v/>
      </c>
    </row>
    <row r="329" customFormat="false" ht="15" hidden="false" customHeight="false" outlineLevel="0" collapsed="false">
      <c r="A329" s="17"/>
      <c r="B329" s="40"/>
      <c r="C329" s="41"/>
      <c r="D329" s="17"/>
      <c r="E329" s="17"/>
      <c r="F329" s="17"/>
      <c r="G329" s="17"/>
      <c r="H329" s="17"/>
      <c r="I329" s="42"/>
      <c r="J329" s="17"/>
      <c r="K329" s="17"/>
      <c r="L329" s="17"/>
      <c r="M329" s="17"/>
      <c r="N329" s="40"/>
      <c r="O329" s="41"/>
      <c r="P329" s="43" t="str">
        <f aca="false">IF(OR(B329="",N329=""),"",ROUND(((N329+N(O329))-(B329+N(C329)))*24,1))</f>
        <v/>
      </c>
      <c r="Q329" s="17"/>
      <c r="R329" s="17"/>
      <c r="S329" s="17"/>
      <c r="T329" s="17"/>
      <c r="U329" s="17"/>
      <c r="V329" s="17"/>
      <c r="W329" s="44" t="str">
        <f aca="false">IF(OR(E329="",COUNTA(Q329:V329)=0),"",SUMIFS(Settings!$AA$2:$AA$21,Settings!$Y$2:$Y$21,"Budget AED 5k+/mo?",Settings!$Z$2:$Z$21,Q329)+SUMIFS(Settings!$AA$2:$AA$21,Settings!$Y$2:$Y$21,"Decision-maker?",Settings!$Z$2:$Z$21,R329)+SUMIFS(Settings!$AA$2:$AA$21,Settings!$Y$2:$Y$21,"Someone on camera?",Settings!$Z$2:$Z$21,S329)+SUMIFS(Settings!$AA$2:$AA$21,Settings!$Y$2:$Y$21,"OK with 3-month term?",Settings!$Z$2:$Z$21,T329)+SUMIFS(Settings!$AA$2:$AA$21,Settings!$Y$2:$Y$21,"Start timeline",Settings!$Z$2:$Z$21,U329)+SUMIFS(Settings!$AA$2:$AA$21,Settings!$Y$2:$Y$21,"Social media gap",Settings!$Z$2:$Z$21,V329)+IF(F329="",0,IF(COUNTIF(Settings!$AC$2:$AC$6,F329)&gt;0,Settings!$AA$20,Settings!$AA$21)))</f>
        <v/>
      </c>
      <c r="X329" s="44" t="str">
        <f aca="false">IF(E329="","",IF(COUNTA(Q329:V329)=0,"Not scored",IF(COUNTA(Q329:V329)&lt;6,"Partly scored ("&amp;COUNTA(Q329:V329)&amp;"/6)",IF(W329&gt;=Settings!$S$8,"Hot",IF(W329&gt;=Settings!$S$9,"Warm","Cold")))))</f>
        <v/>
      </c>
      <c r="Y329" s="44" t="str">
        <f aca="false">IF(E329="","",IF(AND(Q329="No",S329="No"),"🚩 Budget  ·  🚩 No one on camera",IF(Q329="No","🚩 Budget under AED 5k",IF(S329="No","🚩 No one on camera",""))))</f>
        <v/>
      </c>
      <c r="Z329" s="17"/>
      <c r="AA329" s="17"/>
      <c r="AB329" s="40"/>
      <c r="AC329" s="17"/>
      <c r="AD329" s="45" t="str">
        <f aca="false">IF(OR(E329="",AB329="",OR(AA329="Contract signed + paid",AA329="Closed – No response",AA329="Lost"),N(AC329)&gt;=Settings!$S$3),"",AB329+Settings!$S$2)</f>
        <v/>
      </c>
      <c r="AE329" s="40"/>
      <c r="AF329" s="41"/>
      <c r="AG329" s="17"/>
      <c r="AH329" s="17"/>
      <c r="AI329" s="17"/>
      <c r="AJ329" s="46" t="str">
        <f aca="true">IF(OR(E329="",B329=""),"",INT(TODAY()-B329))</f>
        <v/>
      </c>
      <c r="AK329" s="44" t="str">
        <f aca="true">IF(E329="","",IF(OR(COUNTIFS(Clients!$C$2:$C$501,E329,Clients!$S$2:$S$501,"Paid")&gt;0,AND(I329&lt;&gt;"",COUNTIFS(Clients!$E$2:$E$501,I329,Clients!$S$2:$S$501,"Paid")&gt;0)),"⚠ Refunded before – no free video",IF(OR(AA329="Contract signed + paid",AA329="Closed – No response",AA329="Lost"),"",IF(AA329="","Set a stage",IF(AND(AA329="Proposal sent",COUNTA(Q329:V329)&lt;6),"Score this lead – proposal sent unscored",IF(N(AC329)&gt;=Settings!$S$3,"Close – 4 follow-ups sent",IF(AD329="",IF(AB329="","Make first contact",""),IF(TODAY()&gt;AD329,"OVERDUE follow-up",IF(TODAY()=AD329,"Follow up today","")))))))))</f>
        <v/>
      </c>
    </row>
    <row r="330" customFormat="false" ht="15" hidden="false" customHeight="false" outlineLevel="0" collapsed="false">
      <c r="A330" s="17"/>
      <c r="B330" s="40"/>
      <c r="C330" s="41"/>
      <c r="D330" s="17"/>
      <c r="E330" s="17"/>
      <c r="F330" s="17"/>
      <c r="G330" s="17"/>
      <c r="H330" s="17"/>
      <c r="I330" s="42"/>
      <c r="J330" s="17"/>
      <c r="K330" s="17"/>
      <c r="L330" s="17"/>
      <c r="M330" s="17"/>
      <c r="N330" s="40"/>
      <c r="O330" s="41"/>
      <c r="P330" s="43" t="str">
        <f aca="false">IF(OR(B330="",N330=""),"",ROUND(((N330+N(O330))-(B330+N(C330)))*24,1))</f>
        <v/>
      </c>
      <c r="Q330" s="17"/>
      <c r="R330" s="17"/>
      <c r="S330" s="17"/>
      <c r="T330" s="17"/>
      <c r="U330" s="17"/>
      <c r="V330" s="17"/>
      <c r="W330" s="44" t="str">
        <f aca="false">IF(OR(E330="",COUNTA(Q330:V330)=0),"",SUMIFS(Settings!$AA$2:$AA$21,Settings!$Y$2:$Y$21,"Budget AED 5k+/mo?",Settings!$Z$2:$Z$21,Q330)+SUMIFS(Settings!$AA$2:$AA$21,Settings!$Y$2:$Y$21,"Decision-maker?",Settings!$Z$2:$Z$21,R330)+SUMIFS(Settings!$AA$2:$AA$21,Settings!$Y$2:$Y$21,"Someone on camera?",Settings!$Z$2:$Z$21,S330)+SUMIFS(Settings!$AA$2:$AA$21,Settings!$Y$2:$Y$21,"OK with 3-month term?",Settings!$Z$2:$Z$21,T330)+SUMIFS(Settings!$AA$2:$AA$21,Settings!$Y$2:$Y$21,"Start timeline",Settings!$Z$2:$Z$21,U330)+SUMIFS(Settings!$AA$2:$AA$21,Settings!$Y$2:$Y$21,"Social media gap",Settings!$Z$2:$Z$21,V330)+IF(F330="",0,IF(COUNTIF(Settings!$AC$2:$AC$6,F330)&gt;0,Settings!$AA$20,Settings!$AA$21)))</f>
        <v/>
      </c>
      <c r="X330" s="44" t="str">
        <f aca="false">IF(E330="","",IF(COUNTA(Q330:V330)=0,"Not scored",IF(COUNTA(Q330:V330)&lt;6,"Partly scored ("&amp;COUNTA(Q330:V330)&amp;"/6)",IF(W330&gt;=Settings!$S$8,"Hot",IF(W330&gt;=Settings!$S$9,"Warm","Cold")))))</f>
        <v/>
      </c>
      <c r="Y330" s="44" t="str">
        <f aca="false">IF(E330="","",IF(AND(Q330="No",S330="No"),"🚩 Budget  ·  🚩 No one on camera",IF(Q330="No","🚩 Budget under AED 5k",IF(S330="No","🚩 No one on camera",""))))</f>
        <v/>
      </c>
      <c r="Z330" s="17"/>
      <c r="AA330" s="17"/>
      <c r="AB330" s="40"/>
      <c r="AC330" s="17"/>
      <c r="AD330" s="45" t="str">
        <f aca="false">IF(OR(E330="",AB330="",OR(AA330="Contract signed + paid",AA330="Closed – No response",AA330="Lost"),N(AC330)&gt;=Settings!$S$3),"",AB330+Settings!$S$2)</f>
        <v/>
      </c>
      <c r="AE330" s="40"/>
      <c r="AF330" s="41"/>
      <c r="AG330" s="17"/>
      <c r="AH330" s="17"/>
      <c r="AI330" s="17"/>
      <c r="AJ330" s="46" t="str">
        <f aca="true">IF(OR(E330="",B330=""),"",INT(TODAY()-B330))</f>
        <v/>
      </c>
      <c r="AK330" s="44" t="str">
        <f aca="true">IF(E330="","",IF(OR(COUNTIFS(Clients!$C$2:$C$501,E330,Clients!$S$2:$S$501,"Paid")&gt;0,AND(I330&lt;&gt;"",COUNTIFS(Clients!$E$2:$E$501,I330,Clients!$S$2:$S$501,"Paid")&gt;0)),"⚠ Refunded before – no free video",IF(OR(AA330="Contract signed + paid",AA330="Closed – No response",AA330="Lost"),"",IF(AA330="","Set a stage",IF(AND(AA330="Proposal sent",COUNTA(Q330:V330)&lt;6),"Score this lead – proposal sent unscored",IF(N(AC330)&gt;=Settings!$S$3,"Close – 4 follow-ups sent",IF(AD330="",IF(AB330="","Make first contact",""),IF(TODAY()&gt;AD330,"OVERDUE follow-up",IF(TODAY()=AD330,"Follow up today","")))))))))</f>
        <v/>
      </c>
    </row>
    <row r="331" customFormat="false" ht="15" hidden="false" customHeight="false" outlineLevel="0" collapsed="false">
      <c r="A331" s="17"/>
      <c r="B331" s="40"/>
      <c r="C331" s="41"/>
      <c r="D331" s="17"/>
      <c r="E331" s="17"/>
      <c r="F331" s="17"/>
      <c r="G331" s="17"/>
      <c r="H331" s="17"/>
      <c r="I331" s="42"/>
      <c r="J331" s="17"/>
      <c r="K331" s="17"/>
      <c r="L331" s="17"/>
      <c r="M331" s="17"/>
      <c r="N331" s="40"/>
      <c r="O331" s="41"/>
      <c r="P331" s="43" t="str">
        <f aca="false">IF(OR(B331="",N331=""),"",ROUND(((N331+N(O331))-(B331+N(C331)))*24,1))</f>
        <v/>
      </c>
      <c r="Q331" s="17"/>
      <c r="R331" s="17"/>
      <c r="S331" s="17"/>
      <c r="T331" s="17"/>
      <c r="U331" s="17"/>
      <c r="V331" s="17"/>
      <c r="W331" s="44" t="str">
        <f aca="false">IF(OR(E331="",COUNTA(Q331:V331)=0),"",SUMIFS(Settings!$AA$2:$AA$21,Settings!$Y$2:$Y$21,"Budget AED 5k+/mo?",Settings!$Z$2:$Z$21,Q331)+SUMIFS(Settings!$AA$2:$AA$21,Settings!$Y$2:$Y$21,"Decision-maker?",Settings!$Z$2:$Z$21,R331)+SUMIFS(Settings!$AA$2:$AA$21,Settings!$Y$2:$Y$21,"Someone on camera?",Settings!$Z$2:$Z$21,S331)+SUMIFS(Settings!$AA$2:$AA$21,Settings!$Y$2:$Y$21,"OK with 3-month term?",Settings!$Z$2:$Z$21,T331)+SUMIFS(Settings!$AA$2:$AA$21,Settings!$Y$2:$Y$21,"Start timeline",Settings!$Z$2:$Z$21,U331)+SUMIFS(Settings!$AA$2:$AA$21,Settings!$Y$2:$Y$21,"Social media gap",Settings!$Z$2:$Z$21,V331)+IF(F331="",0,IF(COUNTIF(Settings!$AC$2:$AC$6,F331)&gt;0,Settings!$AA$20,Settings!$AA$21)))</f>
        <v/>
      </c>
      <c r="X331" s="44" t="str">
        <f aca="false">IF(E331="","",IF(COUNTA(Q331:V331)=0,"Not scored",IF(COUNTA(Q331:V331)&lt;6,"Partly scored ("&amp;COUNTA(Q331:V331)&amp;"/6)",IF(W331&gt;=Settings!$S$8,"Hot",IF(W331&gt;=Settings!$S$9,"Warm","Cold")))))</f>
        <v/>
      </c>
      <c r="Y331" s="44" t="str">
        <f aca="false">IF(E331="","",IF(AND(Q331="No",S331="No"),"🚩 Budget  ·  🚩 No one on camera",IF(Q331="No","🚩 Budget under AED 5k",IF(S331="No","🚩 No one on camera",""))))</f>
        <v/>
      </c>
      <c r="Z331" s="17"/>
      <c r="AA331" s="17"/>
      <c r="AB331" s="40"/>
      <c r="AC331" s="17"/>
      <c r="AD331" s="45" t="str">
        <f aca="false">IF(OR(E331="",AB331="",OR(AA331="Contract signed + paid",AA331="Closed – No response",AA331="Lost"),N(AC331)&gt;=Settings!$S$3),"",AB331+Settings!$S$2)</f>
        <v/>
      </c>
      <c r="AE331" s="40"/>
      <c r="AF331" s="41"/>
      <c r="AG331" s="17"/>
      <c r="AH331" s="17"/>
      <c r="AI331" s="17"/>
      <c r="AJ331" s="46" t="str">
        <f aca="true">IF(OR(E331="",B331=""),"",INT(TODAY()-B331))</f>
        <v/>
      </c>
      <c r="AK331" s="44" t="str">
        <f aca="true">IF(E331="","",IF(OR(COUNTIFS(Clients!$C$2:$C$501,E331,Clients!$S$2:$S$501,"Paid")&gt;0,AND(I331&lt;&gt;"",COUNTIFS(Clients!$E$2:$E$501,I331,Clients!$S$2:$S$501,"Paid")&gt;0)),"⚠ Refunded before – no free video",IF(OR(AA331="Contract signed + paid",AA331="Closed – No response",AA331="Lost"),"",IF(AA331="","Set a stage",IF(AND(AA331="Proposal sent",COUNTA(Q331:V331)&lt;6),"Score this lead – proposal sent unscored",IF(N(AC331)&gt;=Settings!$S$3,"Close – 4 follow-ups sent",IF(AD331="",IF(AB331="","Make first contact",""),IF(TODAY()&gt;AD331,"OVERDUE follow-up",IF(TODAY()=AD331,"Follow up today","")))))))))</f>
        <v/>
      </c>
    </row>
    <row r="332" customFormat="false" ht="15" hidden="false" customHeight="false" outlineLevel="0" collapsed="false">
      <c r="A332" s="17"/>
      <c r="B332" s="40"/>
      <c r="C332" s="41"/>
      <c r="D332" s="17"/>
      <c r="E332" s="17"/>
      <c r="F332" s="17"/>
      <c r="G332" s="17"/>
      <c r="H332" s="17"/>
      <c r="I332" s="42"/>
      <c r="J332" s="17"/>
      <c r="K332" s="17"/>
      <c r="L332" s="17"/>
      <c r="M332" s="17"/>
      <c r="N332" s="40"/>
      <c r="O332" s="41"/>
      <c r="P332" s="43" t="str">
        <f aca="false">IF(OR(B332="",N332=""),"",ROUND(((N332+N(O332))-(B332+N(C332)))*24,1))</f>
        <v/>
      </c>
      <c r="Q332" s="17"/>
      <c r="R332" s="17"/>
      <c r="S332" s="17"/>
      <c r="T332" s="17"/>
      <c r="U332" s="17"/>
      <c r="V332" s="17"/>
      <c r="W332" s="44" t="str">
        <f aca="false">IF(OR(E332="",COUNTA(Q332:V332)=0),"",SUMIFS(Settings!$AA$2:$AA$21,Settings!$Y$2:$Y$21,"Budget AED 5k+/mo?",Settings!$Z$2:$Z$21,Q332)+SUMIFS(Settings!$AA$2:$AA$21,Settings!$Y$2:$Y$21,"Decision-maker?",Settings!$Z$2:$Z$21,R332)+SUMIFS(Settings!$AA$2:$AA$21,Settings!$Y$2:$Y$21,"Someone on camera?",Settings!$Z$2:$Z$21,S332)+SUMIFS(Settings!$AA$2:$AA$21,Settings!$Y$2:$Y$21,"OK with 3-month term?",Settings!$Z$2:$Z$21,T332)+SUMIFS(Settings!$AA$2:$AA$21,Settings!$Y$2:$Y$21,"Start timeline",Settings!$Z$2:$Z$21,U332)+SUMIFS(Settings!$AA$2:$AA$21,Settings!$Y$2:$Y$21,"Social media gap",Settings!$Z$2:$Z$21,V332)+IF(F332="",0,IF(COUNTIF(Settings!$AC$2:$AC$6,F332)&gt;0,Settings!$AA$20,Settings!$AA$21)))</f>
        <v/>
      </c>
      <c r="X332" s="44" t="str">
        <f aca="false">IF(E332="","",IF(COUNTA(Q332:V332)=0,"Not scored",IF(COUNTA(Q332:V332)&lt;6,"Partly scored ("&amp;COUNTA(Q332:V332)&amp;"/6)",IF(W332&gt;=Settings!$S$8,"Hot",IF(W332&gt;=Settings!$S$9,"Warm","Cold")))))</f>
        <v/>
      </c>
      <c r="Y332" s="44" t="str">
        <f aca="false">IF(E332="","",IF(AND(Q332="No",S332="No"),"🚩 Budget  ·  🚩 No one on camera",IF(Q332="No","🚩 Budget under AED 5k",IF(S332="No","🚩 No one on camera",""))))</f>
        <v/>
      </c>
      <c r="Z332" s="17"/>
      <c r="AA332" s="17"/>
      <c r="AB332" s="40"/>
      <c r="AC332" s="17"/>
      <c r="AD332" s="45" t="str">
        <f aca="false">IF(OR(E332="",AB332="",OR(AA332="Contract signed + paid",AA332="Closed – No response",AA332="Lost"),N(AC332)&gt;=Settings!$S$3),"",AB332+Settings!$S$2)</f>
        <v/>
      </c>
      <c r="AE332" s="40"/>
      <c r="AF332" s="41"/>
      <c r="AG332" s="17"/>
      <c r="AH332" s="17"/>
      <c r="AI332" s="17"/>
      <c r="AJ332" s="46" t="str">
        <f aca="true">IF(OR(E332="",B332=""),"",INT(TODAY()-B332))</f>
        <v/>
      </c>
      <c r="AK332" s="44" t="str">
        <f aca="true">IF(E332="","",IF(OR(COUNTIFS(Clients!$C$2:$C$501,E332,Clients!$S$2:$S$501,"Paid")&gt;0,AND(I332&lt;&gt;"",COUNTIFS(Clients!$E$2:$E$501,I332,Clients!$S$2:$S$501,"Paid")&gt;0)),"⚠ Refunded before – no free video",IF(OR(AA332="Contract signed + paid",AA332="Closed – No response",AA332="Lost"),"",IF(AA332="","Set a stage",IF(AND(AA332="Proposal sent",COUNTA(Q332:V332)&lt;6),"Score this lead – proposal sent unscored",IF(N(AC332)&gt;=Settings!$S$3,"Close – 4 follow-ups sent",IF(AD332="",IF(AB332="","Make first contact",""),IF(TODAY()&gt;AD332,"OVERDUE follow-up",IF(TODAY()=AD332,"Follow up today","")))))))))</f>
        <v/>
      </c>
    </row>
    <row r="333" customFormat="false" ht="15" hidden="false" customHeight="false" outlineLevel="0" collapsed="false">
      <c r="A333" s="17"/>
      <c r="B333" s="40"/>
      <c r="C333" s="41"/>
      <c r="D333" s="17"/>
      <c r="E333" s="17"/>
      <c r="F333" s="17"/>
      <c r="G333" s="17"/>
      <c r="H333" s="17"/>
      <c r="I333" s="42"/>
      <c r="J333" s="17"/>
      <c r="K333" s="17"/>
      <c r="L333" s="17"/>
      <c r="M333" s="17"/>
      <c r="N333" s="40"/>
      <c r="O333" s="41"/>
      <c r="P333" s="43" t="str">
        <f aca="false">IF(OR(B333="",N333=""),"",ROUND(((N333+N(O333))-(B333+N(C333)))*24,1))</f>
        <v/>
      </c>
      <c r="Q333" s="17"/>
      <c r="R333" s="17"/>
      <c r="S333" s="17"/>
      <c r="T333" s="17"/>
      <c r="U333" s="17"/>
      <c r="V333" s="17"/>
      <c r="W333" s="44" t="str">
        <f aca="false">IF(OR(E333="",COUNTA(Q333:V333)=0),"",SUMIFS(Settings!$AA$2:$AA$21,Settings!$Y$2:$Y$21,"Budget AED 5k+/mo?",Settings!$Z$2:$Z$21,Q333)+SUMIFS(Settings!$AA$2:$AA$21,Settings!$Y$2:$Y$21,"Decision-maker?",Settings!$Z$2:$Z$21,R333)+SUMIFS(Settings!$AA$2:$AA$21,Settings!$Y$2:$Y$21,"Someone on camera?",Settings!$Z$2:$Z$21,S333)+SUMIFS(Settings!$AA$2:$AA$21,Settings!$Y$2:$Y$21,"OK with 3-month term?",Settings!$Z$2:$Z$21,T333)+SUMIFS(Settings!$AA$2:$AA$21,Settings!$Y$2:$Y$21,"Start timeline",Settings!$Z$2:$Z$21,U333)+SUMIFS(Settings!$AA$2:$AA$21,Settings!$Y$2:$Y$21,"Social media gap",Settings!$Z$2:$Z$21,V333)+IF(F333="",0,IF(COUNTIF(Settings!$AC$2:$AC$6,F333)&gt;0,Settings!$AA$20,Settings!$AA$21)))</f>
        <v/>
      </c>
      <c r="X333" s="44" t="str">
        <f aca="false">IF(E333="","",IF(COUNTA(Q333:V333)=0,"Not scored",IF(COUNTA(Q333:V333)&lt;6,"Partly scored ("&amp;COUNTA(Q333:V333)&amp;"/6)",IF(W333&gt;=Settings!$S$8,"Hot",IF(W333&gt;=Settings!$S$9,"Warm","Cold")))))</f>
        <v/>
      </c>
      <c r="Y333" s="44" t="str">
        <f aca="false">IF(E333="","",IF(AND(Q333="No",S333="No"),"🚩 Budget  ·  🚩 No one on camera",IF(Q333="No","🚩 Budget under AED 5k",IF(S333="No","🚩 No one on camera",""))))</f>
        <v/>
      </c>
      <c r="Z333" s="17"/>
      <c r="AA333" s="17"/>
      <c r="AB333" s="40"/>
      <c r="AC333" s="17"/>
      <c r="AD333" s="45" t="str">
        <f aca="false">IF(OR(E333="",AB333="",OR(AA333="Contract signed + paid",AA333="Closed – No response",AA333="Lost"),N(AC333)&gt;=Settings!$S$3),"",AB333+Settings!$S$2)</f>
        <v/>
      </c>
      <c r="AE333" s="40"/>
      <c r="AF333" s="41"/>
      <c r="AG333" s="17"/>
      <c r="AH333" s="17"/>
      <c r="AI333" s="17"/>
      <c r="AJ333" s="46" t="str">
        <f aca="true">IF(OR(E333="",B333=""),"",INT(TODAY()-B333))</f>
        <v/>
      </c>
      <c r="AK333" s="44" t="str">
        <f aca="true">IF(E333="","",IF(OR(COUNTIFS(Clients!$C$2:$C$501,E333,Clients!$S$2:$S$501,"Paid")&gt;0,AND(I333&lt;&gt;"",COUNTIFS(Clients!$E$2:$E$501,I333,Clients!$S$2:$S$501,"Paid")&gt;0)),"⚠ Refunded before – no free video",IF(OR(AA333="Contract signed + paid",AA333="Closed – No response",AA333="Lost"),"",IF(AA333="","Set a stage",IF(AND(AA333="Proposal sent",COUNTA(Q333:V333)&lt;6),"Score this lead – proposal sent unscored",IF(N(AC333)&gt;=Settings!$S$3,"Close – 4 follow-ups sent",IF(AD333="",IF(AB333="","Make first contact",""),IF(TODAY()&gt;AD333,"OVERDUE follow-up",IF(TODAY()=AD333,"Follow up today","")))))))))</f>
        <v/>
      </c>
    </row>
    <row r="334" customFormat="false" ht="15" hidden="false" customHeight="false" outlineLevel="0" collapsed="false">
      <c r="A334" s="17"/>
      <c r="B334" s="40"/>
      <c r="C334" s="41"/>
      <c r="D334" s="17"/>
      <c r="E334" s="17"/>
      <c r="F334" s="17"/>
      <c r="G334" s="17"/>
      <c r="H334" s="17"/>
      <c r="I334" s="42"/>
      <c r="J334" s="17"/>
      <c r="K334" s="17"/>
      <c r="L334" s="17"/>
      <c r="M334" s="17"/>
      <c r="N334" s="40"/>
      <c r="O334" s="41"/>
      <c r="P334" s="43" t="str">
        <f aca="false">IF(OR(B334="",N334=""),"",ROUND(((N334+N(O334))-(B334+N(C334)))*24,1))</f>
        <v/>
      </c>
      <c r="Q334" s="17"/>
      <c r="R334" s="17"/>
      <c r="S334" s="17"/>
      <c r="T334" s="17"/>
      <c r="U334" s="17"/>
      <c r="V334" s="17"/>
      <c r="W334" s="44" t="str">
        <f aca="false">IF(OR(E334="",COUNTA(Q334:V334)=0),"",SUMIFS(Settings!$AA$2:$AA$21,Settings!$Y$2:$Y$21,"Budget AED 5k+/mo?",Settings!$Z$2:$Z$21,Q334)+SUMIFS(Settings!$AA$2:$AA$21,Settings!$Y$2:$Y$21,"Decision-maker?",Settings!$Z$2:$Z$21,R334)+SUMIFS(Settings!$AA$2:$AA$21,Settings!$Y$2:$Y$21,"Someone on camera?",Settings!$Z$2:$Z$21,S334)+SUMIFS(Settings!$AA$2:$AA$21,Settings!$Y$2:$Y$21,"OK with 3-month term?",Settings!$Z$2:$Z$21,T334)+SUMIFS(Settings!$AA$2:$AA$21,Settings!$Y$2:$Y$21,"Start timeline",Settings!$Z$2:$Z$21,U334)+SUMIFS(Settings!$AA$2:$AA$21,Settings!$Y$2:$Y$21,"Social media gap",Settings!$Z$2:$Z$21,V334)+IF(F334="",0,IF(COUNTIF(Settings!$AC$2:$AC$6,F334)&gt;0,Settings!$AA$20,Settings!$AA$21)))</f>
        <v/>
      </c>
      <c r="X334" s="44" t="str">
        <f aca="false">IF(E334="","",IF(COUNTA(Q334:V334)=0,"Not scored",IF(COUNTA(Q334:V334)&lt;6,"Partly scored ("&amp;COUNTA(Q334:V334)&amp;"/6)",IF(W334&gt;=Settings!$S$8,"Hot",IF(W334&gt;=Settings!$S$9,"Warm","Cold")))))</f>
        <v/>
      </c>
      <c r="Y334" s="44" t="str">
        <f aca="false">IF(E334="","",IF(AND(Q334="No",S334="No"),"🚩 Budget  ·  🚩 No one on camera",IF(Q334="No","🚩 Budget under AED 5k",IF(S334="No","🚩 No one on camera",""))))</f>
        <v/>
      </c>
      <c r="Z334" s="17"/>
      <c r="AA334" s="17"/>
      <c r="AB334" s="40"/>
      <c r="AC334" s="17"/>
      <c r="AD334" s="45" t="str">
        <f aca="false">IF(OR(E334="",AB334="",OR(AA334="Contract signed + paid",AA334="Closed – No response",AA334="Lost"),N(AC334)&gt;=Settings!$S$3),"",AB334+Settings!$S$2)</f>
        <v/>
      </c>
      <c r="AE334" s="40"/>
      <c r="AF334" s="41"/>
      <c r="AG334" s="17"/>
      <c r="AH334" s="17"/>
      <c r="AI334" s="17"/>
      <c r="AJ334" s="46" t="str">
        <f aca="true">IF(OR(E334="",B334=""),"",INT(TODAY()-B334))</f>
        <v/>
      </c>
      <c r="AK334" s="44" t="str">
        <f aca="true">IF(E334="","",IF(OR(COUNTIFS(Clients!$C$2:$C$501,E334,Clients!$S$2:$S$501,"Paid")&gt;0,AND(I334&lt;&gt;"",COUNTIFS(Clients!$E$2:$E$501,I334,Clients!$S$2:$S$501,"Paid")&gt;0)),"⚠ Refunded before – no free video",IF(OR(AA334="Contract signed + paid",AA334="Closed – No response",AA334="Lost"),"",IF(AA334="","Set a stage",IF(AND(AA334="Proposal sent",COUNTA(Q334:V334)&lt;6),"Score this lead – proposal sent unscored",IF(N(AC334)&gt;=Settings!$S$3,"Close – 4 follow-ups sent",IF(AD334="",IF(AB334="","Make first contact",""),IF(TODAY()&gt;AD334,"OVERDUE follow-up",IF(TODAY()=AD334,"Follow up today","")))))))))</f>
        <v/>
      </c>
    </row>
    <row r="335" customFormat="false" ht="15" hidden="false" customHeight="false" outlineLevel="0" collapsed="false">
      <c r="A335" s="17"/>
      <c r="B335" s="40"/>
      <c r="C335" s="41"/>
      <c r="D335" s="17"/>
      <c r="E335" s="17"/>
      <c r="F335" s="17"/>
      <c r="G335" s="17"/>
      <c r="H335" s="17"/>
      <c r="I335" s="42"/>
      <c r="J335" s="17"/>
      <c r="K335" s="17"/>
      <c r="L335" s="17"/>
      <c r="M335" s="17"/>
      <c r="N335" s="40"/>
      <c r="O335" s="41"/>
      <c r="P335" s="43" t="str">
        <f aca="false">IF(OR(B335="",N335=""),"",ROUND(((N335+N(O335))-(B335+N(C335)))*24,1))</f>
        <v/>
      </c>
      <c r="Q335" s="17"/>
      <c r="R335" s="17"/>
      <c r="S335" s="17"/>
      <c r="T335" s="17"/>
      <c r="U335" s="17"/>
      <c r="V335" s="17"/>
      <c r="W335" s="44" t="str">
        <f aca="false">IF(OR(E335="",COUNTA(Q335:V335)=0),"",SUMIFS(Settings!$AA$2:$AA$21,Settings!$Y$2:$Y$21,"Budget AED 5k+/mo?",Settings!$Z$2:$Z$21,Q335)+SUMIFS(Settings!$AA$2:$AA$21,Settings!$Y$2:$Y$21,"Decision-maker?",Settings!$Z$2:$Z$21,R335)+SUMIFS(Settings!$AA$2:$AA$21,Settings!$Y$2:$Y$21,"Someone on camera?",Settings!$Z$2:$Z$21,S335)+SUMIFS(Settings!$AA$2:$AA$21,Settings!$Y$2:$Y$21,"OK with 3-month term?",Settings!$Z$2:$Z$21,T335)+SUMIFS(Settings!$AA$2:$AA$21,Settings!$Y$2:$Y$21,"Start timeline",Settings!$Z$2:$Z$21,U335)+SUMIFS(Settings!$AA$2:$AA$21,Settings!$Y$2:$Y$21,"Social media gap",Settings!$Z$2:$Z$21,V335)+IF(F335="",0,IF(COUNTIF(Settings!$AC$2:$AC$6,F335)&gt;0,Settings!$AA$20,Settings!$AA$21)))</f>
        <v/>
      </c>
      <c r="X335" s="44" t="str">
        <f aca="false">IF(E335="","",IF(COUNTA(Q335:V335)=0,"Not scored",IF(COUNTA(Q335:V335)&lt;6,"Partly scored ("&amp;COUNTA(Q335:V335)&amp;"/6)",IF(W335&gt;=Settings!$S$8,"Hot",IF(W335&gt;=Settings!$S$9,"Warm","Cold")))))</f>
        <v/>
      </c>
      <c r="Y335" s="44" t="str">
        <f aca="false">IF(E335="","",IF(AND(Q335="No",S335="No"),"🚩 Budget  ·  🚩 No one on camera",IF(Q335="No","🚩 Budget under AED 5k",IF(S335="No","🚩 No one on camera",""))))</f>
        <v/>
      </c>
      <c r="Z335" s="17"/>
      <c r="AA335" s="17"/>
      <c r="AB335" s="40"/>
      <c r="AC335" s="17"/>
      <c r="AD335" s="45" t="str">
        <f aca="false">IF(OR(E335="",AB335="",OR(AA335="Contract signed + paid",AA335="Closed – No response",AA335="Lost"),N(AC335)&gt;=Settings!$S$3),"",AB335+Settings!$S$2)</f>
        <v/>
      </c>
      <c r="AE335" s="40"/>
      <c r="AF335" s="41"/>
      <c r="AG335" s="17"/>
      <c r="AH335" s="17"/>
      <c r="AI335" s="17"/>
      <c r="AJ335" s="46" t="str">
        <f aca="true">IF(OR(E335="",B335=""),"",INT(TODAY()-B335))</f>
        <v/>
      </c>
      <c r="AK335" s="44" t="str">
        <f aca="true">IF(E335="","",IF(OR(COUNTIFS(Clients!$C$2:$C$501,E335,Clients!$S$2:$S$501,"Paid")&gt;0,AND(I335&lt;&gt;"",COUNTIFS(Clients!$E$2:$E$501,I335,Clients!$S$2:$S$501,"Paid")&gt;0)),"⚠ Refunded before – no free video",IF(OR(AA335="Contract signed + paid",AA335="Closed – No response",AA335="Lost"),"",IF(AA335="","Set a stage",IF(AND(AA335="Proposal sent",COUNTA(Q335:V335)&lt;6),"Score this lead – proposal sent unscored",IF(N(AC335)&gt;=Settings!$S$3,"Close – 4 follow-ups sent",IF(AD335="",IF(AB335="","Make first contact",""),IF(TODAY()&gt;AD335,"OVERDUE follow-up",IF(TODAY()=AD335,"Follow up today","")))))))))</f>
        <v/>
      </c>
    </row>
    <row r="336" customFormat="false" ht="15" hidden="false" customHeight="false" outlineLevel="0" collapsed="false">
      <c r="A336" s="17"/>
      <c r="B336" s="40"/>
      <c r="C336" s="41"/>
      <c r="D336" s="17"/>
      <c r="E336" s="17"/>
      <c r="F336" s="17"/>
      <c r="G336" s="17"/>
      <c r="H336" s="17"/>
      <c r="I336" s="42"/>
      <c r="J336" s="17"/>
      <c r="K336" s="17"/>
      <c r="L336" s="17"/>
      <c r="M336" s="17"/>
      <c r="N336" s="40"/>
      <c r="O336" s="41"/>
      <c r="P336" s="43" t="str">
        <f aca="false">IF(OR(B336="",N336=""),"",ROUND(((N336+N(O336))-(B336+N(C336)))*24,1))</f>
        <v/>
      </c>
      <c r="Q336" s="17"/>
      <c r="R336" s="17"/>
      <c r="S336" s="17"/>
      <c r="T336" s="17"/>
      <c r="U336" s="17"/>
      <c r="V336" s="17"/>
      <c r="W336" s="44" t="str">
        <f aca="false">IF(OR(E336="",COUNTA(Q336:V336)=0),"",SUMIFS(Settings!$AA$2:$AA$21,Settings!$Y$2:$Y$21,"Budget AED 5k+/mo?",Settings!$Z$2:$Z$21,Q336)+SUMIFS(Settings!$AA$2:$AA$21,Settings!$Y$2:$Y$21,"Decision-maker?",Settings!$Z$2:$Z$21,R336)+SUMIFS(Settings!$AA$2:$AA$21,Settings!$Y$2:$Y$21,"Someone on camera?",Settings!$Z$2:$Z$21,S336)+SUMIFS(Settings!$AA$2:$AA$21,Settings!$Y$2:$Y$21,"OK with 3-month term?",Settings!$Z$2:$Z$21,T336)+SUMIFS(Settings!$AA$2:$AA$21,Settings!$Y$2:$Y$21,"Start timeline",Settings!$Z$2:$Z$21,U336)+SUMIFS(Settings!$AA$2:$AA$21,Settings!$Y$2:$Y$21,"Social media gap",Settings!$Z$2:$Z$21,V336)+IF(F336="",0,IF(COUNTIF(Settings!$AC$2:$AC$6,F336)&gt;0,Settings!$AA$20,Settings!$AA$21)))</f>
        <v/>
      </c>
      <c r="X336" s="44" t="str">
        <f aca="false">IF(E336="","",IF(COUNTA(Q336:V336)=0,"Not scored",IF(COUNTA(Q336:V336)&lt;6,"Partly scored ("&amp;COUNTA(Q336:V336)&amp;"/6)",IF(W336&gt;=Settings!$S$8,"Hot",IF(W336&gt;=Settings!$S$9,"Warm","Cold")))))</f>
        <v/>
      </c>
      <c r="Y336" s="44" t="str">
        <f aca="false">IF(E336="","",IF(AND(Q336="No",S336="No"),"🚩 Budget  ·  🚩 No one on camera",IF(Q336="No","🚩 Budget under AED 5k",IF(S336="No","🚩 No one on camera",""))))</f>
        <v/>
      </c>
      <c r="Z336" s="17"/>
      <c r="AA336" s="17"/>
      <c r="AB336" s="40"/>
      <c r="AC336" s="17"/>
      <c r="AD336" s="45" t="str">
        <f aca="false">IF(OR(E336="",AB336="",OR(AA336="Contract signed + paid",AA336="Closed – No response",AA336="Lost"),N(AC336)&gt;=Settings!$S$3),"",AB336+Settings!$S$2)</f>
        <v/>
      </c>
      <c r="AE336" s="40"/>
      <c r="AF336" s="41"/>
      <c r="AG336" s="17"/>
      <c r="AH336" s="17"/>
      <c r="AI336" s="17"/>
      <c r="AJ336" s="46" t="str">
        <f aca="true">IF(OR(E336="",B336=""),"",INT(TODAY()-B336))</f>
        <v/>
      </c>
      <c r="AK336" s="44" t="str">
        <f aca="true">IF(E336="","",IF(OR(COUNTIFS(Clients!$C$2:$C$501,E336,Clients!$S$2:$S$501,"Paid")&gt;0,AND(I336&lt;&gt;"",COUNTIFS(Clients!$E$2:$E$501,I336,Clients!$S$2:$S$501,"Paid")&gt;0)),"⚠ Refunded before – no free video",IF(OR(AA336="Contract signed + paid",AA336="Closed – No response",AA336="Lost"),"",IF(AA336="","Set a stage",IF(AND(AA336="Proposal sent",COUNTA(Q336:V336)&lt;6),"Score this lead – proposal sent unscored",IF(N(AC336)&gt;=Settings!$S$3,"Close – 4 follow-ups sent",IF(AD336="",IF(AB336="","Make first contact",""),IF(TODAY()&gt;AD336,"OVERDUE follow-up",IF(TODAY()=AD336,"Follow up today","")))))))))</f>
        <v/>
      </c>
    </row>
    <row r="337" customFormat="false" ht="15" hidden="false" customHeight="false" outlineLevel="0" collapsed="false">
      <c r="A337" s="17"/>
      <c r="B337" s="40"/>
      <c r="C337" s="41"/>
      <c r="D337" s="17"/>
      <c r="E337" s="17"/>
      <c r="F337" s="17"/>
      <c r="G337" s="17"/>
      <c r="H337" s="17"/>
      <c r="I337" s="42"/>
      <c r="J337" s="17"/>
      <c r="K337" s="17"/>
      <c r="L337" s="17"/>
      <c r="M337" s="17"/>
      <c r="N337" s="40"/>
      <c r="O337" s="41"/>
      <c r="P337" s="43" t="str">
        <f aca="false">IF(OR(B337="",N337=""),"",ROUND(((N337+N(O337))-(B337+N(C337)))*24,1))</f>
        <v/>
      </c>
      <c r="Q337" s="17"/>
      <c r="R337" s="17"/>
      <c r="S337" s="17"/>
      <c r="T337" s="17"/>
      <c r="U337" s="17"/>
      <c r="V337" s="17"/>
      <c r="W337" s="44" t="str">
        <f aca="false">IF(OR(E337="",COUNTA(Q337:V337)=0),"",SUMIFS(Settings!$AA$2:$AA$21,Settings!$Y$2:$Y$21,"Budget AED 5k+/mo?",Settings!$Z$2:$Z$21,Q337)+SUMIFS(Settings!$AA$2:$AA$21,Settings!$Y$2:$Y$21,"Decision-maker?",Settings!$Z$2:$Z$21,R337)+SUMIFS(Settings!$AA$2:$AA$21,Settings!$Y$2:$Y$21,"Someone on camera?",Settings!$Z$2:$Z$21,S337)+SUMIFS(Settings!$AA$2:$AA$21,Settings!$Y$2:$Y$21,"OK with 3-month term?",Settings!$Z$2:$Z$21,T337)+SUMIFS(Settings!$AA$2:$AA$21,Settings!$Y$2:$Y$21,"Start timeline",Settings!$Z$2:$Z$21,U337)+SUMIFS(Settings!$AA$2:$AA$21,Settings!$Y$2:$Y$21,"Social media gap",Settings!$Z$2:$Z$21,V337)+IF(F337="",0,IF(COUNTIF(Settings!$AC$2:$AC$6,F337)&gt;0,Settings!$AA$20,Settings!$AA$21)))</f>
        <v/>
      </c>
      <c r="X337" s="44" t="str">
        <f aca="false">IF(E337="","",IF(COUNTA(Q337:V337)=0,"Not scored",IF(COUNTA(Q337:V337)&lt;6,"Partly scored ("&amp;COUNTA(Q337:V337)&amp;"/6)",IF(W337&gt;=Settings!$S$8,"Hot",IF(W337&gt;=Settings!$S$9,"Warm","Cold")))))</f>
        <v/>
      </c>
      <c r="Y337" s="44" t="str">
        <f aca="false">IF(E337="","",IF(AND(Q337="No",S337="No"),"🚩 Budget  ·  🚩 No one on camera",IF(Q337="No","🚩 Budget under AED 5k",IF(S337="No","🚩 No one on camera",""))))</f>
        <v/>
      </c>
      <c r="Z337" s="17"/>
      <c r="AA337" s="17"/>
      <c r="AB337" s="40"/>
      <c r="AC337" s="17"/>
      <c r="AD337" s="45" t="str">
        <f aca="false">IF(OR(E337="",AB337="",OR(AA337="Contract signed + paid",AA337="Closed – No response",AA337="Lost"),N(AC337)&gt;=Settings!$S$3),"",AB337+Settings!$S$2)</f>
        <v/>
      </c>
      <c r="AE337" s="40"/>
      <c r="AF337" s="41"/>
      <c r="AG337" s="17"/>
      <c r="AH337" s="17"/>
      <c r="AI337" s="17"/>
      <c r="AJ337" s="46" t="str">
        <f aca="true">IF(OR(E337="",B337=""),"",INT(TODAY()-B337))</f>
        <v/>
      </c>
      <c r="AK337" s="44" t="str">
        <f aca="true">IF(E337="","",IF(OR(COUNTIFS(Clients!$C$2:$C$501,E337,Clients!$S$2:$S$501,"Paid")&gt;0,AND(I337&lt;&gt;"",COUNTIFS(Clients!$E$2:$E$501,I337,Clients!$S$2:$S$501,"Paid")&gt;0)),"⚠ Refunded before – no free video",IF(OR(AA337="Contract signed + paid",AA337="Closed – No response",AA337="Lost"),"",IF(AA337="","Set a stage",IF(AND(AA337="Proposal sent",COUNTA(Q337:V337)&lt;6),"Score this lead – proposal sent unscored",IF(N(AC337)&gt;=Settings!$S$3,"Close – 4 follow-ups sent",IF(AD337="",IF(AB337="","Make first contact",""),IF(TODAY()&gt;AD337,"OVERDUE follow-up",IF(TODAY()=AD337,"Follow up today","")))))))))</f>
        <v/>
      </c>
    </row>
    <row r="338" customFormat="false" ht="15" hidden="false" customHeight="false" outlineLevel="0" collapsed="false">
      <c r="A338" s="17"/>
      <c r="B338" s="40"/>
      <c r="C338" s="41"/>
      <c r="D338" s="17"/>
      <c r="E338" s="17"/>
      <c r="F338" s="17"/>
      <c r="G338" s="17"/>
      <c r="H338" s="17"/>
      <c r="I338" s="42"/>
      <c r="J338" s="17"/>
      <c r="K338" s="17"/>
      <c r="L338" s="17"/>
      <c r="M338" s="17"/>
      <c r="N338" s="40"/>
      <c r="O338" s="41"/>
      <c r="P338" s="43" t="str">
        <f aca="false">IF(OR(B338="",N338=""),"",ROUND(((N338+N(O338))-(B338+N(C338)))*24,1))</f>
        <v/>
      </c>
      <c r="Q338" s="17"/>
      <c r="R338" s="17"/>
      <c r="S338" s="17"/>
      <c r="T338" s="17"/>
      <c r="U338" s="17"/>
      <c r="V338" s="17"/>
      <c r="W338" s="44" t="str">
        <f aca="false">IF(OR(E338="",COUNTA(Q338:V338)=0),"",SUMIFS(Settings!$AA$2:$AA$21,Settings!$Y$2:$Y$21,"Budget AED 5k+/mo?",Settings!$Z$2:$Z$21,Q338)+SUMIFS(Settings!$AA$2:$AA$21,Settings!$Y$2:$Y$21,"Decision-maker?",Settings!$Z$2:$Z$21,R338)+SUMIFS(Settings!$AA$2:$AA$21,Settings!$Y$2:$Y$21,"Someone on camera?",Settings!$Z$2:$Z$21,S338)+SUMIFS(Settings!$AA$2:$AA$21,Settings!$Y$2:$Y$21,"OK with 3-month term?",Settings!$Z$2:$Z$21,T338)+SUMIFS(Settings!$AA$2:$AA$21,Settings!$Y$2:$Y$21,"Start timeline",Settings!$Z$2:$Z$21,U338)+SUMIFS(Settings!$AA$2:$AA$21,Settings!$Y$2:$Y$21,"Social media gap",Settings!$Z$2:$Z$21,V338)+IF(F338="",0,IF(COUNTIF(Settings!$AC$2:$AC$6,F338)&gt;0,Settings!$AA$20,Settings!$AA$21)))</f>
        <v/>
      </c>
      <c r="X338" s="44" t="str">
        <f aca="false">IF(E338="","",IF(COUNTA(Q338:V338)=0,"Not scored",IF(COUNTA(Q338:V338)&lt;6,"Partly scored ("&amp;COUNTA(Q338:V338)&amp;"/6)",IF(W338&gt;=Settings!$S$8,"Hot",IF(W338&gt;=Settings!$S$9,"Warm","Cold")))))</f>
        <v/>
      </c>
      <c r="Y338" s="44" t="str">
        <f aca="false">IF(E338="","",IF(AND(Q338="No",S338="No"),"🚩 Budget  ·  🚩 No one on camera",IF(Q338="No","🚩 Budget under AED 5k",IF(S338="No","🚩 No one on camera",""))))</f>
        <v/>
      </c>
      <c r="Z338" s="17"/>
      <c r="AA338" s="17"/>
      <c r="AB338" s="40"/>
      <c r="AC338" s="17"/>
      <c r="AD338" s="45" t="str">
        <f aca="false">IF(OR(E338="",AB338="",OR(AA338="Contract signed + paid",AA338="Closed – No response",AA338="Lost"),N(AC338)&gt;=Settings!$S$3),"",AB338+Settings!$S$2)</f>
        <v/>
      </c>
      <c r="AE338" s="40"/>
      <c r="AF338" s="41"/>
      <c r="AG338" s="17"/>
      <c r="AH338" s="17"/>
      <c r="AI338" s="17"/>
      <c r="AJ338" s="46" t="str">
        <f aca="true">IF(OR(E338="",B338=""),"",INT(TODAY()-B338))</f>
        <v/>
      </c>
      <c r="AK338" s="44" t="str">
        <f aca="true">IF(E338="","",IF(OR(COUNTIFS(Clients!$C$2:$C$501,E338,Clients!$S$2:$S$501,"Paid")&gt;0,AND(I338&lt;&gt;"",COUNTIFS(Clients!$E$2:$E$501,I338,Clients!$S$2:$S$501,"Paid")&gt;0)),"⚠ Refunded before – no free video",IF(OR(AA338="Contract signed + paid",AA338="Closed – No response",AA338="Lost"),"",IF(AA338="","Set a stage",IF(AND(AA338="Proposal sent",COUNTA(Q338:V338)&lt;6),"Score this lead – proposal sent unscored",IF(N(AC338)&gt;=Settings!$S$3,"Close – 4 follow-ups sent",IF(AD338="",IF(AB338="","Make first contact",""),IF(TODAY()&gt;AD338,"OVERDUE follow-up",IF(TODAY()=AD338,"Follow up today","")))))))))</f>
        <v/>
      </c>
    </row>
    <row r="339" customFormat="false" ht="15" hidden="false" customHeight="false" outlineLevel="0" collapsed="false">
      <c r="A339" s="17"/>
      <c r="B339" s="40"/>
      <c r="C339" s="41"/>
      <c r="D339" s="17"/>
      <c r="E339" s="17"/>
      <c r="F339" s="17"/>
      <c r="G339" s="17"/>
      <c r="H339" s="17"/>
      <c r="I339" s="42"/>
      <c r="J339" s="17"/>
      <c r="K339" s="17"/>
      <c r="L339" s="17"/>
      <c r="M339" s="17"/>
      <c r="N339" s="40"/>
      <c r="O339" s="41"/>
      <c r="P339" s="43" t="str">
        <f aca="false">IF(OR(B339="",N339=""),"",ROUND(((N339+N(O339))-(B339+N(C339)))*24,1))</f>
        <v/>
      </c>
      <c r="Q339" s="17"/>
      <c r="R339" s="17"/>
      <c r="S339" s="17"/>
      <c r="T339" s="17"/>
      <c r="U339" s="17"/>
      <c r="V339" s="17"/>
      <c r="W339" s="44" t="str">
        <f aca="false">IF(OR(E339="",COUNTA(Q339:V339)=0),"",SUMIFS(Settings!$AA$2:$AA$21,Settings!$Y$2:$Y$21,"Budget AED 5k+/mo?",Settings!$Z$2:$Z$21,Q339)+SUMIFS(Settings!$AA$2:$AA$21,Settings!$Y$2:$Y$21,"Decision-maker?",Settings!$Z$2:$Z$21,R339)+SUMIFS(Settings!$AA$2:$AA$21,Settings!$Y$2:$Y$21,"Someone on camera?",Settings!$Z$2:$Z$21,S339)+SUMIFS(Settings!$AA$2:$AA$21,Settings!$Y$2:$Y$21,"OK with 3-month term?",Settings!$Z$2:$Z$21,T339)+SUMIFS(Settings!$AA$2:$AA$21,Settings!$Y$2:$Y$21,"Start timeline",Settings!$Z$2:$Z$21,U339)+SUMIFS(Settings!$AA$2:$AA$21,Settings!$Y$2:$Y$21,"Social media gap",Settings!$Z$2:$Z$21,V339)+IF(F339="",0,IF(COUNTIF(Settings!$AC$2:$AC$6,F339)&gt;0,Settings!$AA$20,Settings!$AA$21)))</f>
        <v/>
      </c>
      <c r="X339" s="44" t="str">
        <f aca="false">IF(E339="","",IF(COUNTA(Q339:V339)=0,"Not scored",IF(COUNTA(Q339:V339)&lt;6,"Partly scored ("&amp;COUNTA(Q339:V339)&amp;"/6)",IF(W339&gt;=Settings!$S$8,"Hot",IF(W339&gt;=Settings!$S$9,"Warm","Cold")))))</f>
        <v/>
      </c>
      <c r="Y339" s="44" t="str">
        <f aca="false">IF(E339="","",IF(AND(Q339="No",S339="No"),"🚩 Budget  ·  🚩 No one on camera",IF(Q339="No","🚩 Budget under AED 5k",IF(S339="No","🚩 No one on camera",""))))</f>
        <v/>
      </c>
      <c r="Z339" s="17"/>
      <c r="AA339" s="17"/>
      <c r="AB339" s="40"/>
      <c r="AC339" s="17"/>
      <c r="AD339" s="45" t="str">
        <f aca="false">IF(OR(E339="",AB339="",OR(AA339="Contract signed + paid",AA339="Closed – No response",AA339="Lost"),N(AC339)&gt;=Settings!$S$3),"",AB339+Settings!$S$2)</f>
        <v/>
      </c>
      <c r="AE339" s="40"/>
      <c r="AF339" s="41"/>
      <c r="AG339" s="17"/>
      <c r="AH339" s="17"/>
      <c r="AI339" s="17"/>
      <c r="AJ339" s="46" t="str">
        <f aca="true">IF(OR(E339="",B339=""),"",INT(TODAY()-B339))</f>
        <v/>
      </c>
      <c r="AK339" s="44" t="str">
        <f aca="true">IF(E339="","",IF(OR(COUNTIFS(Clients!$C$2:$C$501,E339,Clients!$S$2:$S$501,"Paid")&gt;0,AND(I339&lt;&gt;"",COUNTIFS(Clients!$E$2:$E$501,I339,Clients!$S$2:$S$501,"Paid")&gt;0)),"⚠ Refunded before – no free video",IF(OR(AA339="Contract signed + paid",AA339="Closed – No response",AA339="Lost"),"",IF(AA339="","Set a stage",IF(AND(AA339="Proposal sent",COUNTA(Q339:V339)&lt;6),"Score this lead – proposal sent unscored",IF(N(AC339)&gt;=Settings!$S$3,"Close – 4 follow-ups sent",IF(AD339="",IF(AB339="","Make first contact",""),IF(TODAY()&gt;AD339,"OVERDUE follow-up",IF(TODAY()=AD339,"Follow up today","")))))))))</f>
        <v/>
      </c>
    </row>
    <row r="340" customFormat="false" ht="15" hidden="false" customHeight="false" outlineLevel="0" collapsed="false">
      <c r="A340" s="17"/>
      <c r="B340" s="40"/>
      <c r="C340" s="41"/>
      <c r="D340" s="17"/>
      <c r="E340" s="17"/>
      <c r="F340" s="17"/>
      <c r="G340" s="17"/>
      <c r="H340" s="17"/>
      <c r="I340" s="42"/>
      <c r="J340" s="17"/>
      <c r="K340" s="17"/>
      <c r="L340" s="17"/>
      <c r="M340" s="17"/>
      <c r="N340" s="40"/>
      <c r="O340" s="41"/>
      <c r="P340" s="43" t="str">
        <f aca="false">IF(OR(B340="",N340=""),"",ROUND(((N340+N(O340))-(B340+N(C340)))*24,1))</f>
        <v/>
      </c>
      <c r="Q340" s="17"/>
      <c r="R340" s="17"/>
      <c r="S340" s="17"/>
      <c r="T340" s="17"/>
      <c r="U340" s="17"/>
      <c r="V340" s="17"/>
      <c r="W340" s="44" t="str">
        <f aca="false">IF(OR(E340="",COUNTA(Q340:V340)=0),"",SUMIFS(Settings!$AA$2:$AA$21,Settings!$Y$2:$Y$21,"Budget AED 5k+/mo?",Settings!$Z$2:$Z$21,Q340)+SUMIFS(Settings!$AA$2:$AA$21,Settings!$Y$2:$Y$21,"Decision-maker?",Settings!$Z$2:$Z$21,R340)+SUMIFS(Settings!$AA$2:$AA$21,Settings!$Y$2:$Y$21,"Someone on camera?",Settings!$Z$2:$Z$21,S340)+SUMIFS(Settings!$AA$2:$AA$21,Settings!$Y$2:$Y$21,"OK with 3-month term?",Settings!$Z$2:$Z$21,T340)+SUMIFS(Settings!$AA$2:$AA$21,Settings!$Y$2:$Y$21,"Start timeline",Settings!$Z$2:$Z$21,U340)+SUMIFS(Settings!$AA$2:$AA$21,Settings!$Y$2:$Y$21,"Social media gap",Settings!$Z$2:$Z$21,V340)+IF(F340="",0,IF(COUNTIF(Settings!$AC$2:$AC$6,F340)&gt;0,Settings!$AA$20,Settings!$AA$21)))</f>
        <v/>
      </c>
      <c r="X340" s="44" t="str">
        <f aca="false">IF(E340="","",IF(COUNTA(Q340:V340)=0,"Not scored",IF(COUNTA(Q340:V340)&lt;6,"Partly scored ("&amp;COUNTA(Q340:V340)&amp;"/6)",IF(W340&gt;=Settings!$S$8,"Hot",IF(W340&gt;=Settings!$S$9,"Warm","Cold")))))</f>
        <v/>
      </c>
      <c r="Y340" s="44" t="str">
        <f aca="false">IF(E340="","",IF(AND(Q340="No",S340="No"),"🚩 Budget  ·  🚩 No one on camera",IF(Q340="No","🚩 Budget under AED 5k",IF(S340="No","🚩 No one on camera",""))))</f>
        <v/>
      </c>
      <c r="Z340" s="17"/>
      <c r="AA340" s="17"/>
      <c r="AB340" s="40"/>
      <c r="AC340" s="17"/>
      <c r="AD340" s="45" t="str">
        <f aca="false">IF(OR(E340="",AB340="",OR(AA340="Contract signed + paid",AA340="Closed – No response",AA340="Lost"),N(AC340)&gt;=Settings!$S$3),"",AB340+Settings!$S$2)</f>
        <v/>
      </c>
      <c r="AE340" s="40"/>
      <c r="AF340" s="41"/>
      <c r="AG340" s="17"/>
      <c r="AH340" s="17"/>
      <c r="AI340" s="17"/>
      <c r="AJ340" s="46" t="str">
        <f aca="true">IF(OR(E340="",B340=""),"",INT(TODAY()-B340))</f>
        <v/>
      </c>
      <c r="AK340" s="44" t="str">
        <f aca="true">IF(E340="","",IF(OR(COUNTIFS(Clients!$C$2:$C$501,E340,Clients!$S$2:$S$501,"Paid")&gt;0,AND(I340&lt;&gt;"",COUNTIFS(Clients!$E$2:$E$501,I340,Clients!$S$2:$S$501,"Paid")&gt;0)),"⚠ Refunded before – no free video",IF(OR(AA340="Contract signed + paid",AA340="Closed – No response",AA340="Lost"),"",IF(AA340="","Set a stage",IF(AND(AA340="Proposal sent",COUNTA(Q340:V340)&lt;6),"Score this lead – proposal sent unscored",IF(N(AC340)&gt;=Settings!$S$3,"Close – 4 follow-ups sent",IF(AD340="",IF(AB340="","Make first contact",""),IF(TODAY()&gt;AD340,"OVERDUE follow-up",IF(TODAY()=AD340,"Follow up today","")))))))))</f>
        <v/>
      </c>
    </row>
    <row r="341" customFormat="false" ht="15" hidden="false" customHeight="false" outlineLevel="0" collapsed="false">
      <c r="A341" s="17"/>
      <c r="B341" s="40"/>
      <c r="C341" s="41"/>
      <c r="D341" s="17"/>
      <c r="E341" s="17"/>
      <c r="F341" s="17"/>
      <c r="G341" s="17"/>
      <c r="H341" s="17"/>
      <c r="I341" s="42"/>
      <c r="J341" s="17"/>
      <c r="K341" s="17"/>
      <c r="L341" s="17"/>
      <c r="M341" s="17"/>
      <c r="N341" s="40"/>
      <c r="O341" s="41"/>
      <c r="P341" s="43" t="str">
        <f aca="false">IF(OR(B341="",N341=""),"",ROUND(((N341+N(O341))-(B341+N(C341)))*24,1))</f>
        <v/>
      </c>
      <c r="Q341" s="17"/>
      <c r="R341" s="17"/>
      <c r="S341" s="17"/>
      <c r="T341" s="17"/>
      <c r="U341" s="17"/>
      <c r="V341" s="17"/>
      <c r="W341" s="44" t="str">
        <f aca="false">IF(OR(E341="",COUNTA(Q341:V341)=0),"",SUMIFS(Settings!$AA$2:$AA$21,Settings!$Y$2:$Y$21,"Budget AED 5k+/mo?",Settings!$Z$2:$Z$21,Q341)+SUMIFS(Settings!$AA$2:$AA$21,Settings!$Y$2:$Y$21,"Decision-maker?",Settings!$Z$2:$Z$21,R341)+SUMIFS(Settings!$AA$2:$AA$21,Settings!$Y$2:$Y$21,"Someone on camera?",Settings!$Z$2:$Z$21,S341)+SUMIFS(Settings!$AA$2:$AA$21,Settings!$Y$2:$Y$21,"OK with 3-month term?",Settings!$Z$2:$Z$21,T341)+SUMIFS(Settings!$AA$2:$AA$21,Settings!$Y$2:$Y$21,"Start timeline",Settings!$Z$2:$Z$21,U341)+SUMIFS(Settings!$AA$2:$AA$21,Settings!$Y$2:$Y$21,"Social media gap",Settings!$Z$2:$Z$21,V341)+IF(F341="",0,IF(COUNTIF(Settings!$AC$2:$AC$6,F341)&gt;0,Settings!$AA$20,Settings!$AA$21)))</f>
        <v/>
      </c>
      <c r="X341" s="44" t="str">
        <f aca="false">IF(E341="","",IF(COUNTA(Q341:V341)=0,"Not scored",IF(COUNTA(Q341:V341)&lt;6,"Partly scored ("&amp;COUNTA(Q341:V341)&amp;"/6)",IF(W341&gt;=Settings!$S$8,"Hot",IF(W341&gt;=Settings!$S$9,"Warm","Cold")))))</f>
        <v/>
      </c>
      <c r="Y341" s="44" t="str">
        <f aca="false">IF(E341="","",IF(AND(Q341="No",S341="No"),"🚩 Budget  ·  🚩 No one on camera",IF(Q341="No","🚩 Budget under AED 5k",IF(S341="No","🚩 No one on camera",""))))</f>
        <v/>
      </c>
      <c r="Z341" s="17"/>
      <c r="AA341" s="17"/>
      <c r="AB341" s="40"/>
      <c r="AC341" s="17"/>
      <c r="AD341" s="45" t="str">
        <f aca="false">IF(OR(E341="",AB341="",OR(AA341="Contract signed + paid",AA341="Closed – No response",AA341="Lost"),N(AC341)&gt;=Settings!$S$3),"",AB341+Settings!$S$2)</f>
        <v/>
      </c>
      <c r="AE341" s="40"/>
      <c r="AF341" s="41"/>
      <c r="AG341" s="17"/>
      <c r="AH341" s="17"/>
      <c r="AI341" s="17"/>
      <c r="AJ341" s="46" t="str">
        <f aca="true">IF(OR(E341="",B341=""),"",INT(TODAY()-B341))</f>
        <v/>
      </c>
      <c r="AK341" s="44" t="str">
        <f aca="true">IF(E341="","",IF(OR(COUNTIFS(Clients!$C$2:$C$501,E341,Clients!$S$2:$S$501,"Paid")&gt;0,AND(I341&lt;&gt;"",COUNTIFS(Clients!$E$2:$E$501,I341,Clients!$S$2:$S$501,"Paid")&gt;0)),"⚠ Refunded before – no free video",IF(OR(AA341="Contract signed + paid",AA341="Closed – No response",AA341="Lost"),"",IF(AA341="","Set a stage",IF(AND(AA341="Proposal sent",COUNTA(Q341:V341)&lt;6),"Score this lead – proposal sent unscored",IF(N(AC341)&gt;=Settings!$S$3,"Close – 4 follow-ups sent",IF(AD341="",IF(AB341="","Make first contact",""),IF(TODAY()&gt;AD341,"OVERDUE follow-up",IF(TODAY()=AD341,"Follow up today","")))))))))</f>
        <v/>
      </c>
    </row>
    <row r="342" customFormat="false" ht="15" hidden="false" customHeight="false" outlineLevel="0" collapsed="false">
      <c r="A342" s="17"/>
      <c r="B342" s="40"/>
      <c r="C342" s="41"/>
      <c r="D342" s="17"/>
      <c r="E342" s="17"/>
      <c r="F342" s="17"/>
      <c r="G342" s="17"/>
      <c r="H342" s="17"/>
      <c r="I342" s="42"/>
      <c r="J342" s="17"/>
      <c r="K342" s="17"/>
      <c r="L342" s="17"/>
      <c r="M342" s="17"/>
      <c r="N342" s="40"/>
      <c r="O342" s="41"/>
      <c r="P342" s="43" t="str">
        <f aca="false">IF(OR(B342="",N342=""),"",ROUND(((N342+N(O342))-(B342+N(C342)))*24,1))</f>
        <v/>
      </c>
      <c r="Q342" s="17"/>
      <c r="R342" s="17"/>
      <c r="S342" s="17"/>
      <c r="T342" s="17"/>
      <c r="U342" s="17"/>
      <c r="V342" s="17"/>
      <c r="W342" s="44" t="str">
        <f aca="false">IF(OR(E342="",COUNTA(Q342:V342)=0),"",SUMIFS(Settings!$AA$2:$AA$21,Settings!$Y$2:$Y$21,"Budget AED 5k+/mo?",Settings!$Z$2:$Z$21,Q342)+SUMIFS(Settings!$AA$2:$AA$21,Settings!$Y$2:$Y$21,"Decision-maker?",Settings!$Z$2:$Z$21,R342)+SUMIFS(Settings!$AA$2:$AA$21,Settings!$Y$2:$Y$21,"Someone on camera?",Settings!$Z$2:$Z$21,S342)+SUMIFS(Settings!$AA$2:$AA$21,Settings!$Y$2:$Y$21,"OK with 3-month term?",Settings!$Z$2:$Z$21,T342)+SUMIFS(Settings!$AA$2:$AA$21,Settings!$Y$2:$Y$21,"Start timeline",Settings!$Z$2:$Z$21,U342)+SUMIFS(Settings!$AA$2:$AA$21,Settings!$Y$2:$Y$21,"Social media gap",Settings!$Z$2:$Z$21,V342)+IF(F342="",0,IF(COUNTIF(Settings!$AC$2:$AC$6,F342)&gt;0,Settings!$AA$20,Settings!$AA$21)))</f>
        <v/>
      </c>
      <c r="X342" s="44" t="str">
        <f aca="false">IF(E342="","",IF(COUNTA(Q342:V342)=0,"Not scored",IF(COUNTA(Q342:V342)&lt;6,"Partly scored ("&amp;COUNTA(Q342:V342)&amp;"/6)",IF(W342&gt;=Settings!$S$8,"Hot",IF(W342&gt;=Settings!$S$9,"Warm","Cold")))))</f>
        <v/>
      </c>
      <c r="Y342" s="44" t="str">
        <f aca="false">IF(E342="","",IF(AND(Q342="No",S342="No"),"🚩 Budget  ·  🚩 No one on camera",IF(Q342="No","🚩 Budget under AED 5k",IF(S342="No","🚩 No one on camera",""))))</f>
        <v/>
      </c>
      <c r="Z342" s="17"/>
      <c r="AA342" s="17"/>
      <c r="AB342" s="40"/>
      <c r="AC342" s="17"/>
      <c r="AD342" s="45" t="str">
        <f aca="false">IF(OR(E342="",AB342="",OR(AA342="Contract signed + paid",AA342="Closed – No response",AA342="Lost"),N(AC342)&gt;=Settings!$S$3),"",AB342+Settings!$S$2)</f>
        <v/>
      </c>
      <c r="AE342" s="40"/>
      <c r="AF342" s="41"/>
      <c r="AG342" s="17"/>
      <c r="AH342" s="17"/>
      <c r="AI342" s="17"/>
      <c r="AJ342" s="46" t="str">
        <f aca="true">IF(OR(E342="",B342=""),"",INT(TODAY()-B342))</f>
        <v/>
      </c>
      <c r="AK342" s="44" t="str">
        <f aca="true">IF(E342="","",IF(OR(COUNTIFS(Clients!$C$2:$C$501,E342,Clients!$S$2:$S$501,"Paid")&gt;0,AND(I342&lt;&gt;"",COUNTIFS(Clients!$E$2:$E$501,I342,Clients!$S$2:$S$501,"Paid")&gt;0)),"⚠ Refunded before – no free video",IF(OR(AA342="Contract signed + paid",AA342="Closed – No response",AA342="Lost"),"",IF(AA342="","Set a stage",IF(AND(AA342="Proposal sent",COUNTA(Q342:V342)&lt;6),"Score this lead – proposal sent unscored",IF(N(AC342)&gt;=Settings!$S$3,"Close – 4 follow-ups sent",IF(AD342="",IF(AB342="","Make first contact",""),IF(TODAY()&gt;AD342,"OVERDUE follow-up",IF(TODAY()=AD342,"Follow up today","")))))))))</f>
        <v/>
      </c>
    </row>
    <row r="343" customFormat="false" ht="15" hidden="false" customHeight="false" outlineLevel="0" collapsed="false">
      <c r="A343" s="17"/>
      <c r="B343" s="40"/>
      <c r="C343" s="41"/>
      <c r="D343" s="17"/>
      <c r="E343" s="17"/>
      <c r="F343" s="17"/>
      <c r="G343" s="17"/>
      <c r="H343" s="17"/>
      <c r="I343" s="42"/>
      <c r="J343" s="17"/>
      <c r="K343" s="17"/>
      <c r="L343" s="17"/>
      <c r="M343" s="17"/>
      <c r="N343" s="40"/>
      <c r="O343" s="41"/>
      <c r="P343" s="43" t="str">
        <f aca="false">IF(OR(B343="",N343=""),"",ROUND(((N343+N(O343))-(B343+N(C343)))*24,1))</f>
        <v/>
      </c>
      <c r="Q343" s="17"/>
      <c r="R343" s="17"/>
      <c r="S343" s="17"/>
      <c r="T343" s="17"/>
      <c r="U343" s="17"/>
      <c r="V343" s="17"/>
      <c r="W343" s="44" t="str">
        <f aca="false">IF(OR(E343="",COUNTA(Q343:V343)=0),"",SUMIFS(Settings!$AA$2:$AA$21,Settings!$Y$2:$Y$21,"Budget AED 5k+/mo?",Settings!$Z$2:$Z$21,Q343)+SUMIFS(Settings!$AA$2:$AA$21,Settings!$Y$2:$Y$21,"Decision-maker?",Settings!$Z$2:$Z$21,R343)+SUMIFS(Settings!$AA$2:$AA$21,Settings!$Y$2:$Y$21,"Someone on camera?",Settings!$Z$2:$Z$21,S343)+SUMIFS(Settings!$AA$2:$AA$21,Settings!$Y$2:$Y$21,"OK with 3-month term?",Settings!$Z$2:$Z$21,T343)+SUMIFS(Settings!$AA$2:$AA$21,Settings!$Y$2:$Y$21,"Start timeline",Settings!$Z$2:$Z$21,U343)+SUMIFS(Settings!$AA$2:$AA$21,Settings!$Y$2:$Y$21,"Social media gap",Settings!$Z$2:$Z$21,V343)+IF(F343="",0,IF(COUNTIF(Settings!$AC$2:$AC$6,F343)&gt;0,Settings!$AA$20,Settings!$AA$21)))</f>
        <v/>
      </c>
      <c r="X343" s="44" t="str">
        <f aca="false">IF(E343="","",IF(COUNTA(Q343:V343)=0,"Not scored",IF(COUNTA(Q343:V343)&lt;6,"Partly scored ("&amp;COUNTA(Q343:V343)&amp;"/6)",IF(W343&gt;=Settings!$S$8,"Hot",IF(W343&gt;=Settings!$S$9,"Warm","Cold")))))</f>
        <v/>
      </c>
      <c r="Y343" s="44" t="str">
        <f aca="false">IF(E343="","",IF(AND(Q343="No",S343="No"),"🚩 Budget  ·  🚩 No one on camera",IF(Q343="No","🚩 Budget under AED 5k",IF(S343="No","🚩 No one on camera",""))))</f>
        <v/>
      </c>
      <c r="Z343" s="17"/>
      <c r="AA343" s="17"/>
      <c r="AB343" s="40"/>
      <c r="AC343" s="17"/>
      <c r="AD343" s="45" t="str">
        <f aca="false">IF(OR(E343="",AB343="",OR(AA343="Contract signed + paid",AA343="Closed – No response",AA343="Lost"),N(AC343)&gt;=Settings!$S$3),"",AB343+Settings!$S$2)</f>
        <v/>
      </c>
      <c r="AE343" s="40"/>
      <c r="AF343" s="41"/>
      <c r="AG343" s="17"/>
      <c r="AH343" s="17"/>
      <c r="AI343" s="17"/>
      <c r="AJ343" s="46" t="str">
        <f aca="true">IF(OR(E343="",B343=""),"",INT(TODAY()-B343))</f>
        <v/>
      </c>
      <c r="AK343" s="44" t="str">
        <f aca="true">IF(E343="","",IF(OR(COUNTIFS(Clients!$C$2:$C$501,E343,Clients!$S$2:$S$501,"Paid")&gt;0,AND(I343&lt;&gt;"",COUNTIFS(Clients!$E$2:$E$501,I343,Clients!$S$2:$S$501,"Paid")&gt;0)),"⚠ Refunded before – no free video",IF(OR(AA343="Contract signed + paid",AA343="Closed – No response",AA343="Lost"),"",IF(AA343="","Set a stage",IF(AND(AA343="Proposal sent",COUNTA(Q343:V343)&lt;6),"Score this lead – proposal sent unscored",IF(N(AC343)&gt;=Settings!$S$3,"Close – 4 follow-ups sent",IF(AD343="",IF(AB343="","Make first contact",""),IF(TODAY()&gt;AD343,"OVERDUE follow-up",IF(TODAY()=AD343,"Follow up today","")))))))))</f>
        <v/>
      </c>
    </row>
    <row r="344" customFormat="false" ht="15" hidden="false" customHeight="false" outlineLevel="0" collapsed="false">
      <c r="A344" s="17"/>
      <c r="B344" s="40"/>
      <c r="C344" s="41"/>
      <c r="D344" s="17"/>
      <c r="E344" s="17"/>
      <c r="F344" s="17"/>
      <c r="G344" s="17"/>
      <c r="H344" s="17"/>
      <c r="I344" s="42"/>
      <c r="J344" s="17"/>
      <c r="K344" s="17"/>
      <c r="L344" s="17"/>
      <c r="M344" s="17"/>
      <c r="N344" s="40"/>
      <c r="O344" s="41"/>
      <c r="P344" s="43" t="str">
        <f aca="false">IF(OR(B344="",N344=""),"",ROUND(((N344+N(O344))-(B344+N(C344)))*24,1))</f>
        <v/>
      </c>
      <c r="Q344" s="17"/>
      <c r="R344" s="17"/>
      <c r="S344" s="17"/>
      <c r="T344" s="17"/>
      <c r="U344" s="17"/>
      <c r="V344" s="17"/>
      <c r="W344" s="44" t="str">
        <f aca="false">IF(OR(E344="",COUNTA(Q344:V344)=0),"",SUMIFS(Settings!$AA$2:$AA$21,Settings!$Y$2:$Y$21,"Budget AED 5k+/mo?",Settings!$Z$2:$Z$21,Q344)+SUMIFS(Settings!$AA$2:$AA$21,Settings!$Y$2:$Y$21,"Decision-maker?",Settings!$Z$2:$Z$21,R344)+SUMIFS(Settings!$AA$2:$AA$21,Settings!$Y$2:$Y$21,"Someone on camera?",Settings!$Z$2:$Z$21,S344)+SUMIFS(Settings!$AA$2:$AA$21,Settings!$Y$2:$Y$21,"OK with 3-month term?",Settings!$Z$2:$Z$21,T344)+SUMIFS(Settings!$AA$2:$AA$21,Settings!$Y$2:$Y$21,"Start timeline",Settings!$Z$2:$Z$21,U344)+SUMIFS(Settings!$AA$2:$AA$21,Settings!$Y$2:$Y$21,"Social media gap",Settings!$Z$2:$Z$21,V344)+IF(F344="",0,IF(COUNTIF(Settings!$AC$2:$AC$6,F344)&gt;0,Settings!$AA$20,Settings!$AA$21)))</f>
        <v/>
      </c>
      <c r="X344" s="44" t="str">
        <f aca="false">IF(E344="","",IF(COUNTA(Q344:V344)=0,"Not scored",IF(COUNTA(Q344:V344)&lt;6,"Partly scored ("&amp;COUNTA(Q344:V344)&amp;"/6)",IF(W344&gt;=Settings!$S$8,"Hot",IF(W344&gt;=Settings!$S$9,"Warm","Cold")))))</f>
        <v/>
      </c>
      <c r="Y344" s="44" t="str">
        <f aca="false">IF(E344="","",IF(AND(Q344="No",S344="No"),"🚩 Budget  ·  🚩 No one on camera",IF(Q344="No","🚩 Budget under AED 5k",IF(S344="No","🚩 No one on camera",""))))</f>
        <v/>
      </c>
      <c r="Z344" s="17"/>
      <c r="AA344" s="17"/>
      <c r="AB344" s="40"/>
      <c r="AC344" s="17"/>
      <c r="AD344" s="45" t="str">
        <f aca="false">IF(OR(E344="",AB344="",OR(AA344="Contract signed + paid",AA344="Closed – No response",AA344="Lost"),N(AC344)&gt;=Settings!$S$3),"",AB344+Settings!$S$2)</f>
        <v/>
      </c>
      <c r="AE344" s="40"/>
      <c r="AF344" s="41"/>
      <c r="AG344" s="17"/>
      <c r="AH344" s="17"/>
      <c r="AI344" s="17"/>
      <c r="AJ344" s="46" t="str">
        <f aca="true">IF(OR(E344="",B344=""),"",INT(TODAY()-B344))</f>
        <v/>
      </c>
      <c r="AK344" s="44" t="str">
        <f aca="true">IF(E344="","",IF(OR(COUNTIFS(Clients!$C$2:$C$501,E344,Clients!$S$2:$S$501,"Paid")&gt;0,AND(I344&lt;&gt;"",COUNTIFS(Clients!$E$2:$E$501,I344,Clients!$S$2:$S$501,"Paid")&gt;0)),"⚠ Refunded before – no free video",IF(OR(AA344="Contract signed + paid",AA344="Closed – No response",AA344="Lost"),"",IF(AA344="","Set a stage",IF(AND(AA344="Proposal sent",COUNTA(Q344:V344)&lt;6),"Score this lead – proposal sent unscored",IF(N(AC344)&gt;=Settings!$S$3,"Close – 4 follow-ups sent",IF(AD344="",IF(AB344="","Make first contact",""),IF(TODAY()&gt;AD344,"OVERDUE follow-up",IF(TODAY()=AD344,"Follow up today","")))))))))</f>
        <v/>
      </c>
    </row>
    <row r="345" customFormat="false" ht="15" hidden="false" customHeight="false" outlineLevel="0" collapsed="false">
      <c r="A345" s="17"/>
      <c r="B345" s="40"/>
      <c r="C345" s="41"/>
      <c r="D345" s="17"/>
      <c r="E345" s="17"/>
      <c r="F345" s="17"/>
      <c r="G345" s="17"/>
      <c r="H345" s="17"/>
      <c r="I345" s="42"/>
      <c r="J345" s="17"/>
      <c r="K345" s="17"/>
      <c r="L345" s="17"/>
      <c r="M345" s="17"/>
      <c r="N345" s="40"/>
      <c r="O345" s="41"/>
      <c r="P345" s="43" t="str">
        <f aca="false">IF(OR(B345="",N345=""),"",ROUND(((N345+N(O345))-(B345+N(C345)))*24,1))</f>
        <v/>
      </c>
      <c r="Q345" s="17"/>
      <c r="R345" s="17"/>
      <c r="S345" s="17"/>
      <c r="T345" s="17"/>
      <c r="U345" s="17"/>
      <c r="V345" s="17"/>
      <c r="W345" s="44" t="str">
        <f aca="false">IF(OR(E345="",COUNTA(Q345:V345)=0),"",SUMIFS(Settings!$AA$2:$AA$21,Settings!$Y$2:$Y$21,"Budget AED 5k+/mo?",Settings!$Z$2:$Z$21,Q345)+SUMIFS(Settings!$AA$2:$AA$21,Settings!$Y$2:$Y$21,"Decision-maker?",Settings!$Z$2:$Z$21,R345)+SUMIFS(Settings!$AA$2:$AA$21,Settings!$Y$2:$Y$21,"Someone on camera?",Settings!$Z$2:$Z$21,S345)+SUMIFS(Settings!$AA$2:$AA$21,Settings!$Y$2:$Y$21,"OK with 3-month term?",Settings!$Z$2:$Z$21,T345)+SUMIFS(Settings!$AA$2:$AA$21,Settings!$Y$2:$Y$21,"Start timeline",Settings!$Z$2:$Z$21,U345)+SUMIFS(Settings!$AA$2:$AA$21,Settings!$Y$2:$Y$21,"Social media gap",Settings!$Z$2:$Z$21,V345)+IF(F345="",0,IF(COUNTIF(Settings!$AC$2:$AC$6,F345)&gt;0,Settings!$AA$20,Settings!$AA$21)))</f>
        <v/>
      </c>
      <c r="X345" s="44" t="str">
        <f aca="false">IF(E345="","",IF(COUNTA(Q345:V345)=0,"Not scored",IF(COUNTA(Q345:V345)&lt;6,"Partly scored ("&amp;COUNTA(Q345:V345)&amp;"/6)",IF(W345&gt;=Settings!$S$8,"Hot",IF(W345&gt;=Settings!$S$9,"Warm","Cold")))))</f>
        <v/>
      </c>
      <c r="Y345" s="44" t="str">
        <f aca="false">IF(E345="","",IF(AND(Q345="No",S345="No"),"🚩 Budget  ·  🚩 No one on camera",IF(Q345="No","🚩 Budget under AED 5k",IF(S345="No","🚩 No one on camera",""))))</f>
        <v/>
      </c>
      <c r="Z345" s="17"/>
      <c r="AA345" s="17"/>
      <c r="AB345" s="40"/>
      <c r="AC345" s="17"/>
      <c r="AD345" s="45" t="str">
        <f aca="false">IF(OR(E345="",AB345="",OR(AA345="Contract signed + paid",AA345="Closed – No response",AA345="Lost"),N(AC345)&gt;=Settings!$S$3),"",AB345+Settings!$S$2)</f>
        <v/>
      </c>
      <c r="AE345" s="40"/>
      <c r="AF345" s="41"/>
      <c r="AG345" s="17"/>
      <c r="AH345" s="17"/>
      <c r="AI345" s="17"/>
      <c r="AJ345" s="46" t="str">
        <f aca="true">IF(OR(E345="",B345=""),"",INT(TODAY()-B345))</f>
        <v/>
      </c>
      <c r="AK345" s="44" t="str">
        <f aca="true">IF(E345="","",IF(OR(COUNTIFS(Clients!$C$2:$C$501,E345,Clients!$S$2:$S$501,"Paid")&gt;0,AND(I345&lt;&gt;"",COUNTIFS(Clients!$E$2:$E$501,I345,Clients!$S$2:$S$501,"Paid")&gt;0)),"⚠ Refunded before – no free video",IF(OR(AA345="Contract signed + paid",AA345="Closed – No response",AA345="Lost"),"",IF(AA345="","Set a stage",IF(AND(AA345="Proposal sent",COUNTA(Q345:V345)&lt;6),"Score this lead – proposal sent unscored",IF(N(AC345)&gt;=Settings!$S$3,"Close – 4 follow-ups sent",IF(AD345="",IF(AB345="","Make first contact",""),IF(TODAY()&gt;AD345,"OVERDUE follow-up",IF(TODAY()=AD345,"Follow up today","")))))))))</f>
        <v/>
      </c>
    </row>
    <row r="346" customFormat="false" ht="15" hidden="false" customHeight="false" outlineLevel="0" collapsed="false">
      <c r="A346" s="17"/>
      <c r="B346" s="40"/>
      <c r="C346" s="41"/>
      <c r="D346" s="17"/>
      <c r="E346" s="17"/>
      <c r="F346" s="17"/>
      <c r="G346" s="17"/>
      <c r="H346" s="17"/>
      <c r="I346" s="42"/>
      <c r="J346" s="17"/>
      <c r="K346" s="17"/>
      <c r="L346" s="17"/>
      <c r="M346" s="17"/>
      <c r="N346" s="40"/>
      <c r="O346" s="41"/>
      <c r="P346" s="43" t="str">
        <f aca="false">IF(OR(B346="",N346=""),"",ROUND(((N346+N(O346))-(B346+N(C346)))*24,1))</f>
        <v/>
      </c>
      <c r="Q346" s="17"/>
      <c r="R346" s="17"/>
      <c r="S346" s="17"/>
      <c r="T346" s="17"/>
      <c r="U346" s="17"/>
      <c r="V346" s="17"/>
      <c r="W346" s="44" t="str">
        <f aca="false">IF(OR(E346="",COUNTA(Q346:V346)=0),"",SUMIFS(Settings!$AA$2:$AA$21,Settings!$Y$2:$Y$21,"Budget AED 5k+/mo?",Settings!$Z$2:$Z$21,Q346)+SUMIFS(Settings!$AA$2:$AA$21,Settings!$Y$2:$Y$21,"Decision-maker?",Settings!$Z$2:$Z$21,R346)+SUMIFS(Settings!$AA$2:$AA$21,Settings!$Y$2:$Y$21,"Someone on camera?",Settings!$Z$2:$Z$21,S346)+SUMIFS(Settings!$AA$2:$AA$21,Settings!$Y$2:$Y$21,"OK with 3-month term?",Settings!$Z$2:$Z$21,T346)+SUMIFS(Settings!$AA$2:$AA$21,Settings!$Y$2:$Y$21,"Start timeline",Settings!$Z$2:$Z$21,U346)+SUMIFS(Settings!$AA$2:$AA$21,Settings!$Y$2:$Y$21,"Social media gap",Settings!$Z$2:$Z$21,V346)+IF(F346="",0,IF(COUNTIF(Settings!$AC$2:$AC$6,F346)&gt;0,Settings!$AA$20,Settings!$AA$21)))</f>
        <v/>
      </c>
      <c r="X346" s="44" t="str">
        <f aca="false">IF(E346="","",IF(COUNTA(Q346:V346)=0,"Not scored",IF(COUNTA(Q346:V346)&lt;6,"Partly scored ("&amp;COUNTA(Q346:V346)&amp;"/6)",IF(W346&gt;=Settings!$S$8,"Hot",IF(W346&gt;=Settings!$S$9,"Warm","Cold")))))</f>
        <v/>
      </c>
      <c r="Y346" s="44" t="str">
        <f aca="false">IF(E346="","",IF(AND(Q346="No",S346="No"),"🚩 Budget  ·  🚩 No one on camera",IF(Q346="No","🚩 Budget under AED 5k",IF(S346="No","🚩 No one on camera",""))))</f>
        <v/>
      </c>
      <c r="Z346" s="17"/>
      <c r="AA346" s="17"/>
      <c r="AB346" s="40"/>
      <c r="AC346" s="17"/>
      <c r="AD346" s="45" t="str">
        <f aca="false">IF(OR(E346="",AB346="",OR(AA346="Contract signed + paid",AA346="Closed – No response",AA346="Lost"),N(AC346)&gt;=Settings!$S$3),"",AB346+Settings!$S$2)</f>
        <v/>
      </c>
      <c r="AE346" s="40"/>
      <c r="AF346" s="41"/>
      <c r="AG346" s="17"/>
      <c r="AH346" s="17"/>
      <c r="AI346" s="17"/>
      <c r="AJ346" s="46" t="str">
        <f aca="true">IF(OR(E346="",B346=""),"",INT(TODAY()-B346))</f>
        <v/>
      </c>
      <c r="AK346" s="44" t="str">
        <f aca="true">IF(E346="","",IF(OR(COUNTIFS(Clients!$C$2:$C$501,E346,Clients!$S$2:$S$501,"Paid")&gt;0,AND(I346&lt;&gt;"",COUNTIFS(Clients!$E$2:$E$501,I346,Clients!$S$2:$S$501,"Paid")&gt;0)),"⚠ Refunded before – no free video",IF(OR(AA346="Contract signed + paid",AA346="Closed – No response",AA346="Lost"),"",IF(AA346="","Set a stage",IF(AND(AA346="Proposal sent",COUNTA(Q346:V346)&lt;6),"Score this lead – proposal sent unscored",IF(N(AC346)&gt;=Settings!$S$3,"Close – 4 follow-ups sent",IF(AD346="",IF(AB346="","Make first contact",""),IF(TODAY()&gt;AD346,"OVERDUE follow-up",IF(TODAY()=AD346,"Follow up today","")))))))))</f>
        <v/>
      </c>
    </row>
    <row r="347" customFormat="false" ht="15" hidden="false" customHeight="false" outlineLevel="0" collapsed="false">
      <c r="A347" s="17"/>
      <c r="B347" s="40"/>
      <c r="C347" s="41"/>
      <c r="D347" s="17"/>
      <c r="E347" s="17"/>
      <c r="F347" s="17"/>
      <c r="G347" s="17"/>
      <c r="H347" s="17"/>
      <c r="I347" s="42"/>
      <c r="J347" s="17"/>
      <c r="K347" s="17"/>
      <c r="L347" s="17"/>
      <c r="M347" s="17"/>
      <c r="N347" s="40"/>
      <c r="O347" s="41"/>
      <c r="P347" s="43" t="str">
        <f aca="false">IF(OR(B347="",N347=""),"",ROUND(((N347+N(O347))-(B347+N(C347)))*24,1))</f>
        <v/>
      </c>
      <c r="Q347" s="17"/>
      <c r="R347" s="17"/>
      <c r="S347" s="17"/>
      <c r="T347" s="17"/>
      <c r="U347" s="17"/>
      <c r="V347" s="17"/>
      <c r="W347" s="44" t="str">
        <f aca="false">IF(OR(E347="",COUNTA(Q347:V347)=0),"",SUMIFS(Settings!$AA$2:$AA$21,Settings!$Y$2:$Y$21,"Budget AED 5k+/mo?",Settings!$Z$2:$Z$21,Q347)+SUMIFS(Settings!$AA$2:$AA$21,Settings!$Y$2:$Y$21,"Decision-maker?",Settings!$Z$2:$Z$21,R347)+SUMIFS(Settings!$AA$2:$AA$21,Settings!$Y$2:$Y$21,"Someone on camera?",Settings!$Z$2:$Z$21,S347)+SUMIFS(Settings!$AA$2:$AA$21,Settings!$Y$2:$Y$21,"OK with 3-month term?",Settings!$Z$2:$Z$21,T347)+SUMIFS(Settings!$AA$2:$AA$21,Settings!$Y$2:$Y$21,"Start timeline",Settings!$Z$2:$Z$21,U347)+SUMIFS(Settings!$AA$2:$AA$21,Settings!$Y$2:$Y$21,"Social media gap",Settings!$Z$2:$Z$21,V347)+IF(F347="",0,IF(COUNTIF(Settings!$AC$2:$AC$6,F347)&gt;0,Settings!$AA$20,Settings!$AA$21)))</f>
        <v/>
      </c>
      <c r="X347" s="44" t="str">
        <f aca="false">IF(E347="","",IF(COUNTA(Q347:V347)=0,"Not scored",IF(COUNTA(Q347:V347)&lt;6,"Partly scored ("&amp;COUNTA(Q347:V347)&amp;"/6)",IF(W347&gt;=Settings!$S$8,"Hot",IF(W347&gt;=Settings!$S$9,"Warm","Cold")))))</f>
        <v/>
      </c>
      <c r="Y347" s="44" t="str">
        <f aca="false">IF(E347="","",IF(AND(Q347="No",S347="No"),"🚩 Budget  ·  🚩 No one on camera",IF(Q347="No","🚩 Budget under AED 5k",IF(S347="No","🚩 No one on camera",""))))</f>
        <v/>
      </c>
      <c r="Z347" s="17"/>
      <c r="AA347" s="17"/>
      <c r="AB347" s="40"/>
      <c r="AC347" s="17"/>
      <c r="AD347" s="45" t="str">
        <f aca="false">IF(OR(E347="",AB347="",OR(AA347="Contract signed + paid",AA347="Closed – No response",AA347="Lost"),N(AC347)&gt;=Settings!$S$3),"",AB347+Settings!$S$2)</f>
        <v/>
      </c>
      <c r="AE347" s="40"/>
      <c r="AF347" s="41"/>
      <c r="AG347" s="17"/>
      <c r="AH347" s="17"/>
      <c r="AI347" s="17"/>
      <c r="AJ347" s="46" t="str">
        <f aca="true">IF(OR(E347="",B347=""),"",INT(TODAY()-B347))</f>
        <v/>
      </c>
      <c r="AK347" s="44" t="str">
        <f aca="true">IF(E347="","",IF(OR(COUNTIFS(Clients!$C$2:$C$501,E347,Clients!$S$2:$S$501,"Paid")&gt;0,AND(I347&lt;&gt;"",COUNTIFS(Clients!$E$2:$E$501,I347,Clients!$S$2:$S$501,"Paid")&gt;0)),"⚠ Refunded before – no free video",IF(OR(AA347="Contract signed + paid",AA347="Closed – No response",AA347="Lost"),"",IF(AA347="","Set a stage",IF(AND(AA347="Proposal sent",COUNTA(Q347:V347)&lt;6),"Score this lead – proposal sent unscored",IF(N(AC347)&gt;=Settings!$S$3,"Close – 4 follow-ups sent",IF(AD347="",IF(AB347="","Make first contact",""),IF(TODAY()&gt;AD347,"OVERDUE follow-up",IF(TODAY()=AD347,"Follow up today","")))))))))</f>
        <v/>
      </c>
    </row>
    <row r="348" customFormat="false" ht="15" hidden="false" customHeight="false" outlineLevel="0" collapsed="false">
      <c r="A348" s="17"/>
      <c r="B348" s="40"/>
      <c r="C348" s="41"/>
      <c r="D348" s="17"/>
      <c r="E348" s="17"/>
      <c r="F348" s="17"/>
      <c r="G348" s="17"/>
      <c r="H348" s="17"/>
      <c r="I348" s="42"/>
      <c r="J348" s="17"/>
      <c r="K348" s="17"/>
      <c r="L348" s="17"/>
      <c r="M348" s="17"/>
      <c r="N348" s="40"/>
      <c r="O348" s="41"/>
      <c r="P348" s="43" t="str">
        <f aca="false">IF(OR(B348="",N348=""),"",ROUND(((N348+N(O348))-(B348+N(C348)))*24,1))</f>
        <v/>
      </c>
      <c r="Q348" s="17"/>
      <c r="R348" s="17"/>
      <c r="S348" s="17"/>
      <c r="T348" s="17"/>
      <c r="U348" s="17"/>
      <c r="V348" s="17"/>
      <c r="W348" s="44" t="str">
        <f aca="false">IF(OR(E348="",COUNTA(Q348:V348)=0),"",SUMIFS(Settings!$AA$2:$AA$21,Settings!$Y$2:$Y$21,"Budget AED 5k+/mo?",Settings!$Z$2:$Z$21,Q348)+SUMIFS(Settings!$AA$2:$AA$21,Settings!$Y$2:$Y$21,"Decision-maker?",Settings!$Z$2:$Z$21,R348)+SUMIFS(Settings!$AA$2:$AA$21,Settings!$Y$2:$Y$21,"Someone on camera?",Settings!$Z$2:$Z$21,S348)+SUMIFS(Settings!$AA$2:$AA$21,Settings!$Y$2:$Y$21,"OK with 3-month term?",Settings!$Z$2:$Z$21,T348)+SUMIFS(Settings!$AA$2:$AA$21,Settings!$Y$2:$Y$21,"Start timeline",Settings!$Z$2:$Z$21,U348)+SUMIFS(Settings!$AA$2:$AA$21,Settings!$Y$2:$Y$21,"Social media gap",Settings!$Z$2:$Z$21,V348)+IF(F348="",0,IF(COUNTIF(Settings!$AC$2:$AC$6,F348)&gt;0,Settings!$AA$20,Settings!$AA$21)))</f>
        <v/>
      </c>
      <c r="X348" s="44" t="str">
        <f aca="false">IF(E348="","",IF(COUNTA(Q348:V348)=0,"Not scored",IF(COUNTA(Q348:V348)&lt;6,"Partly scored ("&amp;COUNTA(Q348:V348)&amp;"/6)",IF(W348&gt;=Settings!$S$8,"Hot",IF(W348&gt;=Settings!$S$9,"Warm","Cold")))))</f>
        <v/>
      </c>
      <c r="Y348" s="44" t="str">
        <f aca="false">IF(E348="","",IF(AND(Q348="No",S348="No"),"🚩 Budget  ·  🚩 No one on camera",IF(Q348="No","🚩 Budget under AED 5k",IF(S348="No","🚩 No one on camera",""))))</f>
        <v/>
      </c>
      <c r="Z348" s="17"/>
      <c r="AA348" s="17"/>
      <c r="AB348" s="40"/>
      <c r="AC348" s="17"/>
      <c r="AD348" s="45" t="str">
        <f aca="false">IF(OR(E348="",AB348="",OR(AA348="Contract signed + paid",AA348="Closed – No response",AA348="Lost"),N(AC348)&gt;=Settings!$S$3),"",AB348+Settings!$S$2)</f>
        <v/>
      </c>
      <c r="AE348" s="40"/>
      <c r="AF348" s="41"/>
      <c r="AG348" s="17"/>
      <c r="AH348" s="17"/>
      <c r="AI348" s="17"/>
      <c r="AJ348" s="46" t="str">
        <f aca="true">IF(OR(E348="",B348=""),"",INT(TODAY()-B348))</f>
        <v/>
      </c>
      <c r="AK348" s="44" t="str">
        <f aca="true">IF(E348="","",IF(OR(COUNTIFS(Clients!$C$2:$C$501,E348,Clients!$S$2:$S$501,"Paid")&gt;0,AND(I348&lt;&gt;"",COUNTIFS(Clients!$E$2:$E$501,I348,Clients!$S$2:$S$501,"Paid")&gt;0)),"⚠ Refunded before – no free video",IF(OR(AA348="Contract signed + paid",AA348="Closed – No response",AA348="Lost"),"",IF(AA348="","Set a stage",IF(AND(AA348="Proposal sent",COUNTA(Q348:V348)&lt;6),"Score this lead – proposal sent unscored",IF(N(AC348)&gt;=Settings!$S$3,"Close – 4 follow-ups sent",IF(AD348="",IF(AB348="","Make first contact",""),IF(TODAY()&gt;AD348,"OVERDUE follow-up",IF(TODAY()=AD348,"Follow up today","")))))))))</f>
        <v/>
      </c>
    </row>
    <row r="349" customFormat="false" ht="15" hidden="false" customHeight="false" outlineLevel="0" collapsed="false">
      <c r="A349" s="17"/>
      <c r="B349" s="40"/>
      <c r="C349" s="41"/>
      <c r="D349" s="17"/>
      <c r="E349" s="17"/>
      <c r="F349" s="17"/>
      <c r="G349" s="17"/>
      <c r="H349" s="17"/>
      <c r="I349" s="42"/>
      <c r="J349" s="17"/>
      <c r="K349" s="17"/>
      <c r="L349" s="17"/>
      <c r="M349" s="17"/>
      <c r="N349" s="40"/>
      <c r="O349" s="41"/>
      <c r="P349" s="43" t="str">
        <f aca="false">IF(OR(B349="",N349=""),"",ROUND(((N349+N(O349))-(B349+N(C349)))*24,1))</f>
        <v/>
      </c>
      <c r="Q349" s="17"/>
      <c r="R349" s="17"/>
      <c r="S349" s="17"/>
      <c r="T349" s="17"/>
      <c r="U349" s="17"/>
      <c r="V349" s="17"/>
      <c r="W349" s="44" t="str">
        <f aca="false">IF(OR(E349="",COUNTA(Q349:V349)=0),"",SUMIFS(Settings!$AA$2:$AA$21,Settings!$Y$2:$Y$21,"Budget AED 5k+/mo?",Settings!$Z$2:$Z$21,Q349)+SUMIFS(Settings!$AA$2:$AA$21,Settings!$Y$2:$Y$21,"Decision-maker?",Settings!$Z$2:$Z$21,R349)+SUMIFS(Settings!$AA$2:$AA$21,Settings!$Y$2:$Y$21,"Someone on camera?",Settings!$Z$2:$Z$21,S349)+SUMIFS(Settings!$AA$2:$AA$21,Settings!$Y$2:$Y$21,"OK with 3-month term?",Settings!$Z$2:$Z$21,T349)+SUMIFS(Settings!$AA$2:$AA$21,Settings!$Y$2:$Y$21,"Start timeline",Settings!$Z$2:$Z$21,U349)+SUMIFS(Settings!$AA$2:$AA$21,Settings!$Y$2:$Y$21,"Social media gap",Settings!$Z$2:$Z$21,V349)+IF(F349="",0,IF(COUNTIF(Settings!$AC$2:$AC$6,F349)&gt;0,Settings!$AA$20,Settings!$AA$21)))</f>
        <v/>
      </c>
      <c r="X349" s="44" t="str">
        <f aca="false">IF(E349="","",IF(COUNTA(Q349:V349)=0,"Not scored",IF(COUNTA(Q349:V349)&lt;6,"Partly scored ("&amp;COUNTA(Q349:V349)&amp;"/6)",IF(W349&gt;=Settings!$S$8,"Hot",IF(W349&gt;=Settings!$S$9,"Warm","Cold")))))</f>
        <v/>
      </c>
      <c r="Y349" s="44" t="str">
        <f aca="false">IF(E349="","",IF(AND(Q349="No",S349="No"),"🚩 Budget  ·  🚩 No one on camera",IF(Q349="No","🚩 Budget under AED 5k",IF(S349="No","🚩 No one on camera",""))))</f>
        <v/>
      </c>
      <c r="Z349" s="17"/>
      <c r="AA349" s="17"/>
      <c r="AB349" s="40"/>
      <c r="AC349" s="17"/>
      <c r="AD349" s="45" t="str">
        <f aca="false">IF(OR(E349="",AB349="",OR(AA349="Contract signed + paid",AA349="Closed – No response",AA349="Lost"),N(AC349)&gt;=Settings!$S$3),"",AB349+Settings!$S$2)</f>
        <v/>
      </c>
      <c r="AE349" s="40"/>
      <c r="AF349" s="41"/>
      <c r="AG349" s="17"/>
      <c r="AH349" s="17"/>
      <c r="AI349" s="17"/>
      <c r="AJ349" s="46" t="str">
        <f aca="true">IF(OR(E349="",B349=""),"",INT(TODAY()-B349))</f>
        <v/>
      </c>
      <c r="AK349" s="44" t="str">
        <f aca="true">IF(E349="","",IF(OR(COUNTIFS(Clients!$C$2:$C$501,E349,Clients!$S$2:$S$501,"Paid")&gt;0,AND(I349&lt;&gt;"",COUNTIFS(Clients!$E$2:$E$501,I349,Clients!$S$2:$S$501,"Paid")&gt;0)),"⚠ Refunded before – no free video",IF(OR(AA349="Contract signed + paid",AA349="Closed – No response",AA349="Lost"),"",IF(AA349="","Set a stage",IF(AND(AA349="Proposal sent",COUNTA(Q349:V349)&lt;6),"Score this lead – proposal sent unscored",IF(N(AC349)&gt;=Settings!$S$3,"Close – 4 follow-ups sent",IF(AD349="",IF(AB349="","Make first contact",""),IF(TODAY()&gt;AD349,"OVERDUE follow-up",IF(TODAY()=AD349,"Follow up today","")))))))))</f>
        <v/>
      </c>
    </row>
    <row r="350" customFormat="false" ht="15" hidden="false" customHeight="false" outlineLevel="0" collapsed="false">
      <c r="A350" s="17"/>
      <c r="B350" s="40"/>
      <c r="C350" s="41"/>
      <c r="D350" s="17"/>
      <c r="E350" s="17"/>
      <c r="F350" s="17"/>
      <c r="G350" s="17"/>
      <c r="H350" s="17"/>
      <c r="I350" s="42"/>
      <c r="J350" s="17"/>
      <c r="K350" s="17"/>
      <c r="L350" s="17"/>
      <c r="M350" s="17"/>
      <c r="N350" s="40"/>
      <c r="O350" s="41"/>
      <c r="P350" s="43" t="str">
        <f aca="false">IF(OR(B350="",N350=""),"",ROUND(((N350+N(O350))-(B350+N(C350)))*24,1))</f>
        <v/>
      </c>
      <c r="Q350" s="17"/>
      <c r="R350" s="17"/>
      <c r="S350" s="17"/>
      <c r="T350" s="17"/>
      <c r="U350" s="17"/>
      <c r="V350" s="17"/>
      <c r="W350" s="44" t="str">
        <f aca="false">IF(OR(E350="",COUNTA(Q350:V350)=0),"",SUMIFS(Settings!$AA$2:$AA$21,Settings!$Y$2:$Y$21,"Budget AED 5k+/mo?",Settings!$Z$2:$Z$21,Q350)+SUMIFS(Settings!$AA$2:$AA$21,Settings!$Y$2:$Y$21,"Decision-maker?",Settings!$Z$2:$Z$21,R350)+SUMIFS(Settings!$AA$2:$AA$21,Settings!$Y$2:$Y$21,"Someone on camera?",Settings!$Z$2:$Z$21,S350)+SUMIFS(Settings!$AA$2:$AA$21,Settings!$Y$2:$Y$21,"OK with 3-month term?",Settings!$Z$2:$Z$21,T350)+SUMIFS(Settings!$AA$2:$AA$21,Settings!$Y$2:$Y$21,"Start timeline",Settings!$Z$2:$Z$21,U350)+SUMIFS(Settings!$AA$2:$AA$21,Settings!$Y$2:$Y$21,"Social media gap",Settings!$Z$2:$Z$21,V350)+IF(F350="",0,IF(COUNTIF(Settings!$AC$2:$AC$6,F350)&gt;0,Settings!$AA$20,Settings!$AA$21)))</f>
        <v/>
      </c>
      <c r="X350" s="44" t="str">
        <f aca="false">IF(E350="","",IF(COUNTA(Q350:V350)=0,"Not scored",IF(COUNTA(Q350:V350)&lt;6,"Partly scored ("&amp;COUNTA(Q350:V350)&amp;"/6)",IF(W350&gt;=Settings!$S$8,"Hot",IF(W350&gt;=Settings!$S$9,"Warm","Cold")))))</f>
        <v/>
      </c>
      <c r="Y350" s="44" t="str">
        <f aca="false">IF(E350="","",IF(AND(Q350="No",S350="No"),"🚩 Budget  ·  🚩 No one on camera",IF(Q350="No","🚩 Budget under AED 5k",IF(S350="No","🚩 No one on camera",""))))</f>
        <v/>
      </c>
      <c r="Z350" s="17"/>
      <c r="AA350" s="17"/>
      <c r="AB350" s="40"/>
      <c r="AC350" s="17"/>
      <c r="AD350" s="45" t="str">
        <f aca="false">IF(OR(E350="",AB350="",OR(AA350="Contract signed + paid",AA350="Closed – No response",AA350="Lost"),N(AC350)&gt;=Settings!$S$3),"",AB350+Settings!$S$2)</f>
        <v/>
      </c>
      <c r="AE350" s="40"/>
      <c r="AF350" s="41"/>
      <c r="AG350" s="17"/>
      <c r="AH350" s="17"/>
      <c r="AI350" s="17"/>
      <c r="AJ350" s="46" t="str">
        <f aca="true">IF(OR(E350="",B350=""),"",INT(TODAY()-B350))</f>
        <v/>
      </c>
      <c r="AK350" s="44" t="str">
        <f aca="true">IF(E350="","",IF(OR(COUNTIFS(Clients!$C$2:$C$501,E350,Clients!$S$2:$S$501,"Paid")&gt;0,AND(I350&lt;&gt;"",COUNTIFS(Clients!$E$2:$E$501,I350,Clients!$S$2:$S$501,"Paid")&gt;0)),"⚠ Refunded before – no free video",IF(OR(AA350="Contract signed + paid",AA350="Closed – No response",AA350="Lost"),"",IF(AA350="","Set a stage",IF(AND(AA350="Proposal sent",COUNTA(Q350:V350)&lt;6),"Score this lead – proposal sent unscored",IF(N(AC350)&gt;=Settings!$S$3,"Close – 4 follow-ups sent",IF(AD350="",IF(AB350="","Make first contact",""),IF(TODAY()&gt;AD350,"OVERDUE follow-up",IF(TODAY()=AD350,"Follow up today","")))))))))</f>
        <v/>
      </c>
    </row>
    <row r="351" customFormat="false" ht="15" hidden="false" customHeight="false" outlineLevel="0" collapsed="false">
      <c r="A351" s="17"/>
      <c r="B351" s="40"/>
      <c r="C351" s="41"/>
      <c r="D351" s="17"/>
      <c r="E351" s="17"/>
      <c r="F351" s="17"/>
      <c r="G351" s="17"/>
      <c r="H351" s="17"/>
      <c r="I351" s="42"/>
      <c r="J351" s="17"/>
      <c r="K351" s="17"/>
      <c r="L351" s="17"/>
      <c r="M351" s="17"/>
      <c r="N351" s="40"/>
      <c r="O351" s="41"/>
      <c r="P351" s="43" t="str">
        <f aca="false">IF(OR(B351="",N351=""),"",ROUND(((N351+N(O351))-(B351+N(C351)))*24,1))</f>
        <v/>
      </c>
      <c r="Q351" s="17"/>
      <c r="R351" s="17"/>
      <c r="S351" s="17"/>
      <c r="T351" s="17"/>
      <c r="U351" s="17"/>
      <c r="V351" s="17"/>
      <c r="W351" s="44" t="str">
        <f aca="false">IF(OR(E351="",COUNTA(Q351:V351)=0),"",SUMIFS(Settings!$AA$2:$AA$21,Settings!$Y$2:$Y$21,"Budget AED 5k+/mo?",Settings!$Z$2:$Z$21,Q351)+SUMIFS(Settings!$AA$2:$AA$21,Settings!$Y$2:$Y$21,"Decision-maker?",Settings!$Z$2:$Z$21,R351)+SUMIFS(Settings!$AA$2:$AA$21,Settings!$Y$2:$Y$21,"Someone on camera?",Settings!$Z$2:$Z$21,S351)+SUMIFS(Settings!$AA$2:$AA$21,Settings!$Y$2:$Y$21,"OK with 3-month term?",Settings!$Z$2:$Z$21,T351)+SUMIFS(Settings!$AA$2:$AA$21,Settings!$Y$2:$Y$21,"Start timeline",Settings!$Z$2:$Z$21,U351)+SUMIFS(Settings!$AA$2:$AA$21,Settings!$Y$2:$Y$21,"Social media gap",Settings!$Z$2:$Z$21,V351)+IF(F351="",0,IF(COUNTIF(Settings!$AC$2:$AC$6,F351)&gt;0,Settings!$AA$20,Settings!$AA$21)))</f>
        <v/>
      </c>
      <c r="X351" s="44" t="str">
        <f aca="false">IF(E351="","",IF(COUNTA(Q351:V351)=0,"Not scored",IF(COUNTA(Q351:V351)&lt;6,"Partly scored ("&amp;COUNTA(Q351:V351)&amp;"/6)",IF(W351&gt;=Settings!$S$8,"Hot",IF(W351&gt;=Settings!$S$9,"Warm","Cold")))))</f>
        <v/>
      </c>
      <c r="Y351" s="44" t="str">
        <f aca="false">IF(E351="","",IF(AND(Q351="No",S351="No"),"🚩 Budget  ·  🚩 No one on camera",IF(Q351="No","🚩 Budget under AED 5k",IF(S351="No","🚩 No one on camera",""))))</f>
        <v/>
      </c>
      <c r="Z351" s="17"/>
      <c r="AA351" s="17"/>
      <c r="AB351" s="40"/>
      <c r="AC351" s="17"/>
      <c r="AD351" s="45" t="str">
        <f aca="false">IF(OR(E351="",AB351="",OR(AA351="Contract signed + paid",AA351="Closed – No response",AA351="Lost"),N(AC351)&gt;=Settings!$S$3),"",AB351+Settings!$S$2)</f>
        <v/>
      </c>
      <c r="AE351" s="40"/>
      <c r="AF351" s="41"/>
      <c r="AG351" s="17"/>
      <c r="AH351" s="17"/>
      <c r="AI351" s="17"/>
      <c r="AJ351" s="46" t="str">
        <f aca="true">IF(OR(E351="",B351=""),"",INT(TODAY()-B351))</f>
        <v/>
      </c>
      <c r="AK351" s="44" t="str">
        <f aca="true">IF(E351="","",IF(OR(COUNTIFS(Clients!$C$2:$C$501,E351,Clients!$S$2:$S$501,"Paid")&gt;0,AND(I351&lt;&gt;"",COUNTIFS(Clients!$E$2:$E$501,I351,Clients!$S$2:$S$501,"Paid")&gt;0)),"⚠ Refunded before – no free video",IF(OR(AA351="Contract signed + paid",AA351="Closed – No response",AA351="Lost"),"",IF(AA351="","Set a stage",IF(AND(AA351="Proposal sent",COUNTA(Q351:V351)&lt;6),"Score this lead – proposal sent unscored",IF(N(AC351)&gt;=Settings!$S$3,"Close – 4 follow-ups sent",IF(AD351="",IF(AB351="","Make first contact",""),IF(TODAY()&gt;AD351,"OVERDUE follow-up",IF(TODAY()=AD351,"Follow up today","")))))))))</f>
        <v/>
      </c>
    </row>
    <row r="352" customFormat="false" ht="15" hidden="false" customHeight="false" outlineLevel="0" collapsed="false">
      <c r="A352" s="17"/>
      <c r="B352" s="40"/>
      <c r="C352" s="41"/>
      <c r="D352" s="17"/>
      <c r="E352" s="17"/>
      <c r="F352" s="17"/>
      <c r="G352" s="17"/>
      <c r="H352" s="17"/>
      <c r="I352" s="42"/>
      <c r="J352" s="17"/>
      <c r="K352" s="17"/>
      <c r="L352" s="17"/>
      <c r="M352" s="17"/>
      <c r="N352" s="40"/>
      <c r="O352" s="41"/>
      <c r="P352" s="43" t="str">
        <f aca="false">IF(OR(B352="",N352=""),"",ROUND(((N352+N(O352))-(B352+N(C352)))*24,1))</f>
        <v/>
      </c>
      <c r="Q352" s="17"/>
      <c r="R352" s="17"/>
      <c r="S352" s="17"/>
      <c r="T352" s="17"/>
      <c r="U352" s="17"/>
      <c r="V352" s="17"/>
      <c r="W352" s="44" t="str">
        <f aca="false">IF(OR(E352="",COUNTA(Q352:V352)=0),"",SUMIFS(Settings!$AA$2:$AA$21,Settings!$Y$2:$Y$21,"Budget AED 5k+/mo?",Settings!$Z$2:$Z$21,Q352)+SUMIFS(Settings!$AA$2:$AA$21,Settings!$Y$2:$Y$21,"Decision-maker?",Settings!$Z$2:$Z$21,R352)+SUMIFS(Settings!$AA$2:$AA$21,Settings!$Y$2:$Y$21,"Someone on camera?",Settings!$Z$2:$Z$21,S352)+SUMIFS(Settings!$AA$2:$AA$21,Settings!$Y$2:$Y$21,"OK with 3-month term?",Settings!$Z$2:$Z$21,T352)+SUMIFS(Settings!$AA$2:$AA$21,Settings!$Y$2:$Y$21,"Start timeline",Settings!$Z$2:$Z$21,U352)+SUMIFS(Settings!$AA$2:$AA$21,Settings!$Y$2:$Y$21,"Social media gap",Settings!$Z$2:$Z$21,V352)+IF(F352="",0,IF(COUNTIF(Settings!$AC$2:$AC$6,F352)&gt;0,Settings!$AA$20,Settings!$AA$21)))</f>
        <v/>
      </c>
      <c r="X352" s="44" t="str">
        <f aca="false">IF(E352="","",IF(COUNTA(Q352:V352)=0,"Not scored",IF(COUNTA(Q352:V352)&lt;6,"Partly scored ("&amp;COUNTA(Q352:V352)&amp;"/6)",IF(W352&gt;=Settings!$S$8,"Hot",IF(W352&gt;=Settings!$S$9,"Warm","Cold")))))</f>
        <v/>
      </c>
      <c r="Y352" s="44" t="str">
        <f aca="false">IF(E352="","",IF(AND(Q352="No",S352="No"),"🚩 Budget  ·  🚩 No one on camera",IF(Q352="No","🚩 Budget under AED 5k",IF(S352="No","🚩 No one on camera",""))))</f>
        <v/>
      </c>
      <c r="Z352" s="17"/>
      <c r="AA352" s="17"/>
      <c r="AB352" s="40"/>
      <c r="AC352" s="17"/>
      <c r="AD352" s="45" t="str">
        <f aca="false">IF(OR(E352="",AB352="",OR(AA352="Contract signed + paid",AA352="Closed – No response",AA352="Lost"),N(AC352)&gt;=Settings!$S$3),"",AB352+Settings!$S$2)</f>
        <v/>
      </c>
      <c r="AE352" s="40"/>
      <c r="AF352" s="41"/>
      <c r="AG352" s="17"/>
      <c r="AH352" s="17"/>
      <c r="AI352" s="17"/>
      <c r="AJ352" s="46" t="str">
        <f aca="true">IF(OR(E352="",B352=""),"",INT(TODAY()-B352))</f>
        <v/>
      </c>
      <c r="AK352" s="44" t="str">
        <f aca="true">IF(E352="","",IF(OR(COUNTIFS(Clients!$C$2:$C$501,E352,Clients!$S$2:$S$501,"Paid")&gt;0,AND(I352&lt;&gt;"",COUNTIFS(Clients!$E$2:$E$501,I352,Clients!$S$2:$S$501,"Paid")&gt;0)),"⚠ Refunded before – no free video",IF(OR(AA352="Contract signed + paid",AA352="Closed – No response",AA352="Lost"),"",IF(AA352="","Set a stage",IF(AND(AA352="Proposal sent",COUNTA(Q352:V352)&lt;6),"Score this lead – proposal sent unscored",IF(N(AC352)&gt;=Settings!$S$3,"Close – 4 follow-ups sent",IF(AD352="",IF(AB352="","Make first contact",""),IF(TODAY()&gt;AD352,"OVERDUE follow-up",IF(TODAY()=AD352,"Follow up today","")))))))))</f>
        <v/>
      </c>
    </row>
    <row r="353" customFormat="false" ht="15" hidden="false" customHeight="false" outlineLevel="0" collapsed="false">
      <c r="A353" s="17"/>
      <c r="B353" s="40"/>
      <c r="C353" s="41"/>
      <c r="D353" s="17"/>
      <c r="E353" s="17"/>
      <c r="F353" s="17"/>
      <c r="G353" s="17"/>
      <c r="H353" s="17"/>
      <c r="I353" s="42"/>
      <c r="J353" s="17"/>
      <c r="K353" s="17"/>
      <c r="L353" s="17"/>
      <c r="M353" s="17"/>
      <c r="N353" s="40"/>
      <c r="O353" s="41"/>
      <c r="P353" s="43" t="str">
        <f aca="false">IF(OR(B353="",N353=""),"",ROUND(((N353+N(O353))-(B353+N(C353)))*24,1))</f>
        <v/>
      </c>
      <c r="Q353" s="17"/>
      <c r="R353" s="17"/>
      <c r="S353" s="17"/>
      <c r="T353" s="17"/>
      <c r="U353" s="17"/>
      <c r="V353" s="17"/>
      <c r="W353" s="44" t="str">
        <f aca="false">IF(OR(E353="",COUNTA(Q353:V353)=0),"",SUMIFS(Settings!$AA$2:$AA$21,Settings!$Y$2:$Y$21,"Budget AED 5k+/mo?",Settings!$Z$2:$Z$21,Q353)+SUMIFS(Settings!$AA$2:$AA$21,Settings!$Y$2:$Y$21,"Decision-maker?",Settings!$Z$2:$Z$21,R353)+SUMIFS(Settings!$AA$2:$AA$21,Settings!$Y$2:$Y$21,"Someone on camera?",Settings!$Z$2:$Z$21,S353)+SUMIFS(Settings!$AA$2:$AA$21,Settings!$Y$2:$Y$21,"OK with 3-month term?",Settings!$Z$2:$Z$21,T353)+SUMIFS(Settings!$AA$2:$AA$21,Settings!$Y$2:$Y$21,"Start timeline",Settings!$Z$2:$Z$21,U353)+SUMIFS(Settings!$AA$2:$AA$21,Settings!$Y$2:$Y$21,"Social media gap",Settings!$Z$2:$Z$21,V353)+IF(F353="",0,IF(COUNTIF(Settings!$AC$2:$AC$6,F353)&gt;0,Settings!$AA$20,Settings!$AA$21)))</f>
        <v/>
      </c>
      <c r="X353" s="44" t="str">
        <f aca="false">IF(E353="","",IF(COUNTA(Q353:V353)=0,"Not scored",IF(COUNTA(Q353:V353)&lt;6,"Partly scored ("&amp;COUNTA(Q353:V353)&amp;"/6)",IF(W353&gt;=Settings!$S$8,"Hot",IF(W353&gt;=Settings!$S$9,"Warm","Cold")))))</f>
        <v/>
      </c>
      <c r="Y353" s="44" t="str">
        <f aca="false">IF(E353="","",IF(AND(Q353="No",S353="No"),"🚩 Budget  ·  🚩 No one on camera",IF(Q353="No","🚩 Budget under AED 5k",IF(S353="No","🚩 No one on camera",""))))</f>
        <v/>
      </c>
      <c r="Z353" s="17"/>
      <c r="AA353" s="17"/>
      <c r="AB353" s="40"/>
      <c r="AC353" s="17"/>
      <c r="AD353" s="45" t="str">
        <f aca="false">IF(OR(E353="",AB353="",OR(AA353="Contract signed + paid",AA353="Closed – No response",AA353="Lost"),N(AC353)&gt;=Settings!$S$3),"",AB353+Settings!$S$2)</f>
        <v/>
      </c>
      <c r="AE353" s="40"/>
      <c r="AF353" s="41"/>
      <c r="AG353" s="17"/>
      <c r="AH353" s="17"/>
      <c r="AI353" s="17"/>
      <c r="AJ353" s="46" t="str">
        <f aca="true">IF(OR(E353="",B353=""),"",INT(TODAY()-B353))</f>
        <v/>
      </c>
      <c r="AK353" s="44" t="str">
        <f aca="true">IF(E353="","",IF(OR(COUNTIFS(Clients!$C$2:$C$501,E353,Clients!$S$2:$S$501,"Paid")&gt;0,AND(I353&lt;&gt;"",COUNTIFS(Clients!$E$2:$E$501,I353,Clients!$S$2:$S$501,"Paid")&gt;0)),"⚠ Refunded before – no free video",IF(OR(AA353="Contract signed + paid",AA353="Closed – No response",AA353="Lost"),"",IF(AA353="","Set a stage",IF(AND(AA353="Proposal sent",COUNTA(Q353:V353)&lt;6),"Score this lead – proposal sent unscored",IF(N(AC353)&gt;=Settings!$S$3,"Close – 4 follow-ups sent",IF(AD353="",IF(AB353="","Make first contact",""),IF(TODAY()&gt;AD353,"OVERDUE follow-up",IF(TODAY()=AD353,"Follow up today","")))))))))</f>
        <v/>
      </c>
    </row>
    <row r="354" customFormat="false" ht="15" hidden="false" customHeight="false" outlineLevel="0" collapsed="false">
      <c r="A354" s="17"/>
      <c r="B354" s="40"/>
      <c r="C354" s="41"/>
      <c r="D354" s="17"/>
      <c r="E354" s="17"/>
      <c r="F354" s="17"/>
      <c r="G354" s="17"/>
      <c r="H354" s="17"/>
      <c r="I354" s="42"/>
      <c r="J354" s="17"/>
      <c r="K354" s="17"/>
      <c r="L354" s="17"/>
      <c r="M354" s="17"/>
      <c r="N354" s="40"/>
      <c r="O354" s="41"/>
      <c r="P354" s="43" t="str">
        <f aca="false">IF(OR(B354="",N354=""),"",ROUND(((N354+N(O354))-(B354+N(C354)))*24,1))</f>
        <v/>
      </c>
      <c r="Q354" s="17"/>
      <c r="R354" s="17"/>
      <c r="S354" s="17"/>
      <c r="T354" s="17"/>
      <c r="U354" s="17"/>
      <c r="V354" s="17"/>
      <c r="W354" s="44" t="str">
        <f aca="false">IF(OR(E354="",COUNTA(Q354:V354)=0),"",SUMIFS(Settings!$AA$2:$AA$21,Settings!$Y$2:$Y$21,"Budget AED 5k+/mo?",Settings!$Z$2:$Z$21,Q354)+SUMIFS(Settings!$AA$2:$AA$21,Settings!$Y$2:$Y$21,"Decision-maker?",Settings!$Z$2:$Z$21,R354)+SUMIFS(Settings!$AA$2:$AA$21,Settings!$Y$2:$Y$21,"Someone on camera?",Settings!$Z$2:$Z$21,S354)+SUMIFS(Settings!$AA$2:$AA$21,Settings!$Y$2:$Y$21,"OK with 3-month term?",Settings!$Z$2:$Z$21,T354)+SUMIFS(Settings!$AA$2:$AA$21,Settings!$Y$2:$Y$21,"Start timeline",Settings!$Z$2:$Z$21,U354)+SUMIFS(Settings!$AA$2:$AA$21,Settings!$Y$2:$Y$21,"Social media gap",Settings!$Z$2:$Z$21,V354)+IF(F354="",0,IF(COUNTIF(Settings!$AC$2:$AC$6,F354)&gt;0,Settings!$AA$20,Settings!$AA$21)))</f>
        <v/>
      </c>
      <c r="X354" s="44" t="str">
        <f aca="false">IF(E354="","",IF(COUNTA(Q354:V354)=0,"Not scored",IF(COUNTA(Q354:V354)&lt;6,"Partly scored ("&amp;COUNTA(Q354:V354)&amp;"/6)",IF(W354&gt;=Settings!$S$8,"Hot",IF(W354&gt;=Settings!$S$9,"Warm","Cold")))))</f>
        <v/>
      </c>
      <c r="Y354" s="44" t="str">
        <f aca="false">IF(E354="","",IF(AND(Q354="No",S354="No"),"🚩 Budget  ·  🚩 No one on camera",IF(Q354="No","🚩 Budget under AED 5k",IF(S354="No","🚩 No one on camera",""))))</f>
        <v/>
      </c>
      <c r="Z354" s="17"/>
      <c r="AA354" s="17"/>
      <c r="AB354" s="40"/>
      <c r="AC354" s="17"/>
      <c r="AD354" s="45" t="str">
        <f aca="false">IF(OR(E354="",AB354="",OR(AA354="Contract signed + paid",AA354="Closed – No response",AA354="Lost"),N(AC354)&gt;=Settings!$S$3),"",AB354+Settings!$S$2)</f>
        <v/>
      </c>
      <c r="AE354" s="40"/>
      <c r="AF354" s="41"/>
      <c r="AG354" s="17"/>
      <c r="AH354" s="17"/>
      <c r="AI354" s="17"/>
      <c r="AJ354" s="46" t="str">
        <f aca="true">IF(OR(E354="",B354=""),"",INT(TODAY()-B354))</f>
        <v/>
      </c>
      <c r="AK354" s="44" t="str">
        <f aca="true">IF(E354="","",IF(OR(COUNTIFS(Clients!$C$2:$C$501,E354,Clients!$S$2:$S$501,"Paid")&gt;0,AND(I354&lt;&gt;"",COUNTIFS(Clients!$E$2:$E$501,I354,Clients!$S$2:$S$501,"Paid")&gt;0)),"⚠ Refunded before – no free video",IF(OR(AA354="Contract signed + paid",AA354="Closed – No response",AA354="Lost"),"",IF(AA354="","Set a stage",IF(AND(AA354="Proposal sent",COUNTA(Q354:V354)&lt;6),"Score this lead – proposal sent unscored",IF(N(AC354)&gt;=Settings!$S$3,"Close – 4 follow-ups sent",IF(AD354="",IF(AB354="","Make first contact",""),IF(TODAY()&gt;AD354,"OVERDUE follow-up",IF(TODAY()=AD354,"Follow up today","")))))))))</f>
        <v/>
      </c>
    </row>
    <row r="355" customFormat="false" ht="15" hidden="false" customHeight="false" outlineLevel="0" collapsed="false">
      <c r="A355" s="17"/>
      <c r="B355" s="40"/>
      <c r="C355" s="41"/>
      <c r="D355" s="17"/>
      <c r="E355" s="17"/>
      <c r="F355" s="17"/>
      <c r="G355" s="17"/>
      <c r="H355" s="17"/>
      <c r="I355" s="42"/>
      <c r="J355" s="17"/>
      <c r="K355" s="17"/>
      <c r="L355" s="17"/>
      <c r="M355" s="17"/>
      <c r="N355" s="40"/>
      <c r="O355" s="41"/>
      <c r="P355" s="43" t="str">
        <f aca="false">IF(OR(B355="",N355=""),"",ROUND(((N355+N(O355))-(B355+N(C355)))*24,1))</f>
        <v/>
      </c>
      <c r="Q355" s="17"/>
      <c r="R355" s="17"/>
      <c r="S355" s="17"/>
      <c r="T355" s="17"/>
      <c r="U355" s="17"/>
      <c r="V355" s="17"/>
      <c r="W355" s="44" t="str">
        <f aca="false">IF(OR(E355="",COUNTA(Q355:V355)=0),"",SUMIFS(Settings!$AA$2:$AA$21,Settings!$Y$2:$Y$21,"Budget AED 5k+/mo?",Settings!$Z$2:$Z$21,Q355)+SUMIFS(Settings!$AA$2:$AA$21,Settings!$Y$2:$Y$21,"Decision-maker?",Settings!$Z$2:$Z$21,R355)+SUMIFS(Settings!$AA$2:$AA$21,Settings!$Y$2:$Y$21,"Someone on camera?",Settings!$Z$2:$Z$21,S355)+SUMIFS(Settings!$AA$2:$AA$21,Settings!$Y$2:$Y$21,"OK with 3-month term?",Settings!$Z$2:$Z$21,T355)+SUMIFS(Settings!$AA$2:$AA$21,Settings!$Y$2:$Y$21,"Start timeline",Settings!$Z$2:$Z$21,U355)+SUMIFS(Settings!$AA$2:$AA$21,Settings!$Y$2:$Y$21,"Social media gap",Settings!$Z$2:$Z$21,V355)+IF(F355="",0,IF(COUNTIF(Settings!$AC$2:$AC$6,F355)&gt;0,Settings!$AA$20,Settings!$AA$21)))</f>
        <v/>
      </c>
      <c r="X355" s="44" t="str">
        <f aca="false">IF(E355="","",IF(COUNTA(Q355:V355)=0,"Not scored",IF(COUNTA(Q355:V355)&lt;6,"Partly scored ("&amp;COUNTA(Q355:V355)&amp;"/6)",IF(W355&gt;=Settings!$S$8,"Hot",IF(W355&gt;=Settings!$S$9,"Warm","Cold")))))</f>
        <v/>
      </c>
      <c r="Y355" s="44" t="str">
        <f aca="false">IF(E355="","",IF(AND(Q355="No",S355="No"),"🚩 Budget  ·  🚩 No one on camera",IF(Q355="No","🚩 Budget under AED 5k",IF(S355="No","🚩 No one on camera",""))))</f>
        <v/>
      </c>
      <c r="Z355" s="17"/>
      <c r="AA355" s="17"/>
      <c r="AB355" s="40"/>
      <c r="AC355" s="17"/>
      <c r="AD355" s="45" t="str">
        <f aca="false">IF(OR(E355="",AB355="",OR(AA355="Contract signed + paid",AA355="Closed – No response",AA355="Lost"),N(AC355)&gt;=Settings!$S$3),"",AB355+Settings!$S$2)</f>
        <v/>
      </c>
      <c r="AE355" s="40"/>
      <c r="AF355" s="41"/>
      <c r="AG355" s="17"/>
      <c r="AH355" s="17"/>
      <c r="AI355" s="17"/>
      <c r="AJ355" s="46" t="str">
        <f aca="true">IF(OR(E355="",B355=""),"",INT(TODAY()-B355))</f>
        <v/>
      </c>
      <c r="AK355" s="44" t="str">
        <f aca="true">IF(E355="","",IF(OR(COUNTIFS(Clients!$C$2:$C$501,E355,Clients!$S$2:$S$501,"Paid")&gt;0,AND(I355&lt;&gt;"",COUNTIFS(Clients!$E$2:$E$501,I355,Clients!$S$2:$S$501,"Paid")&gt;0)),"⚠ Refunded before – no free video",IF(OR(AA355="Contract signed + paid",AA355="Closed – No response",AA355="Lost"),"",IF(AA355="","Set a stage",IF(AND(AA355="Proposal sent",COUNTA(Q355:V355)&lt;6),"Score this lead – proposal sent unscored",IF(N(AC355)&gt;=Settings!$S$3,"Close – 4 follow-ups sent",IF(AD355="",IF(AB355="","Make first contact",""),IF(TODAY()&gt;AD355,"OVERDUE follow-up",IF(TODAY()=AD355,"Follow up today","")))))))))</f>
        <v/>
      </c>
    </row>
    <row r="356" customFormat="false" ht="15" hidden="false" customHeight="false" outlineLevel="0" collapsed="false">
      <c r="A356" s="17"/>
      <c r="B356" s="40"/>
      <c r="C356" s="41"/>
      <c r="D356" s="17"/>
      <c r="E356" s="17"/>
      <c r="F356" s="17"/>
      <c r="G356" s="17"/>
      <c r="H356" s="17"/>
      <c r="I356" s="42"/>
      <c r="J356" s="17"/>
      <c r="K356" s="17"/>
      <c r="L356" s="17"/>
      <c r="M356" s="17"/>
      <c r="N356" s="40"/>
      <c r="O356" s="41"/>
      <c r="P356" s="43" t="str">
        <f aca="false">IF(OR(B356="",N356=""),"",ROUND(((N356+N(O356))-(B356+N(C356)))*24,1))</f>
        <v/>
      </c>
      <c r="Q356" s="17"/>
      <c r="R356" s="17"/>
      <c r="S356" s="17"/>
      <c r="T356" s="17"/>
      <c r="U356" s="17"/>
      <c r="V356" s="17"/>
      <c r="W356" s="44" t="str">
        <f aca="false">IF(OR(E356="",COUNTA(Q356:V356)=0),"",SUMIFS(Settings!$AA$2:$AA$21,Settings!$Y$2:$Y$21,"Budget AED 5k+/mo?",Settings!$Z$2:$Z$21,Q356)+SUMIFS(Settings!$AA$2:$AA$21,Settings!$Y$2:$Y$21,"Decision-maker?",Settings!$Z$2:$Z$21,R356)+SUMIFS(Settings!$AA$2:$AA$21,Settings!$Y$2:$Y$21,"Someone on camera?",Settings!$Z$2:$Z$21,S356)+SUMIFS(Settings!$AA$2:$AA$21,Settings!$Y$2:$Y$21,"OK with 3-month term?",Settings!$Z$2:$Z$21,T356)+SUMIFS(Settings!$AA$2:$AA$21,Settings!$Y$2:$Y$21,"Start timeline",Settings!$Z$2:$Z$21,U356)+SUMIFS(Settings!$AA$2:$AA$21,Settings!$Y$2:$Y$21,"Social media gap",Settings!$Z$2:$Z$21,V356)+IF(F356="",0,IF(COUNTIF(Settings!$AC$2:$AC$6,F356)&gt;0,Settings!$AA$20,Settings!$AA$21)))</f>
        <v/>
      </c>
      <c r="X356" s="44" t="str">
        <f aca="false">IF(E356="","",IF(COUNTA(Q356:V356)=0,"Not scored",IF(COUNTA(Q356:V356)&lt;6,"Partly scored ("&amp;COUNTA(Q356:V356)&amp;"/6)",IF(W356&gt;=Settings!$S$8,"Hot",IF(W356&gt;=Settings!$S$9,"Warm","Cold")))))</f>
        <v/>
      </c>
      <c r="Y356" s="44" t="str">
        <f aca="false">IF(E356="","",IF(AND(Q356="No",S356="No"),"🚩 Budget  ·  🚩 No one on camera",IF(Q356="No","🚩 Budget under AED 5k",IF(S356="No","🚩 No one on camera",""))))</f>
        <v/>
      </c>
      <c r="Z356" s="17"/>
      <c r="AA356" s="17"/>
      <c r="AB356" s="40"/>
      <c r="AC356" s="17"/>
      <c r="AD356" s="45" t="str">
        <f aca="false">IF(OR(E356="",AB356="",OR(AA356="Contract signed + paid",AA356="Closed – No response",AA356="Lost"),N(AC356)&gt;=Settings!$S$3),"",AB356+Settings!$S$2)</f>
        <v/>
      </c>
      <c r="AE356" s="40"/>
      <c r="AF356" s="41"/>
      <c r="AG356" s="17"/>
      <c r="AH356" s="17"/>
      <c r="AI356" s="17"/>
      <c r="AJ356" s="46" t="str">
        <f aca="true">IF(OR(E356="",B356=""),"",INT(TODAY()-B356))</f>
        <v/>
      </c>
      <c r="AK356" s="44" t="str">
        <f aca="true">IF(E356="","",IF(OR(COUNTIFS(Clients!$C$2:$C$501,E356,Clients!$S$2:$S$501,"Paid")&gt;0,AND(I356&lt;&gt;"",COUNTIFS(Clients!$E$2:$E$501,I356,Clients!$S$2:$S$501,"Paid")&gt;0)),"⚠ Refunded before – no free video",IF(OR(AA356="Contract signed + paid",AA356="Closed – No response",AA356="Lost"),"",IF(AA356="","Set a stage",IF(AND(AA356="Proposal sent",COUNTA(Q356:V356)&lt;6),"Score this lead – proposal sent unscored",IF(N(AC356)&gt;=Settings!$S$3,"Close – 4 follow-ups sent",IF(AD356="",IF(AB356="","Make first contact",""),IF(TODAY()&gt;AD356,"OVERDUE follow-up",IF(TODAY()=AD356,"Follow up today","")))))))))</f>
        <v/>
      </c>
    </row>
    <row r="357" customFormat="false" ht="15" hidden="false" customHeight="false" outlineLevel="0" collapsed="false">
      <c r="A357" s="17"/>
      <c r="B357" s="40"/>
      <c r="C357" s="41"/>
      <c r="D357" s="17"/>
      <c r="E357" s="17"/>
      <c r="F357" s="17"/>
      <c r="G357" s="17"/>
      <c r="H357" s="17"/>
      <c r="I357" s="42"/>
      <c r="J357" s="17"/>
      <c r="K357" s="17"/>
      <c r="L357" s="17"/>
      <c r="M357" s="17"/>
      <c r="N357" s="40"/>
      <c r="O357" s="41"/>
      <c r="P357" s="43" t="str">
        <f aca="false">IF(OR(B357="",N357=""),"",ROUND(((N357+N(O357))-(B357+N(C357)))*24,1))</f>
        <v/>
      </c>
      <c r="Q357" s="17"/>
      <c r="R357" s="17"/>
      <c r="S357" s="17"/>
      <c r="T357" s="17"/>
      <c r="U357" s="17"/>
      <c r="V357" s="17"/>
      <c r="W357" s="44" t="str">
        <f aca="false">IF(OR(E357="",COUNTA(Q357:V357)=0),"",SUMIFS(Settings!$AA$2:$AA$21,Settings!$Y$2:$Y$21,"Budget AED 5k+/mo?",Settings!$Z$2:$Z$21,Q357)+SUMIFS(Settings!$AA$2:$AA$21,Settings!$Y$2:$Y$21,"Decision-maker?",Settings!$Z$2:$Z$21,R357)+SUMIFS(Settings!$AA$2:$AA$21,Settings!$Y$2:$Y$21,"Someone on camera?",Settings!$Z$2:$Z$21,S357)+SUMIFS(Settings!$AA$2:$AA$21,Settings!$Y$2:$Y$21,"OK with 3-month term?",Settings!$Z$2:$Z$21,T357)+SUMIFS(Settings!$AA$2:$AA$21,Settings!$Y$2:$Y$21,"Start timeline",Settings!$Z$2:$Z$21,U357)+SUMIFS(Settings!$AA$2:$AA$21,Settings!$Y$2:$Y$21,"Social media gap",Settings!$Z$2:$Z$21,V357)+IF(F357="",0,IF(COUNTIF(Settings!$AC$2:$AC$6,F357)&gt;0,Settings!$AA$20,Settings!$AA$21)))</f>
        <v/>
      </c>
      <c r="X357" s="44" t="str">
        <f aca="false">IF(E357="","",IF(COUNTA(Q357:V357)=0,"Not scored",IF(COUNTA(Q357:V357)&lt;6,"Partly scored ("&amp;COUNTA(Q357:V357)&amp;"/6)",IF(W357&gt;=Settings!$S$8,"Hot",IF(W357&gt;=Settings!$S$9,"Warm","Cold")))))</f>
        <v/>
      </c>
      <c r="Y357" s="44" t="str">
        <f aca="false">IF(E357="","",IF(AND(Q357="No",S357="No"),"🚩 Budget  ·  🚩 No one on camera",IF(Q357="No","🚩 Budget under AED 5k",IF(S357="No","🚩 No one on camera",""))))</f>
        <v/>
      </c>
      <c r="Z357" s="17"/>
      <c r="AA357" s="17"/>
      <c r="AB357" s="40"/>
      <c r="AC357" s="17"/>
      <c r="AD357" s="45" t="str">
        <f aca="false">IF(OR(E357="",AB357="",OR(AA357="Contract signed + paid",AA357="Closed – No response",AA357="Lost"),N(AC357)&gt;=Settings!$S$3),"",AB357+Settings!$S$2)</f>
        <v/>
      </c>
      <c r="AE357" s="40"/>
      <c r="AF357" s="41"/>
      <c r="AG357" s="17"/>
      <c r="AH357" s="17"/>
      <c r="AI357" s="17"/>
      <c r="AJ357" s="46" t="str">
        <f aca="true">IF(OR(E357="",B357=""),"",INT(TODAY()-B357))</f>
        <v/>
      </c>
      <c r="AK357" s="44" t="str">
        <f aca="true">IF(E357="","",IF(OR(COUNTIFS(Clients!$C$2:$C$501,E357,Clients!$S$2:$S$501,"Paid")&gt;0,AND(I357&lt;&gt;"",COUNTIFS(Clients!$E$2:$E$501,I357,Clients!$S$2:$S$501,"Paid")&gt;0)),"⚠ Refunded before – no free video",IF(OR(AA357="Contract signed + paid",AA357="Closed – No response",AA357="Lost"),"",IF(AA357="","Set a stage",IF(AND(AA357="Proposal sent",COUNTA(Q357:V357)&lt;6),"Score this lead – proposal sent unscored",IF(N(AC357)&gt;=Settings!$S$3,"Close – 4 follow-ups sent",IF(AD357="",IF(AB357="","Make first contact",""),IF(TODAY()&gt;AD357,"OVERDUE follow-up",IF(TODAY()=AD357,"Follow up today","")))))))))</f>
        <v/>
      </c>
    </row>
    <row r="358" customFormat="false" ht="15" hidden="false" customHeight="false" outlineLevel="0" collapsed="false">
      <c r="A358" s="17"/>
      <c r="B358" s="40"/>
      <c r="C358" s="41"/>
      <c r="D358" s="17"/>
      <c r="E358" s="17"/>
      <c r="F358" s="17"/>
      <c r="G358" s="17"/>
      <c r="H358" s="17"/>
      <c r="I358" s="42"/>
      <c r="J358" s="17"/>
      <c r="K358" s="17"/>
      <c r="L358" s="17"/>
      <c r="M358" s="17"/>
      <c r="N358" s="40"/>
      <c r="O358" s="41"/>
      <c r="P358" s="43" t="str">
        <f aca="false">IF(OR(B358="",N358=""),"",ROUND(((N358+N(O358))-(B358+N(C358)))*24,1))</f>
        <v/>
      </c>
      <c r="Q358" s="17"/>
      <c r="R358" s="17"/>
      <c r="S358" s="17"/>
      <c r="T358" s="17"/>
      <c r="U358" s="17"/>
      <c r="V358" s="17"/>
      <c r="W358" s="44" t="str">
        <f aca="false">IF(OR(E358="",COUNTA(Q358:V358)=0),"",SUMIFS(Settings!$AA$2:$AA$21,Settings!$Y$2:$Y$21,"Budget AED 5k+/mo?",Settings!$Z$2:$Z$21,Q358)+SUMIFS(Settings!$AA$2:$AA$21,Settings!$Y$2:$Y$21,"Decision-maker?",Settings!$Z$2:$Z$21,R358)+SUMIFS(Settings!$AA$2:$AA$21,Settings!$Y$2:$Y$21,"Someone on camera?",Settings!$Z$2:$Z$21,S358)+SUMIFS(Settings!$AA$2:$AA$21,Settings!$Y$2:$Y$21,"OK with 3-month term?",Settings!$Z$2:$Z$21,T358)+SUMIFS(Settings!$AA$2:$AA$21,Settings!$Y$2:$Y$21,"Start timeline",Settings!$Z$2:$Z$21,U358)+SUMIFS(Settings!$AA$2:$AA$21,Settings!$Y$2:$Y$21,"Social media gap",Settings!$Z$2:$Z$21,V358)+IF(F358="",0,IF(COUNTIF(Settings!$AC$2:$AC$6,F358)&gt;0,Settings!$AA$20,Settings!$AA$21)))</f>
        <v/>
      </c>
      <c r="X358" s="44" t="str">
        <f aca="false">IF(E358="","",IF(COUNTA(Q358:V358)=0,"Not scored",IF(COUNTA(Q358:V358)&lt;6,"Partly scored ("&amp;COUNTA(Q358:V358)&amp;"/6)",IF(W358&gt;=Settings!$S$8,"Hot",IF(W358&gt;=Settings!$S$9,"Warm","Cold")))))</f>
        <v/>
      </c>
      <c r="Y358" s="44" t="str">
        <f aca="false">IF(E358="","",IF(AND(Q358="No",S358="No"),"🚩 Budget  ·  🚩 No one on camera",IF(Q358="No","🚩 Budget under AED 5k",IF(S358="No","🚩 No one on camera",""))))</f>
        <v/>
      </c>
      <c r="Z358" s="17"/>
      <c r="AA358" s="17"/>
      <c r="AB358" s="40"/>
      <c r="AC358" s="17"/>
      <c r="AD358" s="45" t="str">
        <f aca="false">IF(OR(E358="",AB358="",OR(AA358="Contract signed + paid",AA358="Closed – No response",AA358="Lost"),N(AC358)&gt;=Settings!$S$3),"",AB358+Settings!$S$2)</f>
        <v/>
      </c>
      <c r="AE358" s="40"/>
      <c r="AF358" s="41"/>
      <c r="AG358" s="17"/>
      <c r="AH358" s="17"/>
      <c r="AI358" s="17"/>
      <c r="AJ358" s="46" t="str">
        <f aca="true">IF(OR(E358="",B358=""),"",INT(TODAY()-B358))</f>
        <v/>
      </c>
      <c r="AK358" s="44" t="str">
        <f aca="true">IF(E358="","",IF(OR(COUNTIFS(Clients!$C$2:$C$501,E358,Clients!$S$2:$S$501,"Paid")&gt;0,AND(I358&lt;&gt;"",COUNTIFS(Clients!$E$2:$E$501,I358,Clients!$S$2:$S$501,"Paid")&gt;0)),"⚠ Refunded before – no free video",IF(OR(AA358="Contract signed + paid",AA358="Closed – No response",AA358="Lost"),"",IF(AA358="","Set a stage",IF(AND(AA358="Proposal sent",COUNTA(Q358:V358)&lt;6),"Score this lead – proposal sent unscored",IF(N(AC358)&gt;=Settings!$S$3,"Close – 4 follow-ups sent",IF(AD358="",IF(AB358="","Make first contact",""),IF(TODAY()&gt;AD358,"OVERDUE follow-up",IF(TODAY()=AD358,"Follow up today","")))))))))</f>
        <v/>
      </c>
    </row>
    <row r="359" customFormat="false" ht="15" hidden="false" customHeight="false" outlineLevel="0" collapsed="false">
      <c r="A359" s="17"/>
      <c r="B359" s="40"/>
      <c r="C359" s="41"/>
      <c r="D359" s="17"/>
      <c r="E359" s="17"/>
      <c r="F359" s="17"/>
      <c r="G359" s="17"/>
      <c r="H359" s="17"/>
      <c r="I359" s="42"/>
      <c r="J359" s="17"/>
      <c r="K359" s="17"/>
      <c r="L359" s="17"/>
      <c r="M359" s="17"/>
      <c r="N359" s="40"/>
      <c r="O359" s="41"/>
      <c r="P359" s="43" t="str">
        <f aca="false">IF(OR(B359="",N359=""),"",ROUND(((N359+N(O359))-(B359+N(C359)))*24,1))</f>
        <v/>
      </c>
      <c r="Q359" s="17"/>
      <c r="R359" s="17"/>
      <c r="S359" s="17"/>
      <c r="T359" s="17"/>
      <c r="U359" s="17"/>
      <c r="V359" s="17"/>
      <c r="W359" s="44" t="str">
        <f aca="false">IF(OR(E359="",COUNTA(Q359:V359)=0),"",SUMIFS(Settings!$AA$2:$AA$21,Settings!$Y$2:$Y$21,"Budget AED 5k+/mo?",Settings!$Z$2:$Z$21,Q359)+SUMIFS(Settings!$AA$2:$AA$21,Settings!$Y$2:$Y$21,"Decision-maker?",Settings!$Z$2:$Z$21,R359)+SUMIFS(Settings!$AA$2:$AA$21,Settings!$Y$2:$Y$21,"Someone on camera?",Settings!$Z$2:$Z$21,S359)+SUMIFS(Settings!$AA$2:$AA$21,Settings!$Y$2:$Y$21,"OK with 3-month term?",Settings!$Z$2:$Z$21,T359)+SUMIFS(Settings!$AA$2:$AA$21,Settings!$Y$2:$Y$21,"Start timeline",Settings!$Z$2:$Z$21,U359)+SUMIFS(Settings!$AA$2:$AA$21,Settings!$Y$2:$Y$21,"Social media gap",Settings!$Z$2:$Z$21,V359)+IF(F359="",0,IF(COUNTIF(Settings!$AC$2:$AC$6,F359)&gt;0,Settings!$AA$20,Settings!$AA$21)))</f>
        <v/>
      </c>
      <c r="X359" s="44" t="str">
        <f aca="false">IF(E359="","",IF(COUNTA(Q359:V359)=0,"Not scored",IF(COUNTA(Q359:V359)&lt;6,"Partly scored ("&amp;COUNTA(Q359:V359)&amp;"/6)",IF(W359&gt;=Settings!$S$8,"Hot",IF(W359&gt;=Settings!$S$9,"Warm","Cold")))))</f>
        <v/>
      </c>
      <c r="Y359" s="44" t="str">
        <f aca="false">IF(E359="","",IF(AND(Q359="No",S359="No"),"🚩 Budget  ·  🚩 No one on camera",IF(Q359="No","🚩 Budget under AED 5k",IF(S359="No","🚩 No one on camera",""))))</f>
        <v/>
      </c>
      <c r="Z359" s="17"/>
      <c r="AA359" s="17"/>
      <c r="AB359" s="40"/>
      <c r="AC359" s="17"/>
      <c r="AD359" s="45" t="str">
        <f aca="false">IF(OR(E359="",AB359="",OR(AA359="Contract signed + paid",AA359="Closed – No response",AA359="Lost"),N(AC359)&gt;=Settings!$S$3),"",AB359+Settings!$S$2)</f>
        <v/>
      </c>
      <c r="AE359" s="40"/>
      <c r="AF359" s="41"/>
      <c r="AG359" s="17"/>
      <c r="AH359" s="17"/>
      <c r="AI359" s="17"/>
      <c r="AJ359" s="46" t="str">
        <f aca="true">IF(OR(E359="",B359=""),"",INT(TODAY()-B359))</f>
        <v/>
      </c>
      <c r="AK359" s="44" t="str">
        <f aca="true">IF(E359="","",IF(OR(COUNTIFS(Clients!$C$2:$C$501,E359,Clients!$S$2:$S$501,"Paid")&gt;0,AND(I359&lt;&gt;"",COUNTIFS(Clients!$E$2:$E$501,I359,Clients!$S$2:$S$501,"Paid")&gt;0)),"⚠ Refunded before – no free video",IF(OR(AA359="Contract signed + paid",AA359="Closed – No response",AA359="Lost"),"",IF(AA359="","Set a stage",IF(AND(AA359="Proposal sent",COUNTA(Q359:V359)&lt;6),"Score this lead – proposal sent unscored",IF(N(AC359)&gt;=Settings!$S$3,"Close – 4 follow-ups sent",IF(AD359="",IF(AB359="","Make first contact",""),IF(TODAY()&gt;AD359,"OVERDUE follow-up",IF(TODAY()=AD359,"Follow up today","")))))))))</f>
        <v/>
      </c>
    </row>
    <row r="360" customFormat="false" ht="15" hidden="false" customHeight="false" outlineLevel="0" collapsed="false">
      <c r="A360" s="17"/>
      <c r="B360" s="40"/>
      <c r="C360" s="41"/>
      <c r="D360" s="17"/>
      <c r="E360" s="17"/>
      <c r="F360" s="17"/>
      <c r="G360" s="17"/>
      <c r="H360" s="17"/>
      <c r="I360" s="42"/>
      <c r="J360" s="17"/>
      <c r="K360" s="17"/>
      <c r="L360" s="17"/>
      <c r="M360" s="17"/>
      <c r="N360" s="40"/>
      <c r="O360" s="41"/>
      <c r="P360" s="43" t="str">
        <f aca="false">IF(OR(B360="",N360=""),"",ROUND(((N360+N(O360))-(B360+N(C360)))*24,1))</f>
        <v/>
      </c>
      <c r="Q360" s="17"/>
      <c r="R360" s="17"/>
      <c r="S360" s="17"/>
      <c r="T360" s="17"/>
      <c r="U360" s="17"/>
      <c r="V360" s="17"/>
      <c r="W360" s="44" t="str">
        <f aca="false">IF(OR(E360="",COUNTA(Q360:V360)=0),"",SUMIFS(Settings!$AA$2:$AA$21,Settings!$Y$2:$Y$21,"Budget AED 5k+/mo?",Settings!$Z$2:$Z$21,Q360)+SUMIFS(Settings!$AA$2:$AA$21,Settings!$Y$2:$Y$21,"Decision-maker?",Settings!$Z$2:$Z$21,R360)+SUMIFS(Settings!$AA$2:$AA$21,Settings!$Y$2:$Y$21,"Someone on camera?",Settings!$Z$2:$Z$21,S360)+SUMIFS(Settings!$AA$2:$AA$21,Settings!$Y$2:$Y$21,"OK with 3-month term?",Settings!$Z$2:$Z$21,T360)+SUMIFS(Settings!$AA$2:$AA$21,Settings!$Y$2:$Y$21,"Start timeline",Settings!$Z$2:$Z$21,U360)+SUMIFS(Settings!$AA$2:$AA$21,Settings!$Y$2:$Y$21,"Social media gap",Settings!$Z$2:$Z$21,V360)+IF(F360="",0,IF(COUNTIF(Settings!$AC$2:$AC$6,F360)&gt;0,Settings!$AA$20,Settings!$AA$21)))</f>
        <v/>
      </c>
      <c r="X360" s="44" t="str">
        <f aca="false">IF(E360="","",IF(COUNTA(Q360:V360)=0,"Not scored",IF(COUNTA(Q360:V360)&lt;6,"Partly scored ("&amp;COUNTA(Q360:V360)&amp;"/6)",IF(W360&gt;=Settings!$S$8,"Hot",IF(W360&gt;=Settings!$S$9,"Warm","Cold")))))</f>
        <v/>
      </c>
      <c r="Y360" s="44" t="str">
        <f aca="false">IF(E360="","",IF(AND(Q360="No",S360="No"),"🚩 Budget  ·  🚩 No one on camera",IF(Q360="No","🚩 Budget under AED 5k",IF(S360="No","🚩 No one on camera",""))))</f>
        <v/>
      </c>
      <c r="Z360" s="17"/>
      <c r="AA360" s="17"/>
      <c r="AB360" s="40"/>
      <c r="AC360" s="17"/>
      <c r="AD360" s="45" t="str">
        <f aca="false">IF(OR(E360="",AB360="",OR(AA360="Contract signed + paid",AA360="Closed – No response",AA360="Lost"),N(AC360)&gt;=Settings!$S$3),"",AB360+Settings!$S$2)</f>
        <v/>
      </c>
      <c r="AE360" s="40"/>
      <c r="AF360" s="41"/>
      <c r="AG360" s="17"/>
      <c r="AH360" s="17"/>
      <c r="AI360" s="17"/>
      <c r="AJ360" s="46" t="str">
        <f aca="true">IF(OR(E360="",B360=""),"",INT(TODAY()-B360))</f>
        <v/>
      </c>
      <c r="AK360" s="44" t="str">
        <f aca="true">IF(E360="","",IF(OR(COUNTIFS(Clients!$C$2:$C$501,E360,Clients!$S$2:$S$501,"Paid")&gt;0,AND(I360&lt;&gt;"",COUNTIFS(Clients!$E$2:$E$501,I360,Clients!$S$2:$S$501,"Paid")&gt;0)),"⚠ Refunded before – no free video",IF(OR(AA360="Contract signed + paid",AA360="Closed – No response",AA360="Lost"),"",IF(AA360="","Set a stage",IF(AND(AA360="Proposal sent",COUNTA(Q360:V360)&lt;6),"Score this lead – proposal sent unscored",IF(N(AC360)&gt;=Settings!$S$3,"Close – 4 follow-ups sent",IF(AD360="",IF(AB360="","Make first contact",""),IF(TODAY()&gt;AD360,"OVERDUE follow-up",IF(TODAY()=AD360,"Follow up today","")))))))))</f>
        <v/>
      </c>
    </row>
    <row r="361" customFormat="false" ht="15" hidden="false" customHeight="false" outlineLevel="0" collapsed="false">
      <c r="A361" s="17"/>
      <c r="B361" s="40"/>
      <c r="C361" s="41"/>
      <c r="D361" s="17"/>
      <c r="E361" s="17"/>
      <c r="F361" s="17"/>
      <c r="G361" s="17"/>
      <c r="H361" s="17"/>
      <c r="I361" s="42"/>
      <c r="J361" s="17"/>
      <c r="K361" s="17"/>
      <c r="L361" s="17"/>
      <c r="M361" s="17"/>
      <c r="N361" s="40"/>
      <c r="O361" s="41"/>
      <c r="P361" s="43" t="str">
        <f aca="false">IF(OR(B361="",N361=""),"",ROUND(((N361+N(O361))-(B361+N(C361)))*24,1))</f>
        <v/>
      </c>
      <c r="Q361" s="17"/>
      <c r="R361" s="17"/>
      <c r="S361" s="17"/>
      <c r="T361" s="17"/>
      <c r="U361" s="17"/>
      <c r="V361" s="17"/>
      <c r="W361" s="44" t="str">
        <f aca="false">IF(OR(E361="",COUNTA(Q361:V361)=0),"",SUMIFS(Settings!$AA$2:$AA$21,Settings!$Y$2:$Y$21,"Budget AED 5k+/mo?",Settings!$Z$2:$Z$21,Q361)+SUMIFS(Settings!$AA$2:$AA$21,Settings!$Y$2:$Y$21,"Decision-maker?",Settings!$Z$2:$Z$21,R361)+SUMIFS(Settings!$AA$2:$AA$21,Settings!$Y$2:$Y$21,"Someone on camera?",Settings!$Z$2:$Z$21,S361)+SUMIFS(Settings!$AA$2:$AA$21,Settings!$Y$2:$Y$21,"OK with 3-month term?",Settings!$Z$2:$Z$21,T361)+SUMIFS(Settings!$AA$2:$AA$21,Settings!$Y$2:$Y$21,"Start timeline",Settings!$Z$2:$Z$21,U361)+SUMIFS(Settings!$AA$2:$AA$21,Settings!$Y$2:$Y$21,"Social media gap",Settings!$Z$2:$Z$21,V361)+IF(F361="",0,IF(COUNTIF(Settings!$AC$2:$AC$6,F361)&gt;0,Settings!$AA$20,Settings!$AA$21)))</f>
        <v/>
      </c>
      <c r="X361" s="44" t="str">
        <f aca="false">IF(E361="","",IF(COUNTA(Q361:V361)=0,"Not scored",IF(COUNTA(Q361:V361)&lt;6,"Partly scored ("&amp;COUNTA(Q361:V361)&amp;"/6)",IF(W361&gt;=Settings!$S$8,"Hot",IF(W361&gt;=Settings!$S$9,"Warm","Cold")))))</f>
        <v/>
      </c>
      <c r="Y361" s="44" t="str">
        <f aca="false">IF(E361="","",IF(AND(Q361="No",S361="No"),"🚩 Budget  ·  🚩 No one on camera",IF(Q361="No","🚩 Budget under AED 5k",IF(S361="No","🚩 No one on camera",""))))</f>
        <v/>
      </c>
      <c r="Z361" s="17"/>
      <c r="AA361" s="17"/>
      <c r="AB361" s="40"/>
      <c r="AC361" s="17"/>
      <c r="AD361" s="45" t="str">
        <f aca="false">IF(OR(E361="",AB361="",OR(AA361="Contract signed + paid",AA361="Closed – No response",AA361="Lost"),N(AC361)&gt;=Settings!$S$3),"",AB361+Settings!$S$2)</f>
        <v/>
      </c>
      <c r="AE361" s="40"/>
      <c r="AF361" s="41"/>
      <c r="AG361" s="17"/>
      <c r="AH361" s="17"/>
      <c r="AI361" s="17"/>
      <c r="AJ361" s="46" t="str">
        <f aca="true">IF(OR(E361="",B361=""),"",INT(TODAY()-B361))</f>
        <v/>
      </c>
      <c r="AK361" s="44" t="str">
        <f aca="true">IF(E361="","",IF(OR(COUNTIFS(Clients!$C$2:$C$501,E361,Clients!$S$2:$S$501,"Paid")&gt;0,AND(I361&lt;&gt;"",COUNTIFS(Clients!$E$2:$E$501,I361,Clients!$S$2:$S$501,"Paid")&gt;0)),"⚠ Refunded before – no free video",IF(OR(AA361="Contract signed + paid",AA361="Closed – No response",AA361="Lost"),"",IF(AA361="","Set a stage",IF(AND(AA361="Proposal sent",COUNTA(Q361:V361)&lt;6),"Score this lead – proposal sent unscored",IF(N(AC361)&gt;=Settings!$S$3,"Close – 4 follow-ups sent",IF(AD361="",IF(AB361="","Make first contact",""),IF(TODAY()&gt;AD361,"OVERDUE follow-up",IF(TODAY()=AD361,"Follow up today","")))))))))</f>
        <v/>
      </c>
    </row>
    <row r="362" customFormat="false" ht="15" hidden="false" customHeight="false" outlineLevel="0" collapsed="false">
      <c r="A362" s="17"/>
      <c r="B362" s="40"/>
      <c r="C362" s="41"/>
      <c r="D362" s="17"/>
      <c r="E362" s="17"/>
      <c r="F362" s="17"/>
      <c r="G362" s="17"/>
      <c r="H362" s="17"/>
      <c r="I362" s="42"/>
      <c r="J362" s="17"/>
      <c r="K362" s="17"/>
      <c r="L362" s="17"/>
      <c r="M362" s="17"/>
      <c r="N362" s="40"/>
      <c r="O362" s="41"/>
      <c r="P362" s="43" t="str">
        <f aca="false">IF(OR(B362="",N362=""),"",ROUND(((N362+N(O362))-(B362+N(C362)))*24,1))</f>
        <v/>
      </c>
      <c r="Q362" s="17"/>
      <c r="R362" s="17"/>
      <c r="S362" s="17"/>
      <c r="T362" s="17"/>
      <c r="U362" s="17"/>
      <c r="V362" s="17"/>
      <c r="W362" s="44" t="str">
        <f aca="false">IF(OR(E362="",COUNTA(Q362:V362)=0),"",SUMIFS(Settings!$AA$2:$AA$21,Settings!$Y$2:$Y$21,"Budget AED 5k+/mo?",Settings!$Z$2:$Z$21,Q362)+SUMIFS(Settings!$AA$2:$AA$21,Settings!$Y$2:$Y$21,"Decision-maker?",Settings!$Z$2:$Z$21,R362)+SUMIFS(Settings!$AA$2:$AA$21,Settings!$Y$2:$Y$21,"Someone on camera?",Settings!$Z$2:$Z$21,S362)+SUMIFS(Settings!$AA$2:$AA$21,Settings!$Y$2:$Y$21,"OK with 3-month term?",Settings!$Z$2:$Z$21,T362)+SUMIFS(Settings!$AA$2:$AA$21,Settings!$Y$2:$Y$21,"Start timeline",Settings!$Z$2:$Z$21,U362)+SUMIFS(Settings!$AA$2:$AA$21,Settings!$Y$2:$Y$21,"Social media gap",Settings!$Z$2:$Z$21,V362)+IF(F362="",0,IF(COUNTIF(Settings!$AC$2:$AC$6,F362)&gt;0,Settings!$AA$20,Settings!$AA$21)))</f>
        <v/>
      </c>
      <c r="X362" s="44" t="str">
        <f aca="false">IF(E362="","",IF(COUNTA(Q362:V362)=0,"Not scored",IF(COUNTA(Q362:V362)&lt;6,"Partly scored ("&amp;COUNTA(Q362:V362)&amp;"/6)",IF(W362&gt;=Settings!$S$8,"Hot",IF(W362&gt;=Settings!$S$9,"Warm","Cold")))))</f>
        <v/>
      </c>
      <c r="Y362" s="44" t="str">
        <f aca="false">IF(E362="","",IF(AND(Q362="No",S362="No"),"🚩 Budget  ·  🚩 No one on camera",IF(Q362="No","🚩 Budget under AED 5k",IF(S362="No","🚩 No one on camera",""))))</f>
        <v/>
      </c>
      <c r="Z362" s="17"/>
      <c r="AA362" s="17"/>
      <c r="AB362" s="40"/>
      <c r="AC362" s="17"/>
      <c r="AD362" s="45" t="str">
        <f aca="false">IF(OR(E362="",AB362="",OR(AA362="Contract signed + paid",AA362="Closed – No response",AA362="Lost"),N(AC362)&gt;=Settings!$S$3),"",AB362+Settings!$S$2)</f>
        <v/>
      </c>
      <c r="AE362" s="40"/>
      <c r="AF362" s="41"/>
      <c r="AG362" s="17"/>
      <c r="AH362" s="17"/>
      <c r="AI362" s="17"/>
      <c r="AJ362" s="46" t="str">
        <f aca="true">IF(OR(E362="",B362=""),"",INT(TODAY()-B362))</f>
        <v/>
      </c>
      <c r="AK362" s="44" t="str">
        <f aca="true">IF(E362="","",IF(OR(COUNTIFS(Clients!$C$2:$C$501,E362,Clients!$S$2:$S$501,"Paid")&gt;0,AND(I362&lt;&gt;"",COUNTIFS(Clients!$E$2:$E$501,I362,Clients!$S$2:$S$501,"Paid")&gt;0)),"⚠ Refunded before – no free video",IF(OR(AA362="Contract signed + paid",AA362="Closed – No response",AA362="Lost"),"",IF(AA362="","Set a stage",IF(AND(AA362="Proposal sent",COUNTA(Q362:V362)&lt;6),"Score this lead – proposal sent unscored",IF(N(AC362)&gt;=Settings!$S$3,"Close – 4 follow-ups sent",IF(AD362="",IF(AB362="","Make first contact",""),IF(TODAY()&gt;AD362,"OVERDUE follow-up",IF(TODAY()=AD362,"Follow up today","")))))))))</f>
        <v/>
      </c>
    </row>
    <row r="363" customFormat="false" ht="15" hidden="false" customHeight="false" outlineLevel="0" collapsed="false">
      <c r="A363" s="17"/>
      <c r="B363" s="40"/>
      <c r="C363" s="41"/>
      <c r="D363" s="17"/>
      <c r="E363" s="17"/>
      <c r="F363" s="17"/>
      <c r="G363" s="17"/>
      <c r="H363" s="17"/>
      <c r="I363" s="42"/>
      <c r="J363" s="17"/>
      <c r="K363" s="17"/>
      <c r="L363" s="17"/>
      <c r="M363" s="17"/>
      <c r="N363" s="40"/>
      <c r="O363" s="41"/>
      <c r="P363" s="43" t="str">
        <f aca="false">IF(OR(B363="",N363=""),"",ROUND(((N363+N(O363))-(B363+N(C363)))*24,1))</f>
        <v/>
      </c>
      <c r="Q363" s="17"/>
      <c r="R363" s="17"/>
      <c r="S363" s="17"/>
      <c r="T363" s="17"/>
      <c r="U363" s="17"/>
      <c r="V363" s="17"/>
      <c r="W363" s="44" t="str">
        <f aca="false">IF(OR(E363="",COUNTA(Q363:V363)=0),"",SUMIFS(Settings!$AA$2:$AA$21,Settings!$Y$2:$Y$21,"Budget AED 5k+/mo?",Settings!$Z$2:$Z$21,Q363)+SUMIFS(Settings!$AA$2:$AA$21,Settings!$Y$2:$Y$21,"Decision-maker?",Settings!$Z$2:$Z$21,R363)+SUMIFS(Settings!$AA$2:$AA$21,Settings!$Y$2:$Y$21,"Someone on camera?",Settings!$Z$2:$Z$21,S363)+SUMIFS(Settings!$AA$2:$AA$21,Settings!$Y$2:$Y$21,"OK with 3-month term?",Settings!$Z$2:$Z$21,T363)+SUMIFS(Settings!$AA$2:$AA$21,Settings!$Y$2:$Y$21,"Start timeline",Settings!$Z$2:$Z$21,U363)+SUMIFS(Settings!$AA$2:$AA$21,Settings!$Y$2:$Y$21,"Social media gap",Settings!$Z$2:$Z$21,V363)+IF(F363="",0,IF(COUNTIF(Settings!$AC$2:$AC$6,F363)&gt;0,Settings!$AA$20,Settings!$AA$21)))</f>
        <v/>
      </c>
      <c r="X363" s="44" t="str">
        <f aca="false">IF(E363="","",IF(COUNTA(Q363:V363)=0,"Not scored",IF(COUNTA(Q363:V363)&lt;6,"Partly scored ("&amp;COUNTA(Q363:V363)&amp;"/6)",IF(W363&gt;=Settings!$S$8,"Hot",IF(W363&gt;=Settings!$S$9,"Warm","Cold")))))</f>
        <v/>
      </c>
      <c r="Y363" s="44" t="str">
        <f aca="false">IF(E363="","",IF(AND(Q363="No",S363="No"),"🚩 Budget  ·  🚩 No one on camera",IF(Q363="No","🚩 Budget under AED 5k",IF(S363="No","🚩 No one on camera",""))))</f>
        <v/>
      </c>
      <c r="Z363" s="17"/>
      <c r="AA363" s="17"/>
      <c r="AB363" s="40"/>
      <c r="AC363" s="17"/>
      <c r="AD363" s="45" t="str">
        <f aca="false">IF(OR(E363="",AB363="",OR(AA363="Contract signed + paid",AA363="Closed – No response",AA363="Lost"),N(AC363)&gt;=Settings!$S$3),"",AB363+Settings!$S$2)</f>
        <v/>
      </c>
      <c r="AE363" s="40"/>
      <c r="AF363" s="41"/>
      <c r="AG363" s="17"/>
      <c r="AH363" s="17"/>
      <c r="AI363" s="17"/>
      <c r="AJ363" s="46" t="str">
        <f aca="true">IF(OR(E363="",B363=""),"",INT(TODAY()-B363))</f>
        <v/>
      </c>
      <c r="AK363" s="44" t="str">
        <f aca="true">IF(E363="","",IF(OR(COUNTIFS(Clients!$C$2:$C$501,E363,Clients!$S$2:$S$501,"Paid")&gt;0,AND(I363&lt;&gt;"",COUNTIFS(Clients!$E$2:$E$501,I363,Clients!$S$2:$S$501,"Paid")&gt;0)),"⚠ Refunded before – no free video",IF(OR(AA363="Contract signed + paid",AA363="Closed – No response",AA363="Lost"),"",IF(AA363="","Set a stage",IF(AND(AA363="Proposal sent",COUNTA(Q363:V363)&lt;6),"Score this lead – proposal sent unscored",IF(N(AC363)&gt;=Settings!$S$3,"Close – 4 follow-ups sent",IF(AD363="",IF(AB363="","Make first contact",""),IF(TODAY()&gt;AD363,"OVERDUE follow-up",IF(TODAY()=AD363,"Follow up today","")))))))))</f>
        <v/>
      </c>
    </row>
    <row r="364" customFormat="false" ht="15" hidden="false" customHeight="false" outlineLevel="0" collapsed="false">
      <c r="A364" s="17"/>
      <c r="B364" s="40"/>
      <c r="C364" s="41"/>
      <c r="D364" s="17"/>
      <c r="E364" s="17"/>
      <c r="F364" s="17"/>
      <c r="G364" s="17"/>
      <c r="H364" s="17"/>
      <c r="I364" s="42"/>
      <c r="J364" s="17"/>
      <c r="K364" s="17"/>
      <c r="L364" s="17"/>
      <c r="M364" s="17"/>
      <c r="N364" s="40"/>
      <c r="O364" s="41"/>
      <c r="P364" s="43" t="str">
        <f aca="false">IF(OR(B364="",N364=""),"",ROUND(((N364+N(O364))-(B364+N(C364)))*24,1))</f>
        <v/>
      </c>
      <c r="Q364" s="17"/>
      <c r="R364" s="17"/>
      <c r="S364" s="17"/>
      <c r="T364" s="17"/>
      <c r="U364" s="17"/>
      <c r="V364" s="17"/>
      <c r="W364" s="44" t="str">
        <f aca="false">IF(OR(E364="",COUNTA(Q364:V364)=0),"",SUMIFS(Settings!$AA$2:$AA$21,Settings!$Y$2:$Y$21,"Budget AED 5k+/mo?",Settings!$Z$2:$Z$21,Q364)+SUMIFS(Settings!$AA$2:$AA$21,Settings!$Y$2:$Y$21,"Decision-maker?",Settings!$Z$2:$Z$21,R364)+SUMIFS(Settings!$AA$2:$AA$21,Settings!$Y$2:$Y$21,"Someone on camera?",Settings!$Z$2:$Z$21,S364)+SUMIFS(Settings!$AA$2:$AA$21,Settings!$Y$2:$Y$21,"OK with 3-month term?",Settings!$Z$2:$Z$21,T364)+SUMIFS(Settings!$AA$2:$AA$21,Settings!$Y$2:$Y$21,"Start timeline",Settings!$Z$2:$Z$21,U364)+SUMIFS(Settings!$AA$2:$AA$21,Settings!$Y$2:$Y$21,"Social media gap",Settings!$Z$2:$Z$21,V364)+IF(F364="",0,IF(COUNTIF(Settings!$AC$2:$AC$6,F364)&gt;0,Settings!$AA$20,Settings!$AA$21)))</f>
        <v/>
      </c>
      <c r="X364" s="44" t="str">
        <f aca="false">IF(E364="","",IF(COUNTA(Q364:V364)=0,"Not scored",IF(COUNTA(Q364:V364)&lt;6,"Partly scored ("&amp;COUNTA(Q364:V364)&amp;"/6)",IF(W364&gt;=Settings!$S$8,"Hot",IF(W364&gt;=Settings!$S$9,"Warm","Cold")))))</f>
        <v/>
      </c>
      <c r="Y364" s="44" t="str">
        <f aca="false">IF(E364="","",IF(AND(Q364="No",S364="No"),"🚩 Budget  ·  🚩 No one on camera",IF(Q364="No","🚩 Budget under AED 5k",IF(S364="No","🚩 No one on camera",""))))</f>
        <v/>
      </c>
      <c r="Z364" s="17"/>
      <c r="AA364" s="17"/>
      <c r="AB364" s="40"/>
      <c r="AC364" s="17"/>
      <c r="AD364" s="45" t="str">
        <f aca="false">IF(OR(E364="",AB364="",OR(AA364="Contract signed + paid",AA364="Closed – No response",AA364="Lost"),N(AC364)&gt;=Settings!$S$3),"",AB364+Settings!$S$2)</f>
        <v/>
      </c>
      <c r="AE364" s="40"/>
      <c r="AF364" s="41"/>
      <c r="AG364" s="17"/>
      <c r="AH364" s="17"/>
      <c r="AI364" s="17"/>
      <c r="AJ364" s="46" t="str">
        <f aca="true">IF(OR(E364="",B364=""),"",INT(TODAY()-B364))</f>
        <v/>
      </c>
      <c r="AK364" s="44" t="str">
        <f aca="true">IF(E364="","",IF(OR(COUNTIFS(Clients!$C$2:$C$501,E364,Clients!$S$2:$S$501,"Paid")&gt;0,AND(I364&lt;&gt;"",COUNTIFS(Clients!$E$2:$E$501,I364,Clients!$S$2:$S$501,"Paid")&gt;0)),"⚠ Refunded before – no free video",IF(OR(AA364="Contract signed + paid",AA364="Closed – No response",AA364="Lost"),"",IF(AA364="","Set a stage",IF(AND(AA364="Proposal sent",COUNTA(Q364:V364)&lt;6),"Score this lead – proposal sent unscored",IF(N(AC364)&gt;=Settings!$S$3,"Close – 4 follow-ups sent",IF(AD364="",IF(AB364="","Make first contact",""),IF(TODAY()&gt;AD364,"OVERDUE follow-up",IF(TODAY()=AD364,"Follow up today","")))))))))</f>
        <v/>
      </c>
    </row>
    <row r="365" customFormat="false" ht="15" hidden="false" customHeight="false" outlineLevel="0" collapsed="false">
      <c r="A365" s="17"/>
      <c r="B365" s="40"/>
      <c r="C365" s="41"/>
      <c r="D365" s="17"/>
      <c r="E365" s="17"/>
      <c r="F365" s="17"/>
      <c r="G365" s="17"/>
      <c r="H365" s="17"/>
      <c r="I365" s="42"/>
      <c r="J365" s="17"/>
      <c r="K365" s="17"/>
      <c r="L365" s="17"/>
      <c r="M365" s="17"/>
      <c r="N365" s="40"/>
      <c r="O365" s="41"/>
      <c r="P365" s="43" t="str">
        <f aca="false">IF(OR(B365="",N365=""),"",ROUND(((N365+N(O365))-(B365+N(C365)))*24,1))</f>
        <v/>
      </c>
      <c r="Q365" s="17"/>
      <c r="R365" s="17"/>
      <c r="S365" s="17"/>
      <c r="T365" s="17"/>
      <c r="U365" s="17"/>
      <c r="V365" s="17"/>
      <c r="W365" s="44" t="str">
        <f aca="false">IF(OR(E365="",COUNTA(Q365:V365)=0),"",SUMIFS(Settings!$AA$2:$AA$21,Settings!$Y$2:$Y$21,"Budget AED 5k+/mo?",Settings!$Z$2:$Z$21,Q365)+SUMIFS(Settings!$AA$2:$AA$21,Settings!$Y$2:$Y$21,"Decision-maker?",Settings!$Z$2:$Z$21,R365)+SUMIFS(Settings!$AA$2:$AA$21,Settings!$Y$2:$Y$21,"Someone on camera?",Settings!$Z$2:$Z$21,S365)+SUMIFS(Settings!$AA$2:$AA$21,Settings!$Y$2:$Y$21,"OK with 3-month term?",Settings!$Z$2:$Z$21,T365)+SUMIFS(Settings!$AA$2:$AA$21,Settings!$Y$2:$Y$21,"Start timeline",Settings!$Z$2:$Z$21,U365)+SUMIFS(Settings!$AA$2:$AA$21,Settings!$Y$2:$Y$21,"Social media gap",Settings!$Z$2:$Z$21,V365)+IF(F365="",0,IF(COUNTIF(Settings!$AC$2:$AC$6,F365)&gt;0,Settings!$AA$20,Settings!$AA$21)))</f>
        <v/>
      </c>
      <c r="X365" s="44" t="str">
        <f aca="false">IF(E365="","",IF(COUNTA(Q365:V365)=0,"Not scored",IF(COUNTA(Q365:V365)&lt;6,"Partly scored ("&amp;COUNTA(Q365:V365)&amp;"/6)",IF(W365&gt;=Settings!$S$8,"Hot",IF(W365&gt;=Settings!$S$9,"Warm","Cold")))))</f>
        <v/>
      </c>
      <c r="Y365" s="44" t="str">
        <f aca="false">IF(E365="","",IF(AND(Q365="No",S365="No"),"🚩 Budget  ·  🚩 No one on camera",IF(Q365="No","🚩 Budget under AED 5k",IF(S365="No","🚩 No one on camera",""))))</f>
        <v/>
      </c>
      <c r="Z365" s="17"/>
      <c r="AA365" s="17"/>
      <c r="AB365" s="40"/>
      <c r="AC365" s="17"/>
      <c r="AD365" s="45" t="str">
        <f aca="false">IF(OR(E365="",AB365="",OR(AA365="Contract signed + paid",AA365="Closed – No response",AA365="Lost"),N(AC365)&gt;=Settings!$S$3),"",AB365+Settings!$S$2)</f>
        <v/>
      </c>
      <c r="AE365" s="40"/>
      <c r="AF365" s="41"/>
      <c r="AG365" s="17"/>
      <c r="AH365" s="17"/>
      <c r="AI365" s="17"/>
      <c r="AJ365" s="46" t="str">
        <f aca="true">IF(OR(E365="",B365=""),"",INT(TODAY()-B365))</f>
        <v/>
      </c>
      <c r="AK365" s="44" t="str">
        <f aca="true">IF(E365="","",IF(OR(COUNTIFS(Clients!$C$2:$C$501,E365,Clients!$S$2:$S$501,"Paid")&gt;0,AND(I365&lt;&gt;"",COUNTIFS(Clients!$E$2:$E$501,I365,Clients!$S$2:$S$501,"Paid")&gt;0)),"⚠ Refunded before – no free video",IF(OR(AA365="Contract signed + paid",AA365="Closed – No response",AA365="Lost"),"",IF(AA365="","Set a stage",IF(AND(AA365="Proposal sent",COUNTA(Q365:V365)&lt;6),"Score this lead – proposal sent unscored",IF(N(AC365)&gt;=Settings!$S$3,"Close – 4 follow-ups sent",IF(AD365="",IF(AB365="","Make first contact",""),IF(TODAY()&gt;AD365,"OVERDUE follow-up",IF(TODAY()=AD365,"Follow up today","")))))))))</f>
        <v/>
      </c>
    </row>
    <row r="366" customFormat="false" ht="15" hidden="false" customHeight="false" outlineLevel="0" collapsed="false">
      <c r="A366" s="17"/>
      <c r="B366" s="40"/>
      <c r="C366" s="41"/>
      <c r="D366" s="17"/>
      <c r="E366" s="17"/>
      <c r="F366" s="17"/>
      <c r="G366" s="17"/>
      <c r="H366" s="17"/>
      <c r="I366" s="42"/>
      <c r="J366" s="17"/>
      <c r="K366" s="17"/>
      <c r="L366" s="17"/>
      <c r="M366" s="17"/>
      <c r="N366" s="40"/>
      <c r="O366" s="41"/>
      <c r="P366" s="43" t="str">
        <f aca="false">IF(OR(B366="",N366=""),"",ROUND(((N366+N(O366))-(B366+N(C366)))*24,1))</f>
        <v/>
      </c>
      <c r="Q366" s="17"/>
      <c r="R366" s="17"/>
      <c r="S366" s="17"/>
      <c r="T366" s="17"/>
      <c r="U366" s="17"/>
      <c r="V366" s="17"/>
      <c r="W366" s="44" t="str">
        <f aca="false">IF(OR(E366="",COUNTA(Q366:V366)=0),"",SUMIFS(Settings!$AA$2:$AA$21,Settings!$Y$2:$Y$21,"Budget AED 5k+/mo?",Settings!$Z$2:$Z$21,Q366)+SUMIFS(Settings!$AA$2:$AA$21,Settings!$Y$2:$Y$21,"Decision-maker?",Settings!$Z$2:$Z$21,R366)+SUMIFS(Settings!$AA$2:$AA$21,Settings!$Y$2:$Y$21,"Someone on camera?",Settings!$Z$2:$Z$21,S366)+SUMIFS(Settings!$AA$2:$AA$21,Settings!$Y$2:$Y$21,"OK with 3-month term?",Settings!$Z$2:$Z$21,T366)+SUMIFS(Settings!$AA$2:$AA$21,Settings!$Y$2:$Y$21,"Start timeline",Settings!$Z$2:$Z$21,U366)+SUMIFS(Settings!$AA$2:$AA$21,Settings!$Y$2:$Y$21,"Social media gap",Settings!$Z$2:$Z$21,V366)+IF(F366="",0,IF(COUNTIF(Settings!$AC$2:$AC$6,F366)&gt;0,Settings!$AA$20,Settings!$AA$21)))</f>
        <v/>
      </c>
      <c r="X366" s="44" t="str">
        <f aca="false">IF(E366="","",IF(COUNTA(Q366:V366)=0,"Not scored",IF(COUNTA(Q366:V366)&lt;6,"Partly scored ("&amp;COUNTA(Q366:V366)&amp;"/6)",IF(W366&gt;=Settings!$S$8,"Hot",IF(W366&gt;=Settings!$S$9,"Warm","Cold")))))</f>
        <v/>
      </c>
      <c r="Y366" s="44" t="str">
        <f aca="false">IF(E366="","",IF(AND(Q366="No",S366="No"),"🚩 Budget  ·  🚩 No one on camera",IF(Q366="No","🚩 Budget under AED 5k",IF(S366="No","🚩 No one on camera",""))))</f>
        <v/>
      </c>
      <c r="Z366" s="17"/>
      <c r="AA366" s="17"/>
      <c r="AB366" s="40"/>
      <c r="AC366" s="17"/>
      <c r="AD366" s="45" t="str">
        <f aca="false">IF(OR(E366="",AB366="",OR(AA366="Contract signed + paid",AA366="Closed – No response",AA366="Lost"),N(AC366)&gt;=Settings!$S$3),"",AB366+Settings!$S$2)</f>
        <v/>
      </c>
      <c r="AE366" s="40"/>
      <c r="AF366" s="41"/>
      <c r="AG366" s="17"/>
      <c r="AH366" s="17"/>
      <c r="AI366" s="17"/>
      <c r="AJ366" s="46" t="str">
        <f aca="true">IF(OR(E366="",B366=""),"",INT(TODAY()-B366))</f>
        <v/>
      </c>
      <c r="AK366" s="44" t="str">
        <f aca="true">IF(E366="","",IF(OR(COUNTIFS(Clients!$C$2:$C$501,E366,Clients!$S$2:$S$501,"Paid")&gt;0,AND(I366&lt;&gt;"",COUNTIFS(Clients!$E$2:$E$501,I366,Clients!$S$2:$S$501,"Paid")&gt;0)),"⚠ Refunded before – no free video",IF(OR(AA366="Contract signed + paid",AA366="Closed – No response",AA366="Lost"),"",IF(AA366="","Set a stage",IF(AND(AA366="Proposal sent",COUNTA(Q366:V366)&lt;6),"Score this lead – proposal sent unscored",IF(N(AC366)&gt;=Settings!$S$3,"Close – 4 follow-ups sent",IF(AD366="",IF(AB366="","Make first contact",""),IF(TODAY()&gt;AD366,"OVERDUE follow-up",IF(TODAY()=AD366,"Follow up today","")))))))))</f>
        <v/>
      </c>
    </row>
    <row r="367" customFormat="false" ht="15" hidden="false" customHeight="false" outlineLevel="0" collapsed="false">
      <c r="A367" s="17"/>
      <c r="B367" s="40"/>
      <c r="C367" s="41"/>
      <c r="D367" s="17"/>
      <c r="E367" s="17"/>
      <c r="F367" s="17"/>
      <c r="G367" s="17"/>
      <c r="H367" s="17"/>
      <c r="I367" s="42"/>
      <c r="J367" s="17"/>
      <c r="K367" s="17"/>
      <c r="L367" s="17"/>
      <c r="M367" s="17"/>
      <c r="N367" s="40"/>
      <c r="O367" s="41"/>
      <c r="P367" s="43" t="str">
        <f aca="false">IF(OR(B367="",N367=""),"",ROUND(((N367+N(O367))-(B367+N(C367)))*24,1))</f>
        <v/>
      </c>
      <c r="Q367" s="17"/>
      <c r="R367" s="17"/>
      <c r="S367" s="17"/>
      <c r="T367" s="17"/>
      <c r="U367" s="17"/>
      <c r="V367" s="17"/>
      <c r="W367" s="44" t="str">
        <f aca="false">IF(OR(E367="",COUNTA(Q367:V367)=0),"",SUMIFS(Settings!$AA$2:$AA$21,Settings!$Y$2:$Y$21,"Budget AED 5k+/mo?",Settings!$Z$2:$Z$21,Q367)+SUMIFS(Settings!$AA$2:$AA$21,Settings!$Y$2:$Y$21,"Decision-maker?",Settings!$Z$2:$Z$21,R367)+SUMIFS(Settings!$AA$2:$AA$21,Settings!$Y$2:$Y$21,"Someone on camera?",Settings!$Z$2:$Z$21,S367)+SUMIFS(Settings!$AA$2:$AA$21,Settings!$Y$2:$Y$21,"OK with 3-month term?",Settings!$Z$2:$Z$21,T367)+SUMIFS(Settings!$AA$2:$AA$21,Settings!$Y$2:$Y$21,"Start timeline",Settings!$Z$2:$Z$21,U367)+SUMIFS(Settings!$AA$2:$AA$21,Settings!$Y$2:$Y$21,"Social media gap",Settings!$Z$2:$Z$21,V367)+IF(F367="",0,IF(COUNTIF(Settings!$AC$2:$AC$6,F367)&gt;0,Settings!$AA$20,Settings!$AA$21)))</f>
        <v/>
      </c>
      <c r="X367" s="44" t="str">
        <f aca="false">IF(E367="","",IF(COUNTA(Q367:V367)=0,"Not scored",IF(COUNTA(Q367:V367)&lt;6,"Partly scored ("&amp;COUNTA(Q367:V367)&amp;"/6)",IF(W367&gt;=Settings!$S$8,"Hot",IF(W367&gt;=Settings!$S$9,"Warm","Cold")))))</f>
        <v/>
      </c>
      <c r="Y367" s="44" t="str">
        <f aca="false">IF(E367="","",IF(AND(Q367="No",S367="No"),"🚩 Budget  ·  🚩 No one on camera",IF(Q367="No","🚩 Budget under AED 5k",IF(S367="No","🚩 No one on camera",""))))</f>
        <v/>
      </c>
      <c r="Z367" s="17"/>
      <c r="AA367" s="17"/>
      <c r="AB367" s="40"/>
      <c r="AC367" s="17"/>
      <c r="AD367" s="45" t="str">
        <f aca="false">IF(OR(E367="",AB367="",OR(AA367="Contract signed + paid",AA367="Closed – No response",AA367="Lost"),N(AC367)&gt;=Settings!$S$3),"",AB367+Settings!$S$2)</f>
        <v/>
      </c>
      <c r="AE367" s="40"/>
      <c r="AF367" s="41"/>
      <c r="AG367" s="17"/>
      <c r="AH367" s="17"/>
      <c r="AI367" s="17"/>
      <c r="AJ367" s="46" t="str">
        <f aca="true">IF(OR(E367="",B367=""),"",INT(TODAY()-B367))</f>
        <v/>
      </c>
      <c r="AK367" s="44" t="str">
        <f aca="true">IF(E367="","",IF(OR(COUNTIFS(Clients!$C$2:$C$501,E367,Clients!$S$2:$S$501,"Paid")&gt;0,AND(I367&lt;&gt;"",COUNTIFS(Clients!$E$2:$E$501,I367,Clients!$S$2:$S$501,"Paid")&gt;0)),"⚠ Refunded before – no free video",IF(OR(AA367="Contract signed + paid",AA367="Closed – No response",AA367="Lost"),"",IF(AA367="","Set a stage",IF(AND(AA367="Proposal sent",COUNTA(Q367:V367)&lt;6),"Score this lead – proposal sent unscored",IF(N(AC367)&gt;=Settings!$S$3,"Close – 4 follow-ups sent",IF(AD367="",IF(AB367="","Make first contact",""),IF(TODAY()&gt;AD367,"OVERDUE follow-up",IF(TODAY()=AD367,"Follow up today","")))))))))</f>
        <v/>
      </c>
    </row>
    <row r="368" customFormat="false" ht="15" hidden="false" customHeight="false" outlineLevel="0" collapsed="false">
      <c r="A368" s="17"/>
      <c r="B368" s="40"/>
      <c r="C368" s="41"/>
      <c r="D368" s="17"/>
      <c r="E368" s="17"/>
      <c r="F368" s="17"/>
      <c r="G368" s="17"/>
      <c r="H368" s="17"/>
      <c r="I368" s="42"/>
      <c r="J368" s="17"/>
      <c r="K368" s="17"/>
      <c r="L368" s="17"/>
      <c r="M368" s="17"/>
      <c r="N368" s="40"/>
      <c r="O368" s="41"/>
      <c r="P368" s="43" t="str">
        <f aca="false">IF(OR(B368="",N368=""),"",ROUND(((N368+N(O368))-(B368+N(C368)))*24,1))</f>
        <v/>
      </c>
      <c r="Q368" s="17"/>
      <c r="R368" s="17"/>
      <c r="S368" s="17"/>
      <c r="T368" s="17"/>
      <c r="U368" s="17"/>
      <c r="V368" s="17"/>
      <c r="W368" s="44" t="str">
        <f aca="false">IF(OR(E368="",COUNTA(Q368:V368)=0),"",SUMIFS(Settings!$AA$2:$AA$21,Settings!$Y$2:$Y$21,"Budget AED 5k+/mo?",Settings!$Z$2:$Z$21,Q368)+SUMIFS(Settings!$AA$2:$AA$21,Settings!$Y$2:$Y$21,"Decision-maker?",Settings!$Z$2:$Z$21,R368)+SUMIFS(Settings!$AA$2:$AA$21,Settings!$Y$2:$Y$21,"Someone on camera?",Settings!$Z$2:$Z$21,S368)+SUMIFS(Settings!$AA$2:$AA$21,Settings!$Y$2:$Y$21,"OK with 3-month term?",Settings!$Z$2:$Z$21,T368)+SUMIFS(Settings!$AA$2:$AA$21,Settings!$Y$2:$Y$21,"Start timeline",Settings!$Z$2:$Z$21,U368)+SUMIFS(Settings!$AA$2:$AA$21,Settings!$Y$2:$Y$21,"Social media gap",Settings!$Z$2:$Z$21,V368)+IF(F368="",0,IF(COUNTIF(Settings!$AC$2:$AC$6,F368)&gt;0,Settings!$AA$20,Settings!$AA$21)))</f>
        <v/>
      </c>
      <c r="X368" s="44" t="str">
        <f aca="false">IF(E368="","",IF(COUNTA(Q368:V368)=0,"Not scored",IF(COUNTA(Q368:V368)&lt;6,"Partly scored ("&amp;COUNTA(Q368:V368)&amp;"/6)",IF(W368&gt;=Settings!$S$8,"Hot",IF(W368&gt;=Settings!$S$9,"Warm","Cold")))))</f>
        <v/>
      </c>
      <c r="Y368" s="44" t="str">
        <f aca="false">IF(E368="","",IF(AND(Q368="No",S368="No"),"🚩 Budget  ·  🚩 No one on camera",IF(Q368="No","🚩 Budget under AED 5k",IF(S368="No","🚩 No one on camera",""))))</f>
        <v/>
      </c>
      <c r="Z368" s="17"/>
      <c r="AA368" s="17"/>
      <c r="AB368" s="40"/>
      <c r="AC368" s="17"/>
      <c r="AD368" s="45" t="str">
        <f aca="false">IF(OR(E368="",AB368="",OR(AA368="Contract signed + paid",AA368="Closed – No response",AA368="Lost"),N(AC368)&gt;=Settings!$S$3),"",AB368+Settings!$S$2)</f>
        <v/>
      </c>
      <c r="AE368" s="40"/>
      <c r="AF368" s="41"/>
      <c r="AG368" s="17"/>
      <c r="AH368" s="17"/>
      <c r="AI368" s="17"/>
      <c r="AJ368" s="46" t="str">
        <f aca="true">IF(OR(E368="",B368=""),"",INT(TODAY()-B368))</f>
        <v/>
      </c>
      <c r="AK368" s="44" t="str">
        <f aca="true">IF(E368="","",IF(OR(COUNTIFS(Clients!$C$2:$C$501,E368,Clients!$S$2:$S$501,"Paid")&gt;0,AND(I368&lt;&gt;"",COUNTIFS(Clients!$E$2:$E$501,I368,Clients!$S$2:$S$501,"Paid")&gt;0)),"⚠ Refunded before – no free video",IF(OR(AA368="Contract signed + paid",AA368="Closed – No response",AA368="Lost"),"",IF(AA368="","Set a stage",IF(AND(AA368="Proposal sent",COUNTA(Q368:V368)&lt;6),"Score this lead – proposal sent unscored",IF(N(AC368)&gt;=Settings!$S$3,"Close – 4 follow-ups sent",IF(AD368="",IF(AB368="","Make first contact",""),IF(TODAY()&gt;AD368,"OVERDUE follow-up",IF(TODAY()=AD368,"Follow up today","")))))))))</f>
        <v/>
      </c>
    </row>
    <row r="369" customFormat="false" ht="15" hidden="false" customHeight="false" outlineLevel="0" collapsed="false">
      <c r="A369" s="17"/>
      <c r="B369" s="40"/>
      <c r="C369" s="41"/>
      <c r="D369" s="17"/>
      <c r="E369" s="17"/>
      <c r="F369" s="17"/>
      <c r="G369" s="17"/>
      <c r="H369" s="17"/>
      <c r="I369" s="42"/>
      <c r="J369" s="17"/>
      <c r="K369" s="17"/>
      <c r="L369" s="17"/>
      <c r="M369" s="17"/>
      <c r="N369" s="40"/>
      <c r="O369" s="41"/>
      <c r="P369" s="43" t="str">
        <f aca="false">IF(OR(B369="",N369=""),"",ROUND(((N369+N(O369))-(B369+N(C369)))*24,1))</f>
        <v/>
      </c>
      <c r="Q369" s="17"/>
      <c r="R369" s="17"/>
      <c r="S369" s="17"/>
      <c r="T369" s="17"/>
      <c r="U369" s="17"/>
      <c r="V369" s="17"/>
      <c r="W369" s="44" t="str">
        <f aca="false">IF(OR(E369="",COUNTA(Q369:V369)=0),"",SUMIFS(Settings!$AA$2:$AA$21,Settings!$Y$2:$Y$21,"Budget AED 5k+/mo?",Settings!$Z$2:$Z$21,Q369)+SUMIFS(Settings!$AA$2:$AA$21,Settings!$Y$2:$Y$21,"Decision-maker?",Settings!$Z$2:$Z$21,R369)+SUMIFS(Settings!$AA$2:$AA$21,Settings!$Y$2:$Y$21,"Someone on camera?",Settings!$Z$2:$Z$21,S369)+SUMIFS(Settings!$AA$2:$AA$21,Settings!$Y$2:$Y$21,"OK with 3-month term?",Settings!$Z$2:$Z$21,T369)+SUMIFS(Settings!$AA$2:$AA$21,Settings!$Y$2:$Y$21,"Start timeline",Settings!$Z$2:$Z$21,U369)+SUMIFS(Settings!$AA$2:$AA$21,Settings!$Y$2:$Y$21,"Social media gap",Settings!$Z$2:$Z$21,V369)+IF(F369="",0,IF(COUNTIF(Settings!$AC$2:$AC$6,F369)&gt;0,Settings!$AA$20,Settings!$AA$21)))</f>
        <v/>
      </c>
      <c r="X369" s="44" t="str">
        <f aca="false">IF(E369="","",IF(COUNTA(Q369:V369)=0,"Not scored",IF(COUNTA(Q369:V369)&lt;6,"Partly scored ("&amp;COUNTA(Q369:V369)&amp;"/6)",IF(W369&gt;=Settings!$S$8,"Hot",IF(W369&gt;=Settings!$S$9,"Warm","Cold")))))</f>
        <v/>
      </c>
      <c r="Y369" s="44" t="str">
        <f aca="false">IF(E369="","",IF(AND(Q369="No",S369="No"),"🚩 Budget  ·  🚩 No one on camera",IF(Q369="No","🚩 Budget under AED 5k",IF(S369="No","🚩 No one on camera",""))))</f>
        <v/>
      </c>
      <c r="Z369" s="17"/>
      <c r="AA369" s="17"/>
      <c r="AB369" s="40"/>
      <c r="AC369" s="17"/>
      <c r="AD369" s="45" t="str">
        <f aca="false">IF(OR(E369="",AB369="",OR(AA369="Contract signed + paid",AA369="Closed – No response",AA369="Lost"),N(AC369)&gt;=Settings!$S$3),"",AB369+Settings!$S$2)</f>
        <v/>
      </c>
      <c r="AE369" s="40"/>
      <c r="AF369" s="41"/>
      <c r="AG369" s="17"/>
      <c r="AH369" s="17"/>
      <c r="AI369" s="17"/>
      <c r="AJ369" s="46" t="str">
        <f aca="true">IF(OR(E369="",B369=""),"",INT(TODAY()-B369))</f>
        <v/>
      </c>
      <c r="AK369" s="44" t="str">
        <f aca="true">IF(E369="","",IF(OR(COUNTIFS(Clients!$C$2:$C$501,E369,Clients!$S$2:$S$501,"Paid")&gt;0,AND(I369&lt;&gt;"",COUNTIFS(Clients!$E$2:$E$501,I369,Clients!$S$2:$S$501,"Paid")&gt;0)),"⚠ Refunded before – no free video",IF(OR(AA369="Contract signed + paid",AA369="Closed – No response",AA369="Lost"),"",IF(AA369="","Set a stage",IF(AND(AA369="Proposal sent",COUNTA(Q369:V369)&lt;6),"Score this lead – proposal sent unscored",IF(N(AC369)&gt;=Settings!$S$3,"Close – 4 follow-ups sent",IF(AD369="",IF(AB369="","Make first contact",""),IF(TODAY()&gt;AD369,"OVERDUE follow-up",IF(TODAY()=AD369,"Follow up today","")))))))))</f>
        <v/>
      </c>
    </row>
    <row r="370" customFormat="false" ht="15" hidden="false" customHeight="false" outlineLevel="0" collapsed="false">
      <c r="A370" s="17"/>
      <c r="B370" s="40"/>
      <c r="C370" s="41"/>
      <c r="D370" s="17"/>
      <c r="E370" s="17"/>
      <c r="F370" s="17"/>
      <c r="G370" s="17"/>
      <c r="H370" s="17"/>
      <c r="I370" s="42"/>
      <c r="J370" s="17"/>
      <c r="K370" s="17"/>
      <c r="L370" s="17"/>
      <c r="M370" s="17"/>
      <c r="N370" s="40"/>
      <c r="O370" s="41"/>
      <c r="P370" s="43" t="str">
        <f aca="false">IF(OR(B370="",N370=""),"",ROUND(((N370+N(O370))-(B370+N(C370)))*24,1))</f>
        <v/>
      </c>
      <c r="Q370" s="17"/>
      <c r="R370" s="17"/>
      <c r="S370" s="17"/>
      <c r="T370" s="17"/>
      <c r="U370" s="17"/>
      <c r="V370" s="17"/>
      <c r="W370" s="44" t="str">
        <f aca="false">IF(OR(E370="",COUNTA(Q370:V370)=0),"",SUMIFS(Settings!$AA$2:$AA$21,Settings!$Y$2:$Y$21,"Budget AED 5k+/mo?",Settings!$Z$2:$Z$21,Q370)+SUMIFS(Settings!$AA$2:$AA$21,Settings!$Y$2:$Y$21,"Decision-maker?",Settings!$Z$2:$Z$21,R370)+SUMIFS(Settings!$AA$2:$AA$21,Settings!$Y$2:$Y$21,"Someone on camera?",Settings!$Z$2:$Z$21,S370)+SUMIFS(Settings!$AA$2:$AA$21,Settings!$Y$2:$Y$21,"OK with 3-month term?",Settings!$Z$2:$Z$21,T370)+SUMIFS(Settings!$AA$2:$AA$21,Settings!$Y$2:$Y$21,"Start timeline",Settings!$Z$2:$Z$21,U370)+SUMIFS(Settings!$AA$2:$AA$21,Settings!$Y$2:$Y$21,"Social media gap",Settings!$Z$2:$Z$21,V370)+IF(F370="",0,IF(COUNTIF(Settings!$AC$2:$AC$6,F370)&gt;0,Settings!$AA$20,Settings!$AA$21)))</f>
        <v/>
      </c>
      <c r="X370" s="44" t="str">
        <f aca="false">IF(E370="","",IF(COUNTA(Q370:V370)=0,"Not scored",IF(COUNTA(Q370:V370)&lt;6,"Partly scored ("&amp;COUNTA(Q370:V370)&amp;"/6)",IF(W370&gt;=Settings!$S$8,"Hot",IF(W370&gt;=Settings!$S$9,"Warm","Cold")))))</f>
        <v/>
      </c>
      <c r="Y370" s="44" t="str">
        <f aca="false">IF(E370="","",IF(AND(Q370="No",S370="No"),"🚩 Budget  ·  🚩 No one on camera",IF(Q370="No","🚩 Budget under AED 5k",IF(S370="No","🚩 No one on camera",""))))</f>
        <v/>
      </c>
      <c r="Z370" s="17"/>
      <c r="AA370" s="17"/>
      <c r="AB370" s="40"/>
      <c r="AC370" s="17"/>
      <c r="AD370" s="45" t="str">
        <f aca="false">IF(OR(E370="",AB370="",OR(AA370="Contract signed + paid",AA370="Closed – No response",AA370="Lost"),N(AC370)&gt;=Settings!$S$3),"",AB370+Settings!$S$2)</f>
        <v/>
      </c>
      <c r="AE370" s="40"/>
      <c r="AF370" s="41"/>
      <c r="AG370" s="17"/>
      <c r="AH370" s="17"/>
      <c r="AI370" s="17"/>
      <c r="AJ370" s="46" t="str">
        <f aca="true">IF(OR(E370="",B370=""),"",INT(TODAY()-B370))</f>
        <v/>
      </c>
      <c r="AK370" s="44" t="str">
        <f aca="true">IF(E370="","",IF(OR(COUNTIFS(Clients!$C$2:$C$501,E370,Clients!$S$2:$S$501,"Paid")&gt;0,AND(I370&lt;&gt;"",COUNTIFS(Clients!$E$2:$E$501,I370,Clients!$S$2:$S$501,"Paid")&gt;0)),"⚠ Refunded before – no free video",IF(OR(AA370="Contract signed + paid",AA370="Closed – No response",AA370="Lost"),"",IF(AA370="","Set a stage",IF(AND(AA370="Proposal sent",COUNTA(Q370:V370)&lt;6),"Score this lead – proposal sent unscored",IF(N(AC370)&gt;=Settings!$S$3,"Close – 4 follow-ups sent",IF(AD370="",IF(AB370="","Make first contact",""),IF(TODAY()&gt;AD370,"OVERDUE follow-up",IF(TODAY()=AD370,"Follow up today","")))))))))</f>
        <v/>
      </c>
    </row>
    <row r="371" customFormat="false" ht="15" hidden="false" customHeight="false" outlineLevel="0" collapsed="false">
      <c r="A371" s="17"/>
      <c r="B371" s="40"/>
      <c r="C371" s="41"/>
      <c r="D371" s="17"/>
      <c r="E371" s="17"/>
      <c r="F371" s="17"/>
      <c r="G371" s="17"/>
      <c r="H371" s="17"/>
      <c r="I371" s="42"/>
      <c r="J371" s="17"/>
      <c r="K371" s="17"/>
      <c r="L371" s="17"/>
      <c r="M371" s="17"/>
      <c r="N371" s="40"/>
      <c r="O371" s="41"/>
      <c r="P371" s="43" t="str">
        <f aca="false">IF(OR(B371="",N371=""),"",ROUND(((N371+N(O371))-(B371+N(C371)))*24,1))</f>
        <v/>
      </c>
      <c r="Q371" s="17"/>
      <c r="R371" s="17"/>
      <c r="S371" s="17"/>
      <c r="T371" s="17"/>
      <c r="U371" s="17"/>
      <c r="V371" s="17"/>
      <c r="W371" s="44" t="str">
        <f aca="false">IF(OR(E371="",COUNTA(Q371:V371)=0),"",SUMIFS(Settings!$AA$2:$AA$21,Settings!$Y$2:$Y$21,"Budget AED 5k+/mo?",Settings!$Z$2:$Z$21,Q371)+SUMIFS(Settings!$AA$2:$AA$21,Settings!$Y$2:$Y$21,"Decision-maker?",Settings!$Z$2:$Z$21,R371)+SUMIFS(Settings!$AA$2:$AA$21,Settings!$Y$2:$Y$21,"Someone on camera?",Settings!$Z$2:$Z$21,S371)+SUMIFS(Settings!$AA$2:$AA$21,Settings!$Y$2:$Y$21,"OK with 3-month term?",Settings!$Z$2:$Z$21,T371)+SUMIFS(Settings!$AA$2:$AA$21,Settings!$Y$2:$Y$21,"Start timeline",Settings!$Z$2:$Z$21,U371)+SUMIFS(Settings!$AA$2:$AA$21,Settings!$Y$2:$Y$21,"Social media gap",Settings!$Z$2:$Z$21,V371)+IF(F371="",0,IF(COUNTIF(Settings!$AC$2:$AC$6,F371)&gt;0,Settings!$AA$20,Settings!$AA$21)))</f>
        <v/>
      </c>
      <c r="X371" s="44" t="str">
        <f aca="false">IF(E371="","",IF(COUNTA(Q371:V371)=0,"Not scored",IF(COUNTA(Q371:V371)&lt;6,"Partly scored ("&amp;COUNTA(Q371:V371)&amp;"/6)",IF(W371&gt;=Settings!$S$8,"Hot",IF(W371&gt;=Settings!$S$9,"Warm","Cold")))))</f>
        <v/>
      </c>
      <c r="Y371" s="44" t="str">
        <f aca="false">IF(E371="","",IF(AND(Q371="No",S371="No"),"🚩 Budget  ·  🚩 No one on camera",IF(Q371="No","🚩 Budget under AED 5k",IF(S371="No","🚩 No one on camera",""))))</f>
        <v/>
      </c>
      <c r="Z371" s="17"/>
      <c r="AA371" s="17"/>
      <c r="AB371" s="40"/>
      <c r="AC371" s="17"/>
      <c r="AD371" s="45" t="str">
        <f aca="false">IF(OR(E371="",AB371="",OR(AA371="Contract signed + paid",AA371="Closed – No response",AA371="Lost"),N(AC371)&gt;=Settings!$S$3),"",AB371+Settings!$S$2)</f>
        <v/>
      </c>
      <c r="AE371" s="40"/>
      <c r="AF371" s="41"/>
      <c r="AG371" s="17"/>
      <c r="AH371" s="17"/>
      <c r="AI371" s="17"/>
      <c r="AJ371" s="46" t="str">
        <f aca="true">IF(OR(E371="",B371=""),"",INT(TODAY()-B371))</f>
        <v/>
      </c>
      <c r="AK371" s="44" t="str">
        <f aca="true">IF(E371="","",IF(OR(COUNTIFS(Clients!$C$2:$C$501,E371,Clients!$S$2:$S$501,"Paid")&gt;0,AND(I371&lt;&gt;"",COUNTIFS(Clients!$E$2:$E$501,I371,Clients!$S$2:$S$501,"Paid")&gt;0)),"⚠ Refunded before – no free video",IF(OR(AA371="Contract signed + paid",AA371="Closed – No response",AA371="Lost"),"",IF(AA371="","Set a stage",IF(AND(AA371="Proposal sent",COUNTA(Q371:V371)&lt;6),"Score this lead – proposal sent unscored",IF(N(AC371)&gt;=Settings!$S$3,"Close – 4 follow-ups sent",IF(AD371="",IF(AB371="","Make first contact",""),IF(TODAY()&gt;AD371,"OVERDUE follow-up",IF(TODAY()=AD371,"Follow up today","")))))))))</f>
        <v/>
      </c>
    </row>
    <row r="372" customFormat="false" ht="15" hidden="false" customHeight="false" outlineLevel="0" collapsed="false">
      <c r="A372" s="17"/>
      <c r="B372" s="40"/>
      <c r="C372" s="41"/>
      <c r="D372" s="17"/>
      <c r="E372" s="17"/>
      <c r="F372" s="17"/>
      <c r="G372" s="17"/>
      <c r="H372" s="17"/>
      <c r="I372" s="42"/>
      <c r="J372" s="17"/>
      <c r="K372" s="17"/>
      <c r="L372" s="17"/>
      <c r="M372" s="17"/>
      <c r="N372" s="40"/>
      <c r="O372" s="41"/>
      <c r="P372" s="43" t="str">
        <f aca="false">IF(OR(B372="",N372=""),"",ROUND(((N372+N(O372))-(B372+N(C372)))*24,1))</f>
        <v/>
      </c>
      <c r="Q372" s="17"/>
      <c r="R372" s="17"/>
      <c r="S372" s="17"/>
      <c r="T372" s="17"/>
      <c r="U372" s="17"/>
      <c r="V372" s="17"/>
      <c r="W372" s="44" t="str">
        <f aca="false">IF(OR(E372="",COUNTA(Q372:V372)=0),"",SUMIFS(Settings!$AA$2:$AA$21,Settings!$Y$2:$Y$21,"Budget AED 5k+/mo?",Settings!$Z$2:$Z$21,Q372)+SUMIFS(Settings!$AA$2:$AA$21,Settings!$Y$2:$Y$21,"Decision-maker?",Settings!$Z$2:$Z$21,R372)+SUMIFS(Settings!$AA$2:$AA$21,Settings!$Y$2:$Y$21,"Someone on camera?",Settings!$Z$2:$Z$21,S372)+SUMIFS(Settings!$AA$2:$AA$21,Settings!$Y$2:$Y$21,"OK with 3-month term?",Settings!$Z$2:$Z$21,T372)+SUMIFS(Settings!$AA$2:$AA$21,Settings!$Y$2:$Y$21,"Start timeline",Settings!$Z$2:$Z$21,U372)+SUMIFS(Settings!$AA$2:$AA$21,Settings!$Y$2:$Y$21,"Social media gap",Settings!$Z$2:$Z$21,V372)+IF(F372="",0,IF(COUNTIF(Settings!$AC$2:$AC$6,F372)&gt;0,Settings!$AA$20,Settings!$AA$21)))</f>
        <v/>
      </c>
      <c r="X372" s="44" t="str">
        <f aca="false">IF(E372="","",IF(COUNTA(Q372:V372)=0,"Not scored",IF(COUNTA(Q372:V372)&lt;6,"Partly scored ("&amp;COUNTA(Q372:V372)&amp;"/6)",IF(W372&gt;=Settings!$S$8,"Hot",IF(W372&gt;=Settings!$S$9,"Warm","Cold")))))</f>
        <v/>
      </c>
      <c r="Y372" s="44" t="str">
        <f aca="false">IF(E372="","",IF(AND(Q372="No",S372="No"),"🚩 Budget  ·  🚩 No one on camera",IF(Q372="No","🚩 Budget under AED 5k",IF(S372="No","🚩 No one on camera",""))))</f>
        <v/>
      </c>
      <c r="Z372" s="17"/>
      <c r="AA372" s="17"/>
      <c r="AB372" s="40"/>
      <c r="AC372" s="17"/>
      <c r="AD372" s="45" t="str">
        <f aca="false">IF(OR(E372="",AB372="",OR(AA372="Contract signed + paid",AA372="Closed – No response",AA372="Lost"),N(AC372)&gt;=Settings!$S$3),"",AB372+Settings!$S$2)</f>
        <v/>
      </c>
      <c r="AE372" s="40"/>
      <c r="AF372" s="41"/>
      <c r="AG372" s="17"/>
      <c r="AH372" s="17"/>
      <c r="AI372" s="17"/>
      <c r="AJ372" s="46" t="str">
        <f aca="true">IF(OR(E372="",B372=""),"",INT(TODAY()-B372))</f>
        <v/>
      </c>
      <c r="AK372" s="44" t="str">
        <f aca="true">IF(E372="","",IF(OR(COUNTIFS(Clients!$C$2:$C$501,E372,Clients!$S$2:$S$501,"Paid")&gt;0,AND(I372&lt;&gt;"",COUNTIFS(Clients!$E$2:$E$501,I372,Clients!$S$2:$S$501,"Paid")&gt;0)),"⚠ Refunded before – no free video",IF(OR(AA372="Contract signed + paid",AA372="Closed – No response",AA372="Lost"),"",IF(AA372="","Set a stage",IF(AND(AA372="Proposal sent",COUNTA(Q372:V372)&lt;6),"Score this lead – proposal sent unscored",IF(N(AC372)&gt;=Settings!$S$3,"Close – 4 follow-ups sent",IF(AD372="",IF(AB372="","Make first contact",""),IF(TODAY()&gt;AD372,"OVERDUE follow-up",IF(TODAY()=AD372,"Follow up today","")))))))))</f>
        <v/>
      </c>
    </row>
    <row r="373" customFormat="false" ht="15" hidden="false" customHeight="false" outlineLevel="0" collapsed="false">
      <c r="A373" s="17"/>
      <c r="B373" s="40"/>
      <c r="C373" s="41"/>
      <c r="D373" s="17"/>
      <c r="E373" s="17"/>
      <c r="F373" s="17"/>
      <c r="G373" s="17"/>
      <c r="H373" s="17"/>
      <c r="I373" s="42"/>
      <c r="J373" s="17"/>
      <c r="K373" s="17"/>
      <c r="L373" s="17"/>
      <c r="M373" s="17"/>
      <c r="N373" s="40"/>
      <c r="O373" s="41"/>
      <c r="P373" s="43" t="str">
        <f aca="false">IF(OR(B373="",N373=""),"",ROUND(((N373+N(O373))-(B373+N(C373)))*24,1))</f>
        <v/>
      </c>
      <c r="Q373" s="17"/>
      <c r="R373" s="17"/>
      <c r="S373" s="17"/>
      <c r="T373" s="17"/>
      <c r="U373" s="17"/>
      <c r="V373" s="17"/>
      <c r="W373" s="44" t="str">
        <f aca="false">IF(OR(E373="",COUNTA(Q373:V373)=0),"",SUMIFS(Settings!$AA$2:$AA$21,Settings!$Y$2:$Y$21,"Budget AED 5k+/mo?",Settings!$Z$2:$Z$21,Q373)+SUMIFS(Settings!$AA$2:$AA$21,Settings!$Y$2:$Y$21,"Decision-maker?",Settings!$Z$2:$Z$21,R373)+SUMIFS(Settings!$AA$2:$AA$21,Settings!$Y$2:$Y$21,"Someone on camera?",Settings!$Z$2:$Z$21,S373)+SUMIFS(Settings!$AA$2:$AA$21,Settings!$Y$2:$Y$21,"OK with 3-month term?",Settings!$Z$2:$Z$21,T373)+SUMIFS(Settings!$AA$2:$AA$21,Settings!$Y$2:$Y$21,"Start timeline",Settings!$Z$2:$Z$21,U373)+SUMIFS(Settings!$AA$2:$AA$21,Settings!$Y$2:$Y$21,"Social media gap",Settings!$Z$2:$Z$21,V373)+IF(F373="",0,IF(COUNTIF(Settings!$AC$2:$AC$6,F373)&gt;0,Settings!$AA$20,Settings!$AA$21)))</f>
        <v/>
      </c>
      <c r="X373" s="44" t="str">
        <f aca="false">IF(E373="","",IF(COUNTA(Q373:V373)=0,"Not scored",IF(COUNTA(Q373:V373)&lt;6,"Partly scored ("&amp;COUNTA(Q373:V373)&amp;"/6)",IF(W373&gt;=Settings!$S$8,"Hot",IF(W373&gt;=Settings!$S$9,"Warm","Cold")))))</f>
        <v/>
      </c>
      <c r="Y373" s="44" t="str">
        <f aca="false">IF(E373="","",IF(AND(Q373="No",S373="No"),"🚩 Budget  ·  🚩 No one on camera",IF(Q373="No","🚩 Budget under AED 5k",IF(S373="No","🚩 No one on camera",""))))</f>
        <v/>
      </c>
      <c r="Z373" s="17"/>
      <c r="AA373" s="17"/>
      <c r="AB373" s="40"/>
      <c r="AC373" s="17"/>
      <c r="AD373" s="45" t="str">
        <f aca="false">IF(OR(E373="",AB373="",OR(AA373="Contract signed + paid",AA373="Closed – No response",AA373="Lost"),N(AC373)&gt;=Settings!$S$3),"",AB373+Settings!$S$2)</f>
        <v/>
      </c>
      <c r="AE373" s="40"/>
      <c r="AF373" s="41"/>
      <c r="AG373" s="17"/>
      <c r="AH373" s="17"/>
      <c r="AI373" s="17"/>
      <c r="AJ373" s="46" t="str">
        <f aca="true">IF(OR(E373="",B373=""),"",INT(TODAY()-B373))</f>
        <v/>
      </c>
      <c r="AK373" s="44" t="str">
        <f aca="true">IF(E373="","",IF(OR(COUNTIFS(Clients!$C$2:$C$501,E373,Clients!$S$2:$S$501,"Paid")&gt;0,AND(I373&lt;&gt;"",COUNTIFS(Clients!$E$2:$E$501,I373,Clients!$S$2:$S$501,"Paid")&gt;0)),"⚠ Refunded before – no free video",IF(OR(AA373="Contract signed + paid",AA373="Closed – No response",AA373="Lost"),"",IF(AA373="","Set a stage",IF(AND(AA373="Proposal sent",COUNTA(Q373:V373)&lt;6),"Score this lead – proposal sent unscored",IF(N(AC373)&gt;=Settings!$S$3,"Close – 4 follow-ups sent",IF(AD373="",IF(AB373="","Make first contact",""),IF(TODAY()&gt;AD373,"OVERDUE follow-up",IF(TODAY()=AD373,"Follow up today","")))))))))</f>
        <v/>
      </c>
    </row>
    <row r="374" customFormat="false" ht="15" hidden="false" customHeight="false" outlineLevel="0" collapsed="false">
      <c r="A374" s="17"/>
      <c r="B374" s="40"/>
      <c r="C374" s="41"/>
      <c r="D374" s="17"/>
      <c r="E374" s="17"/>
      <c r="F374" s="17"/>
      <c r="G374" s="17"/>
      <c r="H374" s="17"/>
      <c r="I374" s="42"/>
      <c r="J374" s="17"/>
      <c r="K374" s="17"/>
      <c r="L374" s="17"/>
      <c r="M374" s="17"/>
      <c r="N374" s="40"/>
      <c r="O374" s="41"/>
      <c r="P374" s="43" t="str">
        <f aca="false">IF(OR(B374="",N374=""),"",ROUND(((N374+N(O374))-(B374+N(C374)))*24,1))</f>
        <v/>
      </c>
      <c r="Q374" s="17"/>
      <c r="R374" s="17"/>
      <c r="S374" s="17"/>
      <c r="T374" s="17"/>
      <c r="U374" s="17"/>
      <c r="V374" s="17"/>
      <c r="W374" s="44" t="str">
        <f aca="false">IF(OR(E374="",COUNTA(Q374:V374)=0),"",SUMIFS(Settings!$AA$2:$AA$21,Settings!$Y$2:$Y$21,"Budget AED 5k+/mo?",Settings!$Z$2:$Z$21,Q374)+SUMIFS(Settings!$AA$2:$AA$21,Settings!$Y$2:$Y$21,"Decision-maker?",Settings!$Z$2:$Z$21,R374)+SUMIFS(Settings!$AA$2:$AA$21,Settings!$Y$2:$Y$21,"Someone on camera?",Settings!$Z$2:$Z$21,S374)+SUMIFS(Settings!$AA$2:$AA$21,Settings!$Y$2:$Y$21,"OK with 3-month term?",Settings!$Z$2:$Z$21,T374)+SUMIFS(Settings!$AA$2:$AA$21,Settings!$Y$2:$Y$21,"Start timeline",Settings!$Z$2:$Z$21,U374)+SUMIFS(Settings!$AA$2:$AA$21,Settings!$Y$2:$Y$21,"Social media gap",Settings!$Z$2:$Z$21,V374)+IF(F374="",0,IF(COUNTIF(Settings!$AC$2:$AC$6,F374)&gt;0,Settings!$AA$20,Settings!$AA$21)))</f>
        <v/>
      </c>
      <c r="X374" s="44" t="str">
        <f aca="false">IF(E374="","",IF(COUNTA(Q374:V374)=0,"Not scored",IF(COUNTA(Q374:V374)&lt;6,"Partly scored ("&amp;COUNTA(Q374:V374)&amp;"/6)",IF(W374&gt;=Settings!$S$8,"Hot",IF(W374&gt;=Settings!$S$9,"Warm","Cold")))))</f>
        <v/>
      </c>
      <c r="Y374" s="44" t="str">
        <f aca="false">IF(E374="","",IF(AND(Q374="No",S374="No"),"🚩 Budget  ·  🚩 No one on camera",IF(Q374="No","🚩 Budget under AED 5k",IF(S374="No","🚩 No one on camera",""))))</f>
        <v/>
      </c>
      <c r="Z374" s="17"/>
      <c r="AA374" s="17"/>
      <c r="AB374" s="40"/>
      <c r="AC374" s="17"/>
      <c r="AD374" s="45" t="str">
        <f aca="false">IF(OR(E374="",AB374="",OR(AA374="Contract signed + paid",AA374="Closed – No response",AA374="Lost"),N(AC374)&gt;=Settings!$S$3),"",AB374+Settings!$S$2)</f>
        <v/>
      </c>
      <c r="AE374" s="40"/>
      <c r="AF374" s="41"/>
      <c r="AG374" s="17"/>
      <c r="AH374" s="17"/>
      <c r="AI374" s="17"/>
      <c r="AJ374" s="46" t="str">
        <f aca="true">IF(OR(E374="",B374=""),"",INT(TODAY()-B374))</f>
        <v/>
      </c>
      <c r="AK374" s="44" t="str">
        <f aca="true">IF(E374="","",IF(OR(COUNTIFS(Clients!$C$2:$C$501,E374,Clients!$S$2:$S$501,"Paid")&gt;0,AND(I374&lt;&gt;"",COUNTIFS(Clients!$E$2:$E$501,I374,Clients!$S$2:$S$501,"Paid")&gt;0)),"⚠ Refunded before – no free video",IF(OR(AA374="Contract signed + paid",AA374="Closed – No response",AA374="Lost"),"",IF(AA374="","Set a stage",IF(AND(AA374="Proposal sent",COUNTA(Q374:V374)&lt;6),"Score this lead – proposal sent unscored",IF(N(AC374)&gt;=Settings!$S$3,"Close – 4 follow-ups sent",IF(AD374="",IF(AB374="","Make first contact",""),IF(TODAY()&gt;AD374,"OVERDUE follow-up",IF(TODAY()=AD374,"Follow up today","")))))))))</f>
        <v/>
      </c>
    </row>
    <row r="375" customFormat="false" ht="15" hidden="false" customHeight="false" outlineLevel="0" collapsed="false">
      <c r="A375" s="17"/>
      <c r="B375" s="40"/>
      <c r="C375" s="41"/>
      <c r="D375" s="17"/>
      <c r="E375" s="17"/>
      <c r="F375" s="17"/>
      <c r="G375" s="17"/>
      <c r="H375" s="17"/>
      <c r="I375" s="42"/>
      <c r="J375" s="17"/>
      <c r="K375" s="17"/>
      <c r="L375" s="17"/>
      <c r="M375" s="17"/>
      <c r="N375" s="40"/>
      <c r="O375" s="41"/>
      <c r="P375" s="43" t="str">
        <f aca="false">IF(OR(B375="",N375=""),"",ROUND(((N375+N(O375))-(B375+N(C375)))*24,1))</f>
        <v/>
      </c>
      <c r="Q375" s="17"/>
      <c r="R375" s="17"/>
      <c r="S375" s="17"/>
      <c r="T375" s="17"/>
      <c r="U375" s="17"/>
      <c r="V375" s="17"/>
      <c r="W375" s="44" t="str">
        <f aca="false">IF(OR(E375="",COUNTA(Q375:V375)=0),"",SUMIFS(Settings!$AA$2:$AA$21,Settings!$Y$2:$Y$21,"Budget AED 5k+/mo?",Settings!$Z$2:$Z$21,Q375)+SUMIFS(Settings!$AA$2:$AA$21,Settings!$Y$2:$Y$21,"Decision-maker?",Settings!$Z$2:$Z$21,R375)+SUMIFS(Settings!$AA$2:$AA$21,Settings!$Y$2:$Y$21,"Someone on camera?",Settings!$Z$2:$Z$21,S375)+SUMIFS(Settings!$AA$2:$AA$21,Settings!$Y$2:$Y$21,"OK with 3-month term?",Settings!$Z$2:$Z$21,T375)+SUMIFS(Settings!$AA$2:$AA$21,Settings!$Y$2:$Y$21,"Start timeline",Settings!$Z$2:$Z$21,U375)+SUMIFS(Settings!$AA$2:$AA$21,Settings!$Y$2:$Y$21,"Social media gap",Settings!$Z$2:$Z$21,V375)+IF(F375="",0,IF(COUNTIF(Settings!$AC$2:$AC$6,F375)&gt;0,Settings!$AA$20,Settings!$AA$21)))</f>
        <v/>
      </c>
      <c r="X375" s="44" t="str">
        <f aca="false">IF(E375="","",IF(COUNTA(Q375:V375)=0,"Not scored",IF(COUNTA(Q375:V375)&lt;6,"Partly scored ("&amp;COUNTA(Q375:V375)&amp;"/6)",IF(W375&gt;=Settings!$S$8,"Hot",IF(W375&gt;=Settings!$S$9,"Warm","Cold")))))</f>
        <v/>
      </c>
      <c r="Y375" s="44" t="str">
        <f aca="false">IF(E375="","",IF(AND(Q375="No",S375="No"),"🚩 Budget  ·  🚩 No one on camera",IF(Q375="No","🚩 Budget under AED 5k",IF(S375="No","🚩 No one on camera",""))))</f>
        <v/>
      </c>
      <c r="Z375" s="17"/>
      <c r="AA375" s="17"/>
      <c r="AB375" s="40"/>
      <c r="AC375" s="17"/>
      <c r="AD375" s="45" t="str">
        <f aca="false">IF(OR(E375="",AB375="",OR(AA375="Contract signed + paid",AA375="Closed – No response",AA375="Lost"),N(AC375)&gt;=Settings!$S$3),"",AB375+Settings!$S$2)</f>
        <v/>
      </c>
      <c r="AE375" s="40"/>
      <c r="AF375" s="41"/>
      <c r="AG375" s="17"/>
      <c r="AH375" s="17"/>
      <c r="AI375" s="17"/>
      <c r="AJ375" s="46" t="str">
        <f aca="true">IF(OR(E375="",B375=""),"",INT(TODAY()-B375))</f>
        <v/>
      </c>
      <c r="AK375" s="44" t="str">
        <f aca="true">IF(E375="","",IF(OR(COUNTIFS(Clients!$C$2:$C$501,E375,Clients!$S$2:$S$501,"Paid")&gt;0,AND(I375&lt;&gt;"",COUNTIFS(Clients!$E$2:$E$501,I375,Clients!$S$2:$S$501,"Paid")&gt;0)),"⚠ Refunded before – no free video",IF(OR(AA375="Contract signed + paid",AA375="Closed – No response",AA375="Lost"),"",IF(AA375="","Set a stage",IF(AND(AA375="Proposal sent",COUNTA(Q375:V375)&lt;6),"Score this lead – proposal sent unscored",IF(N(AC375)&gt;=Settings!$S$3,"Close – 4 follow-ups sent",IF(AD375="",IF(AB375="","Make first contact",""),IF(TODAY()&gt;AD375,"OVERDUE follow-up",IF(TODAY()=AD375,"Follow up today","")))))))))</f>
        <v/>
      </c>
    </row>
    <row r="376" customFormat="false" ht="15" hidden="false" customHeight="false" outlineLevel="0" collapsed="false">
      <c r="A376" s="17"/>
      <c r="B376" s="40"/>
      <c r="C376" s="41"/>
      <c r="D376" s="17"/>
      <c r="E376" s="17"/>
      <c r="F376" s="17"/>
      <c r="G376" s="17"/>
      <c r="H376" s="17"/>
      <c r="I376" s="42"/>
      <c r="J376" s="17"/>
      <c r="K376" s="17"/>
      <c r="L376" s="17"/>
      <c r="M376" s="17"/>
      <c r="N376" s="40"/>
      <c r="O376" s="41"/>
      <c r="P376" s="43" t="str">
        <f aca="false">IF(OR(B376="",N376=""),"",ROUND(((N376+N(O376))-(B376+N(C376)))*24,1))</f>
        <v/>
      </c>
      <c r="Q376" s="17"/>
      <c r="R376" s="17"/>
      <c r="S376" s="17"/>
      <c r="T376" s="17"/>
      <c r="U376" s="17"/>
      <c r="V376" s="17"/>
      <c r="W376" s="44" t="str">
        <f aca="false">IF(OR(E376="",COUNTA(Q376:V376)=0),"",SUMIFS(Settings!$AA$2:$AA$21,Settings!$Y$2:$Y$21,"Budget AED 5k+/mo?",Settings!$Z$2:$Z$21,Q376)+SUMIFS(Settings!$AA$2:$AA$21,Settings!$Y$2:$Y$21,"Decision-maker?",Settings!$Z$2:$Z$21,R376)+SUMIFS(Settings!$AA$2:$AA$21,Settings!$Y$2:$Y$21,"Someone on camera?",Settings!$Z$2:$Z$21,S376)+SUMIFS(Settings!$AA$2:$AA$21,Settings!$Y$2:$Y$21,"OK with 3-month term?",Settings!$Z$2:$Z$21,T376)+SUMIFS(Settings!$AA$2:$AA$21,Settings!$Y$2:$Y$21,"Start timeline",Settings!$Z$2:$Z$21,U376)+SUMIFS(Settings!$AA$2:$AA$21,Settings!$Y$2:$Y$21,"Social media gap",Settings!$Z$2:$Z$21,V376)+IF(F376="",0,IF(COUNTIF(Settings!$AC$2:$AC$6,F376)&gt;0,Settings!$AA$20,Settings!$AA$21)))</f>
        <v/>
      </c>
      <c r="X376" s="44" t="str">
        <f aca="false">IF(E376="","",IF(COUNTA(Q376:V376)=0,"Not scored",IF(COUNTA(Q376:V376)&lt;6,"Partly scored ("&amp;COUNTA(Q376:V376)&amp;"/6)",IF(W376&gt;=Settings!$S$8,"Hot",IF(W376&gt;=Settings!$S$9,"Warm","Cold")))))</f>
        <v/>
      </c>
      <c r="Y376" s="44" t="str">
        <f aca="false">IF(E376="","",IF(AND(Q376="No",S376="No"),"🚩 Budget  ·  🚩 No one on camera",IF(Q376="No","🚩 Budget under AED 5k",IF(S376="No","🚩 No one on camera",""))))</f>
        <v/>
      </c>
      <c r="Z376" s="17"/>
      <c r="AA376" s="17"/>
      <c r="AB376" s="40"/>
      <c r="AC376" s="17"/>
      <c r="AD376" s="45" t="str">
        <f aca="false">IF(OR(E376="",AB376="",OR(AA376="Contract signed + paid",AA376="Closed – No response",AA376="Lost"),N(AC376)&gt;=Settings!$S$3),"",AB376+Settings!$S$2)</f>
        <v/>
      </c>
      <c r="AE376" s="40"/>
      <c r="AF376" s="41"/>
      <c r="AG376" s="17"/>
      <c r="AH376" s="17"/>
      <c r="AI376" s="17"/>
      <c r="AJ376" s="46" t="str">
        <f aca="true">IF(OR(E376="",B376=""),"",INT(TODAY()-B376))</f>
        <v/>
      </c>
      <c r="AK376" s="44" t="str">
        <f aca="true">IF(E376="","",IF(OR(COUNTIFS(Clients!$C$2:$C$501,E376,Clients!$S$2:$S$501,"Paid")&gt;0,AND(I376&lt;&gt;"",COUNTIFS(Clients!$E$2:$E$501,I376,Clients!$S$2:$S$501,"Paid")&gt;0)),"⚠ Refunded before – no free video",IF(OR(AA376="Contract signed + paid",AA376="Closed – No response",AA376="Lost"),"",IF(AA376="","Set a stage",IF(AND(AA376="Proposal sent",COUNTA(Q376:V376)&lt;6),"Score this lead – proposal sent unscored",IF(N(AC376)&gt;=Settings!$S$3,"Close – 4 follow-ups sent",IF(AD376="",IF(AB376="","Make first contact",""),IF(TODAY()&gt;AD376,"OVERDUE follow-up",IF(TODAY()=AD376,"Follow up today","")))))))))</f>
        <v/>
      </c>
    </row>
    <row r="377" customFormat="false" ht="15" hidden="false" customHeight="false" outlineLevel="0" collapsed="false">
      <c r="A377" s="17"/>
      <c r="B377" s="40"/>
      <c r="C377" s="41"/>
      <c r="D377" s="17"/>
      <c r="E377" s="17"/>
      <c r="F377" s="17"/>
      <c r="G377" s="17"/>
      <c r="H377" s="17"/>
      <c r="I377" s="42"/>
      <c r="J377" s="17"/>
      <c r="K377" s="17"/>
      <c r="L377" s="17"/>
      <c r="M377" s="17"/>
      <c r="N377" s="40"/>
      <c r="O377" s="41"/>
      <c r="P377" s="43" t="str">
        <f aca="false">IF(OR(B377="",N377=""),"",ROUND(((N377+N(O377))-(B377+N(C377)))*24,1))</f>
        <v/>
      </c>
      <c r="Q377" s="17"/>
      <c r="R377" s="17"/>
      <c r="S377" s="17"/>
      <c r="T377" s="17"/>
      <c r="U377" s="17"/>
      <c r="V377" s="17"/>
      <c r="W377" s="44" t="str">
        <f aca="false">IF(OR(E377="",COUNTA(Q377:V377)=0),"",SUMIFS(Settings!$AA$2:$AA$21,Settings!$Y$2:$Y$21,"Budget AED 5k+/mo?",Settings!$Z$2:$Z$21,Q377)+SUMIFS(Settings!$AA$2:$AA$21,Settings!$Y$2:$Y$21,"Decision-maker?",Settings!$Z$2:$Z$21,R377)+SUMIFS(Settings!$AA$2:$AA$21,Settings!$Y$2:$Y$21,"Someone on camera?",Settings!$Z$2:$Z$21,S377)+SUMIFS(Settings!$AA$2:$AA$21,Settings!$Y$2:$Y$21,"OK with 3-month term?",Settings!$Z$2:$Z$21,T377)+SUMIFS(Settings!$AA$2:$AA$21,Settings!$Y$2:$Y$21,"Start timeline",Settings!$Z$2:$Z$21,U377)+SUMIFS(Settings!$AA$2:$AA$21,Settings!$Y$2:$Y$21,"Social media gap",Settings!$Z$2:$Z$21,V377)+IF(F377="",0,IF(COUNTIF(Settings!$AC$2:$AC$6,F377)&gt;0,Settings!$AA$20,Settings!$AA$21)))</f>
        <v/>
      </c>
      <c r="X377" s="44" t="str">
        <f aca="false">IF(E377="","",IF(COUNTA(Q377:V377)=0,"Not scored",IF(COUNTA(Q377:V377)&lt;6,"Partly scored ("&amp;COUNTA(Q377:V377)&amp;"/6)",IF(W377&gt;=Settings!$S$8,"Hot",IF(W377&gt;=Settings!$S$9,"Warm","Cold")))))</f>
        <v/>
      </c>
      <c r="Y377" s="44" t="str">
        <f aca="false">IF(E377="","",IF(AND(Q377="No",S377="No"),"🚩 Budget  ·  🚩 No one on camera",IF(Q377="No","🚩 Budget under AED 5k",IF(S377="No","🚩 No one on camera",""))))</f>
        <v/>
      </c>
      <c r="Z377" s="17"/>
      <c r="AA377" s="17"/>
      <c r="AB377" s="40"/>
      <c r="AC377" s="17"/>
      <c r="AD377" s="45" t="str">
        <f aca="false">IF(OR(E377="",AB377="",OR(AA377="Contract signed + paid",AA377="Closed – No response",AA377="Lost"),N(AC377)&gt;=Settings!$S$3),"",AB377+Settings!$S$2)</f>
        <v/>
      </c>
      <c r="AE377" s="40"/>
      <c r="AF377" s="41"/>
      <c r="AG377" s="17"/>
      <c r="AH377" s="17"/>
      <c r="AI377" s="17"/>
      <c r="AJ377" s="46" t="str">
        <f aca="true">IF(OR(E377="",B377=""),"",INT(TODAY()-B377))</f>
        <v/>
      </c>
      <c r="AK377" s="44" t="str">
        <f aca="true">IF(E377="","",IF(OR(COUNTIFS(Clients!$C$2:$C$501,E377,Clients!$S$2:$S$501,"Paid")&gt;0,AND(I377&lt;&gt;"",COUNTIFS(Clients!$E$2:$E$501,I377,Clients!$S$2:$S$501,"Paid")&gt;0)),"⚠ Refunded before – no free video",IF(OR(AA377="Contract signed + paid",AA377="Closed – No response",AA377="Lost"),"",IF(AA377="","Set a stage",IF(AND(AA377="Proposal sent",COUNTA(Q377:V377)&lt;6),"Score this lead – proposal sent unscored",IF(N(AC377)&gt;=Settings!$S$3,"Close – 4 follow-ups sent",IF(AD377="",IF(AB377="","Make first contact",""),IF(TODAY()&gt;AD377,"OVERDUE follow-up",IF(TODAY()=AD377,"Follow up today","")))))))))</f>
        <v/>
      </c>
    </row>
    <row r="378" customFormat="false" ht="15" hidden="false" customHeight="false" outlineLevel="0" collapsed="false">
      <c r="A378" s="17"/>
      <c r="B378" s="40"/>
      <c r="C378" s="41"/>
      <c r="D378" s="17"/>
      <c r="E378" s="17"/>
      <c r="F378" s="17"/>
      <c r="G378" s="17"/>
      <c r="H378" s="17"/>
      <c r="I378" s="42"/>
      <c r="J378" s="17"/>
      <c r="K378" s="17"/>
      <c r="L378" s="17"/>
      <c r="M378" s="17"/>
      <c r="N378" s="40"/>
      <c r="O378" s="41"/>
      <c r="P378" s="43" t="str">
        <f aca="false">IF(OR(B378="",N378=""),"",ROUND(((N378+N(O378))-(B378+N(C378)))*24,1))</f>
        <v/>
      </c>
      <c r="Q378" s="17"/>
      <c r="R378" s="17"/>
      <c r="S378" s="17"/>
      <c r="T378" s="17"/>
      <c r="U378" s="17"/>
      <c r="V378" s="17"/>
      <c r="W378" s="44" t="str">
        <f aca="false">IF(OR(E378="",COUNTA(Q378:V378)=0),"",SUMIFS(Settings!$AA$2:$AA$21,Settings!$Y$2:$Y$21,"Budget AED 5k+/mo?",Settings!$Z$2:$Z$21,Q378)+SUMIFS(Settings!$AA$2:$AA$21,Settings!$Y$2:$Y$21,"Decision-maker?",Settings!$Z$2:$Z$21,R378)+SUMIFS(Settings!$AA$2:$AA$21,Settings!$Y$2:$Y$21,"Someone on camera?",Settings!$Z$2:$Z$21,S378)+SUMIFS(Settings!$AA$2:$AA$21,Settings!$Y$2:$Y$21,"OK with 3-month term?",Settings!$Z$2:$Z$21,T378)+SUMIFS(Settings!$AA$2:$AA$21,Settings!$Y$2:$Y$21,"Start timeline",Settings!$Z$2:$Z$21,U378)+SUMIFS(Settings!$AA$2:$AA$21,Settings!$Y$2:$Y$21,"Social media gap",Settings!$Z$2:$Z$21,V378)+IF(F378="",0,IF(COUNTIF(Settings!$AC$2:$AC$6,F378)&gt;0,Settings!$AA$20,Settings!$AA$21)))</f>
        <v/>
      </c>
      <c r="X378" s="44" t="str">
        <f aca="false">IF(E378="","",IF(COUNTA(Q378:V378)=0,"Not scored",IF(COUNTA(Q378:V378)&lt;6,"Partly scored ("&amp;COUNTA(Q378:V378)&amp;"/6)",IF(W378&gt;=Settings!$S$8,"Hot",IF(W378&gt;=Settings!$S$9,"Warm","Cold")))))</f>
        <v/>
      </c>
      <c r="Y378" s="44" t="str">
        <f aca="false">IF(E378="","",IF(AND(Q378="No",S378="No"),"🚩 Budget  ·  🚩 No one on camera",IF(Q378="No","🚩 Budget under AED 5k",IF(S378="No","🚩 No one on camera",""))))</f>
        <v/>
      </c>
      <c r="Z378" s="17"/>
      <c r="AA378" s="17"/>
      <c r="AB378" s="40"/>
      <c r="AC378" s="17"/>
      <c r="AD378" s="45" t="str">
        <f aca="false">IF(OR(E378="",AB378="",OR(AA378="Contract signed + paid",AA378="Closed – No response",AA378="Lost"),N(AC378)&gt;=Settings!$S$3),"",AB378+Settings!$S$2)</f>
        <v/>
      </c>
      <c r="AE378" s="40"/>
      <c r="AF378" s="41"/>
      <c r="AG378" s="17"/>
      <c r="AH378" s="17"/>
      <c r="AI378" s="17"/>
      <c r="AJ378" s="46" t="str">
        <f aca="true">IF(OR(E378="",B378=""),"",INT(TODAY()-B378))</f>
        <v/>
      </c>
      <c r="AK378" s="44" t="str">
        <f aca="true">IF(E378="","",IF(OR(COUNTIFS(Clients!$C$2:$C$501,E378,Clients!$S$2:$S$501,"Paid")&gt;0,AND(I378&lt;&gt;"",COUNTIFS(Clients!$E$2:$E$501,I378,Clients!$S$2:$S$501,"Paid")&gt;0)),"⚠ Refunded before – no free video",IF(OR(AA378="Contract signed + paid",AA378="Closed – No response",AA378="Lost"),"",IF(AA378="","Set a stage",IF(AND(AA378="Proposal sent",COUNTA(Q378:V378)&lt;6),"Score this lead – proposal sent unscored",IF(N(AC378)&gt;=Settings!$S$3,"Close – 4 follow-ups sent",IF(AD378="",IF(AB378="","Make first contact",""),IF(TODAY()&gt;AD378,"OVERDUE follow-up",IF(TODAY()=AD378,"Follow up today","")))))))))</f>
        <v/>
      </c>
    </row>
    <row r="379" customFormat="false" ht="15" hidden="false" customHeight="false" outlineLevel="0" collapsed="false">
      <c r="A379" s="17"/>
      <c r="B379" s="40"/>
      <c r="C379" s="41"/>
      <c r="D379" s="17"/>
      <c r="E379" s="17"/>
      <c r="F379" s="17"/>
      <c r="G379" s="17"/>
      <c r="H379" s="17"/>
      <c r="I379" s="42"/>
      <c r="J379" s="17"/>
      <c r="K379" s="17"/>
      <c r="L379" s="17"/>
      <c r="M379" s="17"/>
      <c r="N379" s="40"/>
      <c r="O379" s="41"/>
      <c r="P379" s="43" t="str">
        <f aca="false">IF(OR(B379="",N379=""),"",ROUND(((N379+N(O379))-(B379+N(C379)))*24,1))</f>
        <v/>
      </c>
      <c r="Q379" s="17"/>
      <c r="R379" s="17"/>
      <c r="S379" s="17"/>
      <c r="T379" s="17"/>
      <c r="U379" s="17"/>
      <c r="V379" s="17"/>
      <c r="W379" s="44" t="str">
        <f aca="false">IF(OR(E379="",COUNTA(Q379:V379)=0),"",SUMIFS(Settings!$AA$2:$AA$21,Settings!$Y$2:$Y$21,"Budget AED 5k+/mo?",Settings!$Z$2:$Z$21,Q379)+SUMIFS(Settings!$AA$2:$AA$21,Settings!$Y$2:$Y$21,"Decision-maker?",Settings!$Z$2:$Z$21,R379)+SUMIFS(Settings!$AA$2:$AA$21,Settings!$Y$2:$Y$21,"Someone on camera?",Settings!$Z$2:$Z$21,S379)+SUMIFS(Settings!$AA$2:$AA$21,Settings!$Y$2:$Y$21,"OK with 3-month term?",Settings!$Z$2:$Z$21,T379)+SUMIFS(Settings!$AA$2:$AA$21,Settings!$Y$2:$Y$21,"Start timeline",Settings!$Z$2:$Z$21,U379)+SUMIFS(Settings!$AA$2:$AA$21,Settings!$Y$2:$Y$21,"Social media gap",Settings!$Z$2:$Z$21,V379)+IF(F379="",0,IF(COUNTIF(Settings!$AC$2:$AC$6,F379)&gt;0,Settings!$AA$20,Settings!$AA$21)))</f>
        <v/>
      </c>
      <c r="X379" s="44" t="str">
        <f aca="false">IF(E379="","",IF(COUNTA(Q379:V379)=0,"Not scored",IF(COUNTA(Q379:V379)&lt;6,"Partly scored ("&amp;COUNTA(Q379:V379)&amp;"/6)",IF(W379&gt;=Settings!$S$8,"Hot",IF(W379&gt;=Settings!$S$9,"Warm","Cold")))))</f>
        <v/>
      </c>
      <c r="Y379" s="44" t="str">
        <f aca="false">IF(E379="","",IF(AND(Q379="No",S379="No"),"🚩 Budget  ·  🚩 No one on camera",IF(Q379="No","🚩 Budget under AED 5k",IF(S379="No","🚩 No one on camera",""))))</f>
        <v/>
      </c>
      <c r="Z379" s="17"/>
      <c r="AA379" s="17"/>
      <c r="AB379" s="40"/>
      <c r="AC379" s="17"/>
      <c r="AD379" s="45" t="str">
        <f aca="false">IF(OR(E379="",AB379="",OR(AA379="Contract signed + paid",AA379="Closed – No response",AA379="Lost"),N(AC379)&gt;=Settings!$S$3),"",AB379+Settings!$S$2)</f>
        <v/>
      </c>
      <c r="AE379" s="40"/>
      <c r="AF379" s="41"/>
      <c r="AG379" s="17"/>
      <c r="AH379" s="17"/>
      <c r="AI379" s="17"/>
      <c r="AJ379" s="46" t="str">
        <f aca="true">IF(OR(E379="",B379=""),"",INT(TODAY()-B379))</f>
        <v/>
      </c>
      <c r="AK379" s="44" t="str">
        <f aca="true">IF(E379="","",IF(OR(COUNTIFS(Clients!$C$2:$C$501,E379,Clients!$S$2:$S$501,"Paid")&gt;0,AND(I379&lt;&gt;"",COUNTIFS(Clients!$E$2:$E$501,I379,Clients!$S$2:$S$501,"Paid")&gt;0)),"⚠ Refunded before – no free video",IF(OR(AA379="Contract signed + paid",AA379="Closed – No response",AA379="Lost"),"",IF(AA379="","Set a stage",IF(AND(AA379="Proposal sent",COUNTA(Q379:V379)&lt;6),"Score this lead – proposal sent unscored",IF(N(AC379)&gt;=Settings!$S$3,"Close – 4 follow-ups sent",IF(AD379="",IF(AB379="","Make first contact",""),IF(TODAY()&gt;AD379,"OVERDUE follow-up",IF(TODAY()=AD379,"Follow up today","")))))))))</f>
        <v/>
      </c>
    </row>
    <row r="380" customFormat="false" ht="15" hidden="false" customHeight="false" outlineLevel="0" collapsed="false">
      <c r="A380" s="17"/>
      <c r="B380" s="40"/>
      <c r="C380" s="41"/>
      <c r="D380" s="17"/>
      <c r="E380" s="17"/>
      <c r="F380" s="17"/>
      <c r="G380" s="17"/>
      <c r="H380" s="17"/>
      <c r="I380" s="42"/>
      <c r="J380" s="17"/>
      <c r="K380" s="17"/>
      <c r="L380" s="17"/>
      <c r="M380" s="17"/>
      <c r="N380" s="40"/>
      <c r="O380" s="41"/>
      <c r="P380" s="43" t="str">
        <f aca="false">IF(OR(B380="",N380=""),"",ROUND(((N380+N(O380))-(B380+N(C380)))*24,1))</f>
        <v/>
      </c>
      <c r="Q380" s="17"/>
      <c r="R380" s="17"/>
      <c r="S380" s="17"/>
      <c r="T380" s="17"/>
      <c r="U380" s="17"/>
      <c r="V380" s="17"/>
      <c r="W380" s="44" t="str">
        <f aca="false">IF(OR(E380="",COUNTA(Q380:V380)=0),"",SUMIFS(Settings!$AA$2:$AA$21,Settings!$Y$2:$Y$21,"Budget AED 5k+/mo?",Settings!$Z$2:$Z$21,Q380)+SUMIFS(Settings!$AA$2:$AA$21,Settings!$Y$2:$Y$21,"Decision-maker?",Settings!$Z$2:$Z$21,R380)+SUMIFS(Settings!$AA$2:$AA$21,Settings!$Y$2:$Y$21,"Someone on camera?",Settings!$Z$2:$Z$21,S380)+SUMIFS(Settings!$AA$2:$AA$21,Settings!$Y$2:$Y$21,"OK with 3-month term?",Settings!$Z$2:$Z$21,T380)+SUMIFS(Settings!$AA$2:$AA$21,Settings!$Y$2:$Y$21,"Start timeline",Settings!$Z$2:$Z$21,U380)+SUMIFS(Settings!$AA$2:$AA$21,Settings!$Y$2:$Y$21,"Social media gap",Settings!$Z$2:$Z$21,V380)+IF(F380="",0,IF(COUNTIF(Settings!$AC$2:$AC$6,F380)&gt;0,Settings!$AA$20,Settings!$AA$21)))</f>
        <v/>
      </c>
      <c r="X380" s="44" t="str">
        <f aca="false">IF(E380="","",IF(COUNTA(Q380:V380)=0,"Not scored",IF(COUNTA(Q380:V380)&lt;6,"Partly scored ("&amp;COUNTA(Q380:V380)&amp;"/6)",IF(W380&gt;=Settings!$S$8,"Hot",IF(W380&gt;=Settings!$S$9,"Warm","Cold")))))</f>
        <v/>
      </c>
      <c r="Y380" s="44" t="str">
        <f aca="false">IF(E380="","",IF(AND(Q380="No",S380="No"),"🚩 Budget  ·  🚩 No one on camera",IF(Q380="No","🚩 Budget under AED 5k",IF(S380="No","🚩 No one on camera",""))))</f>
        <v/>
      </c>
      <c r="Z380" s="17"/>
      <c r="AA380" s="17"/>
      <c r="AB380" s="40"/>
      <c r="AC380" s="17"/>
      <c r="AD380" s="45" t="str">
        <f aca="false">IF(OR(E380="",AB380="",OR(AA380="Contract signed + paid",AA380="Closed – No response",AA380="Lost"),N(AC380)&gt;=Settings!$S$3),"",AB380+Settings!$S$2)</f>
        <v/>
      </c>
      <c r="AE380" s="40"/>
      <c r="AF380" s="41"/>
      <c r="AG380" s="17"/>
      <c r="AH380" s="17"/>
      <c r="AI380" s="17"/>
      <c r="AJ380" s="46" t="str">
        <f aca="true">IF(OR(E380="",B380=""),"",INT(TODAY()-B380))</f>
        <v/>
      </c>
      <c r="AK380" s="44" t="str">
        <f aca="true">IF(E380="","",IF(OR(COUNTIFS(Clients!$C$2:$C$501,E380,Clients!$S$2:$S$501,"Paid")&gt;0,AND(I380&lt;&gt;"",COUNTIFS(Clients!$E$2:$E$501,I380,Clients!$S$2:$S$501,"Paid")&gt;0)),"⚠ Refunded before – no free video",IF(OR(AA380="Contract signed + paid",AA380="Closed – No response",AA380="Lost"),"",IF(AA380="","Set a stage",IF(AND(AA380="Proposal sent",COUNTA(Q380:V380)&lt;6),"Score this lead – proposal sent unscored",IF(N(AC380)&gt;=Settings!$S$3,"Close – 4 follow-ups sent",IF(AD380="",IF(AB380="","Make first contact",""),IF(TODAY()&gt;AD380,"OVERDUE follow-up",IF(TODAY()=AD380,"Follow up today","")))))))))</f>
        <v/>
      </c>
    </row>
    <row r="381" customFormat="false" ht="15" hidden="false" customHeight="false" outlineLevel="0" collapsed="false">
      <c r="A381" s="17"/>
      <c r="B381" s="40"/>
      <c r="C381" s="41"/>
      <c r="D381" s="17"/>
      <c r="E381" s="17"/>
      <c r="F381" s="17"/>
      <c r="G381" s="17"/>
      <c r="H381" s="17"/>
      <c r="I381" s="42"/>
      <c r="J381" s="17"/>
      <c r="K381" s="17"/>
      <c r="L381" s="17"/>
      <c r="M381" s="17"/>
      <c r="N381" s="40"/>
      <c r="O381" s="41"/>
      <c r="P381" s="43" t="str">
        <f aca="false">IF(OR(B381="",N381=""),"",ROUND(((N381+N(O381))-(B381+N(C381)))*24,1))</f>
        <v/>
      </c>
      <c r="Q381" s="17"/>
      <c r="R381" s="17"/>
      <c r="S381" s="17"/>
      <c r="T381" s="17"/>
      <c r="U381" s="17"/>
      <c r="V381" s="17"/>
      <c r="W381" s="44" t="str">
        <f aca="false">IF(OR(E381="",COUNTA(Q381:V381)=0),"",SUMIFS(Settings!$AA$2:$AA$21,Settings!$Y$2:$Y$21,"Budget AED 5k+/mo?",Settings!$Z$2:$Z$21,Q381)+SUMIFS(Settings!$AA$2:$AA$21,Settings!$Y$2:$Y$21,"Decision-maker?",Settings!$Z$2:$Z$21,R381)+SUMIFS(Settings!$AA$2:$AA$21,Settings!$Y$2:$Y$21,"Someone on camera?",Settings!$Z$2:$Z$21,S381)+SUMIFS(Settings!$AA$2:$AA$21,Settings!$Y$2:$Y$21,"OK with 3-month term?",Settings!$Z$2:$Z$21,T381)+SUMIFS(Settings!$AA$2:$AA$21,Settings!$Y$2:$Y$21,"Start timeline",Settings!$Z$2:$Z$21,U381)+SUMIFS(Settings!$AA$2:$AA$21,Settings!$Y$2:$Y$21,"Social media gap",Settings!$Z$2:$Z$21,V381)+IF(F381="",0,IF(COUNTIF(Settings!$AC$2:$AC$6,F381)&gt;0,Settings!$AA$20,Settings!$AA$21)))</f>
        <v/>
      </c>
      <c r="X381" s="44" t="str">
        <f aca="false">IF(E381="","",IF(COUNTA(Q381:V381)=0,"Not scored",IF(COUNTA(Q381:V381)&lt;6,"Partly scored ("&amp;COUNTA(Q381:V381)&amp;"/6)",IF(W381&gt;=Settings!$S$8,"Hot",IF(W381&gt;=Settings!$S$9,"Warm","Cold")))))</f>
        <v/>
      </c>
      <c r="Y381" s="44" t="str">
        <f aca="false">IF(E381="","",IF(AND(Q381="No",S381="No"),"🚩 Budget  ·  🚩 No one on camera",IF(Q381="No","🚩 Budget under AED 5k",IF(S381="No","🚩 No one on camera",""))))</f>
        <v/>
      </c>
      <c r="Z381" s="17"/>
      <c r="AA381" s="17"/>
      <c r="AB381" s="40"/>
      <c r="AC381" s="17"/>
      <c r="AD381" s="45" t="str">
        <f aca="false">IF(OR(E381="",AB381="",OR(AA381="Contract signed + paid",AA381="Closed – No response",AA381="Lost"),N(AC381)&gt;=Settings!$S$3),"",AB381+Settings!$S$2)</f>
        <v/>
      </c>
      <c r="AE381" s="40"/>
      <c r="AF381" s="41"/>
      <c r="AG381" s="17"/>
      <c r="AH381" s="17"/>
      <c r="AI381" s="17"/>
      <c r="AJ381" s="46" t="str">
        <f aca="true">IF(OR(E381="",B381=""),"",INT(TODAY()-B381))</f>
        <v/>
      </c>
      <c r="AK381" s="44" t="str">
        <f aca="true">IF(E381="","",IF(OR(COUNTIFS(Clients!$C$2:$C$501,E381,Clients!$S$2:$S$501,"Paid")&gt;0,AND(I381&lt;&gt;"",COUNTIFS(Clients!$E$2:$E$501,I381,Clients!$S$2:$S$501,"Paid")&gt;0)),"⚠ Refunded before – no free video",IF(OR(AA381="Contract signed + paid",AA381="Closed – No response",AA381="Lost"),"",IF(AA381="","Set a stage",IF(AND(AA381="Proposal sent",COUNTA(Q381:V381)&lt;6),"Score this lead – proposal sent unscored",IF(N(AC381)&gt;=Settings!$S$3,"Close – 4 follow-ups sent",IF(AD381="",IF(AB381="","Make first contact",""),IF(TODAY()&gt;AD381,"OVERDUE follow-up",IF(TODAY()=AD381,"Follow up today","")))))))))</f>
        <v/>
      </c>
    </row>
    <row r="382" customFormat="false" ht="15" hidden="false" customHeight="false" outlineLevel="0" collapsed="false">
      <c r="A382" s="17"/>
      <c r="B382" s="40"/>
      <c r="C382" s="41"/>
      <c r="D382" s="17"/>
      <c r="E382" s="17"/>
      <c r="F382" s="17"/>
      <c r="G382" s="17"/>
      <c r="H382" s="17"/>
      <c r="I382" s="42"/>
      <c r="J382" s="17"/>
      <c r="K382" s="17"/>
      <c r="L382" s="17"/>
      <c r="M382" s="17"/>
      <c r="N382" s="40"/>
      <c r="O382" s="41"/>
      <c r="P382" s="43" t="str">
        <f aca="false">IF(OR(B382="",N382=""),"",ROUND(((N382+N(O382))-(B382+N(C382)))*24,1))</f>
        <v/>
      </c>
      <c r="Q382" s="17"/>
      <c r="R382" s="17"/>
      <c r="S382" s="17"/>
      <c r="T382" s="17"/>
      <c r="U382" s="17"/>
      <c r="V382" s="17"/>
      <c r="W382" s="44" t="str">
        <f aca="false">IF(OR(E382="",COUNTA(Q382:V382)=0),"",SUMIFS(Settings!$AA$2:$AA$21,Settings!$Y$2:$Y$21,"Budget AED 5k+/mo?",Settings!$Z$2:$Z$21,Q382)+SUMIFS(Settings!$AA$2:$AA$21,Settings!$Y$2:$Y$21,"Decision-maker?",Settings!$Z$2:$Z$21,R382)+SUMIFS(Settings!$AA$2:$AA$21,Settings!$Y$2:$Y$21,"Someone on camera?",Settings!$Z$2:$Z$21,S382)+SUMIFS(Settings!$AA$2:$AA$21,Settings!$Y$2:$Y$21,"OK with 3-month term?",Settings!$Z$2:$Z$21,T382)+SUMIFS(Settings!$AA$2:$AA$21,Settings!$Y$2:$Y$21,"Start timeline",Settings!$Z$2:$Z$21,U382)+SUMIFS(Settings!$AA$2:$AA$21,Settings!$Y$2:$Y$21,"Social media gap",Settings!$Z$2:$Z$21,V382)+IF(F382="",0,IF(COUNTIF(Settings!$AC$2:$AC$6,F382)&gt;0,Settings!$AA$20,Settings!$AA$21)))</f>
        <v/>
      </c>
      <c r="X382" s="44" t="str">
        <f aca="false">IF(E382="","",IF(COUNTA(Q382:V382)=0,"Not scored",IF(COUNTA(Q382:V382)&lt;6,"Partly scored ("&amp;COUNTA(Q382:V382)&amp;"/6)",IF(W382&gt;=Settings!$S$8,"Hot",IF(W382&gt;=Settings!$S$9,"Warm","Cold")))))</f>
        <v/>
      </c>
      <c r="Y382" s="44" t="str">
        <f aca="false">IF(E382="","",IF(AND(Q382="No",S382="No"),"🚩 Budget  ·  🚩 No one on camera",IF(Q382="No","🚩 Budget under AED 5k",IF(S382="No","🚩 No one on camera",""))))</f>
        <v/>
      </c>
      <c r="Z382" s="17"/>
      <c r="AA382" s="17"/>
      <c r="AB382" s="40"/>
      <c r="AC382" s="17"/>
      <c r="AD382" s="45" t="str">
        <f aca="false">IF(OR(E382="",AB382="",OR(AA382="Contract signed + paid",AA382="Closed – No response",AA382="Lost"),N(AC382)&gt;=Settings!$S$3),"",AB382+Settings!$S$2)</f>
        <v/>
      </c>
      <c r="AE382" s="40"/>
      <c r="AF382" s="41"/>
      <c r="AG382" s="17"/>
      <c r="AH382" s="17"/>
      <c r="AI382" s="17"/>
      <c r="AJ382" s="46" t="str">
        <f aca="true">IF(OR(E382="",B382=""),"",INT(TODAY()-B382))</f>
        <v/>
      </c>
      <c r="AK382" s="44" t="str">
        <f aca="true">IF(E382="","",IF(OR(COUNTIFS(Clients!$C$2:$C$501,E382,Clients!$S$2:$S$501,"Paid")&gt;0,AND(I382&lt;&gt;"",COUNTIFS(Clients!$E$2:$E$501,I382,Clients!$S$2:$S$501,"Paid")&gt;0)),"⚠ Refunded before – no free video",IF(OR(AA382="Contract signed + paid",AA382="Closed – No response",AA382="Lost"),"",IF(AA382="","Set a stage",IF(AND(AA382="Proposal sent",COUNTA(Q382:V382)&lt;6),"Score this lead – proposal sent unscored",IF(N(AC382)&gt;=Settings!$S$3,"Close – 4 follow-ups sent",IF(AD382="",IF(AB382="","Make first contact",""),IF(TODAY()&gt;AD382,"OVERDUE follow-up",IF(TODAY()=AD382,"Follow up today","")))))))))</f>
        <v/>
      </c>
    </row>
    <row r="383" customFormat="false" ht="15" hidden="false" customHeight="false" outlineLevel="0" collapsed="false">
      <c r="A383" s="17"/>
      <c r="B383" s="40"/>
      <c r="C383" s="41"/>
      <c r="D383" s="17"/>
      <c r="E383" s="17"/>
      <c r="F383" s="17"/>
      <c r="G383" s="17"/>
      <c r="H383" s="17"/>
      <c r="I383" s="42"/>
      <c r="J383" s="17"/>
      <c r="K383" s="17"/>
      <c r="L383" s="17"/>
      <c r="M383" s="17"/>
      <c r="N383" s="40"/>
      <c r="O383" s="41"/>
      <c r="P383" s="43" t="str">
        <f aca="false">IF(OR(B383="",N383=""),"",ROUND(((N383+N(O383))-(B383+N(C383)))*24,1))</f>
        <v/>
      </c>
      <c r="Q383" s="17"/>
      <c r="R383" s="17"/>
      <c r="S383" s="17"/>
      <c r="T383" s="17"/>
      <c r="U383" s="17"/>
      <c r="V383" s="17"/>
      <c r="W383" s="44" t="str">
        <f aca="false">IF(OR(E383="",COUNTA(Q383:V383)=0),"",SUMIFS(Settings!$AA$2:$AA$21,Settings!$Y$2:$Y$21,"Budget AED 5k+/mo?",Settings!$Z$2:$Z$21,Q383)+SUMIFS(Settings!$AA$2:$AA$21,Settings!$Y$2:$Y$21,"Decision-maker?",Settings!$Z$2:$Z$21,R383)+SUMIFS(Settings!$AA$2:$AA$21,Settings!$Y$2:$Y$21,"Someone on camera?",Settings!$Z$2:$Z$21,S383)+SUMIFS(Settings!$AA$2:$AA$21,Settings!$Y$2:$Y$21,"OK with 3-month term?",Settings!$Z$2:$Z$21,T383)+SUMIFS(Settings!$AA$2:$AA$21,Settings!$Y$2:$Y$21,"Start timeline",Settings!$Z$2:$Z$21,U383)+SUMIFS(Settings!$AA$2:$AA$21,Settings!$Y$2:$Y$21,"Social media gap",Settings!$Z$2:$Z$21,V383)+IF(F383="",0,IF(COUNTIF(Settings!$AC$2:$AC$6,F383)&gt;0,Settings!$AA$20,Settings!$AA$21)))</f>
        <v/>
      </c>
      <c r="X383" s="44" t="str">
        <f aca="false">IF(E383="","",IF(COUNTA(Q383:V383)=0,"Not scored",IF(COUNTA(Q383:V383)&lt;6,"Partly scored ("&amp;COUNTA(Q383:V383)&amp;"/6)",IF(W383&gt;=Settings!$S$8,"Hot",IF(W383&gt;=Settings!$S$9,"Warm","Cold")))))</f>
        <v/>
      </c>
      <c r="Y383" s="44" t="str">
        <f aca="false">IF(E383="","",IF(AND(Q383="No",S383="No"),"🚩 Budget  ·  🚩 No one on camera",IF(Q383="No","🚩 Budget under AED 5k",IF(S383="No","🚩 No one on camera",""))))</f>
        <v/>
      </c>
      <c r="Z383" s="17"/>
      <c r="AA383" s="17"/>
      <c r="AB383" s="40"/>
      <c r="AC383" s="17"/>
      <c r="AD383" s="45" t="str">
        <f aca="false">IF(OR(E383="",AB383="",OR(AA383="Contract signed + paid",AA383="Closed – No response",AA383="Lost"),N(AC383)&gt;=Settings!$S$3),"",AB383+Settings!$S$2)</f>
        <v/>
      </c>
      <c r="AE383" s="40"/>
      <c r="AF383" s="41"/>
      <c r="AG383" s="17"/>
      <c r="AH383" s="17"/>
      <c r="AI383" s="17"/>
      <c r="AJ383" s="46" t="str">
        <f aca="true">IF(OR(E383="",B383=""),"",INT(TODAY()-B383))</f>
        <v/>
      </c>
      <c r="AK383" s="44" t="str">
        <f aca="true">IF(E383="","",IF(OR(COUNTIFS(Clients!$C$2:$C$501,E383,Clients!$S$2:$S$501,"Paid")&gt;0,AND(I383&lt;&gt;"",COUNTIFS(Clients!$E$2:$E$501,I383,Clients!$S$2:$S$501,"Paid")&gt;0)),"⚠ Refunded before – no free video",IF(OR(AA383="Contract signed + paid",AA383="Closed – No response",AA383="Lost"),"",IF(AA383="","Set a stage",IF(AND(AA383="Proposal sent",COUNTA(Q383:V383)&lt;6),"Score this lead – proposal sent unscored",IF(N(AC383)&gt;=Settings!$S$3,"Close – 4 follow-ups sent",IF(AD383="",IF(AB383="","Make first contact",""),IF(TODAY()&gt;AD383,"OVERDUE follow-up",IF(TODAY()=AD383,"Follow up today","")))))))))</f>
        <v/>
      </c>
    </row>
    <row r="384" customFormat="false" ht="15" hidden="false" customHeight="false" outlineLevel="0" collapsed="false">
      <c r="A384" s="17"/>
      <c r="B384" s="40"/>
      <c r="C384" s="41"/>
      <c r="D384" s="17"/>
      <c r="E384" s="17"/>
      <c r="F384" s="17"/>
      <c r="G384" s="17"/>
      <c r="H384" s="17"/>
      <c r="I384" s="42"/>
      <c r="J384" s="17"/>
      <c r="K384" s="17"/>
      <c r="L384" s="17"/>
      <c r="M384" s="17"/>
      <c r="N384" s="40"/>
      <c r="O384" s="41"/>
      <c r="P384" s="43" t="str">
        <f aca="false">IF(OR(B384="",N384=""),"",ROUND(((N384+N(O384))-(B384+N(C384)))*24,1))</f>
        <v/>
      </c>
      <c r="Q384" s="17"/>
      <c r="R384" s="17"/>
      <c r="S384" s="17"/>
      <c r="T384" s="17"/>
      <c r="U384" s="17"/>
      <c r="V384" s="17"/>
      <c r="W384" s="44" t="str">
        <f aca="false">IF(OR(E384="",COUNTA(Q384:V384)=0),"",SUMIFS(Settings!$AA$2:$AA$21,Settings!$Y$2:$Y$21,"Budget AED 5k+/mo?",Settings!$Z$2:$Z$21,Q384)+SUMIFS(Settings!$AA$2:$AA$21,Settings!$Y$2:$Y$21,"Decision-maker?",Settings!$Z$2:$Z$21,R384)+SUMIFS(Settings!$AA$2:$AA$21,Settings!$Y$2:$Y$21,"Someone on camera?",Settings!$Z$2:$Z$21,S384)+SUMIFS(Settings!$AA$2:$AA$21,Settings!$Y$2:$Y$21,"OK with 3-month term?",Settings!$Z$2:$Z$21,T384)+SUMIFS(Settings!$AA$2:$AA$21,Settings!$Y$2:$Y$21,"Start timeline",Settings!$Z$2:$Z$21,U384)+SUMIFS(Settings!$AA$2:$AA$21,Settings!$Y$2:$Y$21,"Social media gap",Settings!$Z$2:$Z$21,V384)+IF(F384="",0,IF(COUNTIF(Settings!$AC$2:$AC$6,F384)&gt;0,Settings!$AA$20,Settings!$AA$21)))</f>
        <v/>
      </c>
      <c r="X384" s="44" t="str">
        <f aca="false">IF(E384="","",IF(COUNTA(Q384:V384)=0,"Not scored",IF(COUNTA(Q384:V384)&lt;6,"Partly scored ("&amp;COUNTA(Q384:V384)&amp;"/6)",IF(W384&gt;=Settings!$S$8,"Hot",IF(W384&gt;=Settings!$S$9,"Warm","Cold")))))</f>
        <v/>
      </c>
      <c r="Y384" s="44" t="str">
        <f aca="false">IF(E384="","",IF(AND(Q384="No",S384="No"),"🚩 Budget  ·  🚩 No one on camera",IF(Q384="No","🚩 Budget under AED 5k",IF(S384="No","🚩 No one on camera",""))))</f>
        <v/>
      </c>
      <c r="Z384" s="17"/>
      <c r="AA384" s="17"/>
      <c r="AB384" s="40"/>
      <c r="AC384" s="17"/>
      <c r="AD384" s="45" t="str">
        <f aca="false">IF(OR(E384="",AB384="",OR(AA384="Contract signed + paid",AA384="Closed – No response",AA384="Lost"),N(AC384)&gt;=Settings!$S$3),"",AB384+Settings!$S$2)</f>
        <v/>
      </c>
      <c r="AE384" s="40"/>
      <c r="AF384" s="41"/>
      <c r="AG384" s="17"/>
      <c r="AH384" s="17"/>
      <c r="AI384" s="17"/>
      <c r="AJ384" s="46" t="str">
        <f aca="true">IF(OR(E384="",B384=""),"",INT(TODAY()-B384))</f>
        <v/>
      </c>
      <c r="AK384" s="44" t="str">
        <f aca="true">IF(E384="","",IF(OR(COUNTIFS(Clients!$C$2:$C$501,E384,Clients!$S$2:$S$501,"Paid")&gt;0,AND(I384&lt;&gt;"",COUNTIFS(Clients!$E$2:$E$501,I384,Clients!$S$2:$S$501,"Paid")&gt;0)),"⚠ Refunded before – no free video",IF(OR(AA384="Contract signed + paid",AA384="Closed – No response",AA384="Lost"),"",IF(AA384="","Set a stage",IF(AND(AA384="Proposal sent",COUNTA(Q384:V384)&lt;6),"Score this lead – proposal sent unscored",IF(N(AC384)&gt;=Settings!$S$3,"Close – 4 follow-ups sent",IF(AD384="",IF(AB384="","Make first contact",""),IF(TODAY()&gt;AD384,"OVERDUE follow-up",IF(TODAY()=AD384,"Follow up today","")))))))))</f>
        <v/>
      </c>
    </row>
    <row r="385" customFormat="false" ht="15" hidden="false" customHeight="false" outlineLevel="0" collapsed="false">
      <c r="A385" s="17"/>
      <c r="B385" s="40"/>
      <c r="C385" s="41"/>
      <c r="D385" s="17"/>
      <c r="E385" s="17"/>
      <c r="F385" s="17"/>
      <c r="G385" s="17"/>
      <c r="H385" s="17"/>
      <c r="I385" s="42"/>
      <c r="J385" s="17"/>
      <c r="K385" s="17"/>
      <c r="L385" s="17"/>
      <c r="M385" s="17"/>
      <c r="N385" s="40"/>
      <c r="O385" s="41"/>
      <c r="P385" s="43" t="str">
        <f aca="false">IF(OR(B385="",N385=""),"",ROUND(((N385+N(O385))-(B385+N(C385)))*24,1))</f>
        <v/>
      </c>
      <c r="Q385" s="17"/>
      <c r="R385" s="17"/>
      <c r="S385" s="17"/>
      <c r="T385" s="17"/>
      <c r="U385" s="17"/>
      <c r="V385" s="17"/>
      <c r="W385" s="44" t="str">
        <f aca="false">IF(OR(E385="",COUNTA(Q385:V385)=0),"",SUMIFS(Settings!$AA$2:$AA$21,Settings!$Y$2:$Y$21,"Budget AED 5k+/mo?",Settings!$Z$2:$Z$21,Q385)+SUMIFS(Settings!$AA$2:$AA$21,Settings!$Y$2:$Y$21,"Decision-maker?",Settings!$Z$2:$Z$21,R385)+SUMIFS(Settings!$AA$2:$AA$21,Settings!$Y$2:$Y$21,"Someone on camera?",Settings!$Z$2:$Z$21,S385)+SUMIFS(Settings!$AA$2:$AA$21,Settings!$Y$2:$Y$21,"OK with 3-month term?",Settings!$Z$2:$Z$21,T385)+SUMIFS(Settings!$AA$2:$AA$21,Settings!$Y$2:$Y$21,"Start timeline",Settings!$Z$2:$Z$21,U385)+SUMIFS(Settings!$AA$2:$AA$21,Settings!$Y$2:$Y$21,"Social media gap",Settings!$Z$2:$Z$21,V385)+IF(F385="",0,IF(COUNTIF(Settings!$AC$2:$AC$6,F385)&gt;0,Settings!$AA$20,Settings!$AA$21)))</f>
        <v/>
      </c>
      <c r="X385" s="44" t="str">
        <f aca="false">IF(E385="","",IF(COUNTA(Q385:V385)=0,"Not scored",IF(COUNTA(Q385:V385)&lt;6,"Partly scored ("&amp;COUNTA(Q385:V385)&amp;"/6)",IF(W385&gt;=Settings!$S$8,"Hot",IF(W385&gt;=Settings!$S$9,"Warm","Cold")))))</f>
        <v/>
      </c>
      <c r="Y385" s="44" t="str">
        <f aca="false">IF(E385="","",IF(AND(Q385="No",S385="No"),"🚩 Budget  ·  🚩 No one on camera",IF(Q385="No","🚩 Budget under AED 5k",IF(S385="No","🚩 No one on camera",""))))</f>
        <v/>
      </c>
      <c r="Z385" s="17"/>
      <c r="AA385" s="17"/>
      <c r="AB385" s="40"/>
      <c r="AC385" s="17"/>
      <c r="AD385" s="45" t="str">
        <f aca="false">IF(OR(E385="",AB385="",OR(AA385="Contract signed + paid",AA385="Closed – No response",AA385="Lost"),N(AC385)&gt;=Settings!$S$3),"",AB385+Settings!$S$2)</f>
        <v/>
      </c>
      <c r="AE385" s="40"/>
      <c r="AF385" s="41"/>
      <c r="AG385" s="17"/>
      <c r="AH385" s="17"/>
      <c r="AI385" s="17"/>
      <c r="AJ385" s="46" t="str">
        <f aca="true">IF(OR(E385="",B385=""),"",INT(TODAY()-B385))</f>
        <v/>
      </c>
      <c r="AK385" s="44" t="str">
        <f aca="true">IF(E385="","",IF(OR(COUNTIFS(Clients!$C$2:$C$501,E385,Clients!$S$2:$S$501,"Paid")&gt;0,AND(I385&lt;&gt;"",COUNTIFS(Clients!$E$2:$E$501,I385,Clients!$S$2:$S$501,"Paid")&gt;0)),"⚠ Refunded before – no free video",IF(OR(AA385="Contract signed + paid",AA385="Closed – No response",AA385="Lost"),"",IF(AA385="","Set a stage",IF(AND(AA385="Proposal sent",COUNTA(Q385:V385)&lt;6),"Score this lead – proposal sent unscored",IF(N(AC385)&gt;=Settings!$S$3,"Close – 4 follow-ups sent",IF(AD385="",IF(AB385="","Make first contact",""),IF(TODAY()&gt;AD385,"OVERDUE follow-up",IF(TODAY()=AD385,"Follow up today","")))))))))</f>
        <v/>
      </c>
    </row>
    <row r="386" customFormat="false" ht="15" hidden="false" customHeight="false" outlineLevel="0" collapsed="false">
      <c r="A386" s="17"/>
      <c r="B386" s="40"/>
      <c r="C386" s="41"/>
      <c r="D386" s="17"/>
      <c r="E386" s="17"/>
      <c r="F386" s="17"/>
      <c r="G386" s="17"/>
      <c r="H386" s="17"/>
      <c r="I386" s="42"/>
      <c r="J386" s="17"/>
      <c r="K386" s="17"/>
      <c r="L386" s="17"/>
      <c r="M386" s="17"/>
      <c r="N386" s="40"/>
      <c r="O386" s="41"/>
      <c r="P386" s="43" t="str">
        <f aca="false">IF(OR(B386="",N386=""),"",ROUND(((N386+N(O386))-(B386+N(C386)))*24,1))</f>
        <v/>
      </c>
      <c r="Q386" s="17"/>
      <c r="R386" s="17"/>
      <c r="S386" s="17"/>
      <c r="T386" s="17"/>
      <c r="U386" s="17"/>
      <c r="V386" s="17"/>
      <c r="W386" s="44" t="str">
        <f aca="false">IF(OR(E386="",COUNTA(Q386:V386)=0),"",SUMIFS(Settings!$AA$2:$AA$21,Settings!$Y$2:$Y$21,"Budget AED 5k+/mo?",Settings!$Z$2:$Z$21,Q386)+SUMIFS(Settings!$AA$2:$AA$21,Settings!$Y$2:$Y$21,"Decision-maker?",Settings!$Z$2:$Z$21,R386)+SUMIFS(Settings!$AA$2:$AA$21,Settings!$Y$2:$Y$21,"Someone on camera?",Settings!$Z$2:$Z$21,S386)+SUMIFS(Settings!$AA$2:$AA$21,Settings!$Y$2:$Y$21,"OK with 3-month term?",Settings!$Z$2:$Z$21,T386)+SUMIFS(Settings!$AA$2:$AA$21,Settings!$Y$2:$Y$21,"Start timeline",Settings!$Z$2:$Z$21,U386)+SUMIFS(Settings!$AA$2:$AA$21,Settings!$Y$2:$Y$21,"Social media gap",Settings!$Z$2:$Z$21,V386)+IF(F386="",0,IF(COUNTIF(Settings!$AC$2:$AC$6,F386)&gt;0,Settings!$AA$20,Settings!$AA$21)))</f>
        <v/>
      </c>
      <c r="X386" s="44" t="str">
        <f aca="false">IF(E386="","",IF(COUNTA(Q386:V386)=0,"Not scored",IF(COUNTA(Q386:V386)&lt;6,"Partly scored ("&amp;COUNTA(Q386:V386)&amp;"/6)",IF(W386&gt;=Settings!$S$8,"Hot",IF(W386&gt;=Settings!$S$9,"Warm","Cold")))))</f>
        <v/>
      </c>
      <c r="Y386" s="44" t="str">
        <f aca="false">IF(E386="","",IF(AND(Q386="No",S386="No"),"🚩 Budget  ·  🚩 No one on camera",IF(Q386="No","🚩 Budget under AED 5k",IF(S386="No","🚩 No one on camera",""))))</f>
        <v/>
      </c>
      <c r="Z386" s="17"/>
      <c r="AA386" s="17"/>
      <c r="AB386" s="40"/>
      <c r="AC386" s="17"/>
      <c r="AD386" s="45" t="str">
        <f aca="false">IF(OR(E386="",AB386="",OR(AA386="Contract signed + paid",AA386="Closed – No response",AA386="Lost"),N(AC386)&gt;=Settings!$S$3),"",AB386+Settings!$S$2)</f>
        <v/>
      </c>
      <c r="AE386" s="40"/>
      <c r="AF386" s="41"/>
      <c r="AG386" s="17"/>
      <c r="AH386" s="17"/>
      <c r="AI386" s="17"/>
      <c r="AJ386" s="46" t="str">
        <f aca="true">IF(OR(E386="",B386=""),"",INT(TODAY()-B386))</f>
        <v/>
      </c>
      <c r="AK386" s="44" t="str">
        <f aca="true">IF(E386="","",IF(OR(COUNTIFS(Clients!$C$2:$C$501,E386,Clients!$S$2:$S$501,"Paid")&gt;0,AND(I386&lt;&gt;"",COUNTIFS(Clients!$E$2:$E$501,I386,Clients!$S$2:$S$501,"Paid")&gt;0)),"⚠ Refunded before – no free video",IF(OR(AA386="Contract signed + paid",AA386="Closed – No response",AA386="Lost"),"",IF(AA386="","Set a stage",IF(AND(AA386="Proposal sent",COUNTA(Q386:V386)&lt;6),"Score this lead – proposal sent unscored",IF(N(AC386)&gt;=Settings!$S$3,"Close – 4 follow-ups sent",IF(AD386="",IF(AB386="","Make first contact",""),IF(TODAY()&gt;AD386,"OVERDUE follow-up",IF(TODAY()=AD386,"Follow up today","")))))))))</f>
        <v/>
      </c>
    </row>
    <row r="387" customFormat="false" ht="15" hidden="false" customHeight="false" outlineLevel="0" collapsed="false">
      <c r="A387" s="17"/>
      <c r="B387" s="40"/>
      <c r="C387" s="41"/>
      <c r="D387" s="17"/>
      <c r="E387" s="17"/>
      <c r="F387" s="17"/>
      <c r="G387" s="17"/>
      <c r="H387" s="17"/>
      <c r="I387" s="42"/>
      <c r="J387" s="17"/>
      <c r="K387" s="17"/>
      <c r="L387" s="17"/>
      <c r="M387" s="17"/>
      <c r="N387" s="40"/>
      <c r="O387" s="41"/>
      <c r="P387" s="43" t="str">
        <f aca="false">IF(OR(B387="",N387=""),"",ROUND(((N387+N(O387))-(B387+N(C387)))*24,1))</f>
        <v/>
      </c>
      <c r="Q387" s="17"/>
      <c r="R387" s="17"/>
      <c r="S387" s="17"/>
      <c r="T387" s="17"/>
      <c r="U387" s="17"/>
      <c r="V387" s="17"/>
      <c r="W387" s="44" t="str">
        <f aca="false">IF(OR(E387="",COUNTA(Q387:V387)=0),"",SUMIFS(Settings!$AA$2:$AA$21,Settings!$Y$2:$Y$21,"Budget AED 5k+/mo?",Settings!$Z$2:$Z$21,Q387)+SUMIFS(Settings!$AA$2:$AA$21,Settings!$Y$2:$Y$21,"Decision-maker?",Settings!$Z$2:$Z$21,R387)+SUMIFS(Settings!$AA$2:$AA$21,Settings!$Y$2:$Y$21,"Someone on camera?",Settings!$Z$2:$Z$21,S387)+SUMIFS(Settings!$AA$2:$AA$21,Settings!$Y$2:$Y$21,"OK with 3-month term?",Settings!$Z$2:$Z$21,T387)+SUMIFS(Settings!$AA$2:$AA$21,Settings!$Y$2:$Y$21,"Start timeline",Settings!$Z$2:$Z$21,U387)+SUMIFS(Settings!$AA$2:$AA$21,Settings!$Y$2:$Y$21,"Social media gap",Settings!$Z$2:$Z$21,V387)+IF(F387="",0,IF(COUNTIF(Settings!$AC$2:$AC$6,F387)&gt;0,Settings!$AA$20,Settings!$AA$21)))</f>
        <v/>
      </c>
      <c r="X387" s="44" t="str">
        <f aca="false">IF(E387="","",IF(COUNTA(Q387:V387)=0,"Not scored",IF(COUNTA(Q387:V387)&lt;6,"Partly scored ("&amp;COUNTA(Q387:V387)&amp;"/6)",IF(W387&gt;=Settings!$S$8,"Hot",IF(W387&gt;=Settings!$S$9,"Warm","Cold")))))</f>
        <v/>
      </c>
      <c r="Y387" s="44" t="str">
        <f aca="false">IF(E387="","",IF(AND(Q387="No",S387="No"),"🚩 Budget  ·  🚩 No one on camera",IF(Q387="No","🚩 Budget under AED 5k",IF(S387="No","🚩 No one on camera",""))))</f>
        <v/>
      </c>
      <c r="Z387" s="17"/>
      <c r="AA387" s="17"/>
      <c r="AB387" s="40"/>
      <c r="AC387" s="17"/>
      <c r="AD387" s="45" t="str">
        <f aca="false">IF(OR(E387="",AB387="",OR(AA387="Contract signed + paid",AA387="Closed – No response",AA387="Lost"),N(AC387)&gt;=Settings!$S$3),"",AB387+Settings!$S$2)</f>
        <v/>
      </c>
      <c r="AE387" s="40"/>
      <c r="AF387" s="41"/>
      <c r="AG387" s="17"/>
      <c r="AH387" s="17"/>
      <c r="AI387" s="17"/>
      <c r="AJ387" s="46" t="str">
        <f aca="true">IF(OR(E387="",B387=""),"",INT(TODAY()-B387))</f>
        <v/>
      </c>
      <c r="AK387" s="44" t="str">
        <f aca="true">IF(E387="","",IF(OR(COUNTIFS(Clients!$C$2:$C$501,E387,Clients!$S$2:$S$501,"Paid")&gt;0,AND(I387&lt;&gt;"",COUNTIFS(Clients!$E$2:$E$501,I387,Clients!$S$2:$S$501,"Paid")&gt;0)),"⚠ Refunded before – no free video",IF(OR(AA387="Contract signed + paid",AA387="Closed – No response",AA387="Lost"),"",IF(AA387="","Set a stage",IF(AND(AA387="Proposal sent",COUNTA(Q387:V387)&lt;6),"Score this lead – proposal sent unscored",IF(N(AC387)&gt;=Settings!$S$3,"Close – 4 follow-ups sent",IF(AD387="",IF(AB387="","Make first contact",""),IF(TODAY()&gt;AD387,"OVERDUE follow-up",IF(TODAY()=AD387,"Follow up today","")))))))))</f>
        <v/>
      </c>
    </row>
    <row r="388" customFormat="false" ht="15" hidden="false" customHeight="false" outlineLevel="0" collapsed="false">
      <c r="A388" s="17"/>
      <c r="B388" s="40"/>
      <c r="C388" s="41"/>
      <c r="D388" s="17"/>
      <c r="E388" s="17"/>
      <c r="F388" s="17"/>
      <c r="G388" s="17"/>
      <c r="H388" s="17"/>
      <c r="I388" s="42"/>
      <c r="J388" s="17"/>
      <c r="K388" s="17"/>
      <c r="L388" s="17"/>
      <c r="M388" s="17"/>
      <c r="N388" s="40"/>
      <c r="O388" s="41"/>
      <c r="P388" s="43" t="str">
        <f aca="false">IF(OR(B388="",N388=""),"",ROUND(((N388+N(O388))-(B388+N(C388)))*24,1))</f>
        <v/>
      </c>
      <c r="Q388" s="17"/>
      <c r="R388" s="17"/>
      <c r="S388" s="17"/>
      <c r="T388" s="17"/>
      <c r="U388" s="17"/>
      <c r="V388" s="17"/>
      <c r="W388" s="44" t="str">
        <f aca="false">IF(OR(E388="",COUNTA(Q388:V388)=0),"",SUMIFS(Settings!$AA$2:$AA$21,Settings!$Y$2:$Y$21,"Budget AED 5k+/mo?",Settings!$Z$2:$Z$21,Q388)+SUMIFS(Settings!$AA$2:$AA$21,Settings!$Y$2:$Y$21,"Decision-maker?",Settings!$Z$2:$Z$21,R388)+SUMIFS(Settings!$AA$2:$AA$21,Settings!$Y$2:$Y$21,"Someone on camera?",Settings!$Z$2:$Z$21,S388)+SUMIFS(Settings!$AA$2:$AA$21,Settings!$Y$2:$Y$21,"OK with 3-month term?",Settings!$Z$2:$Z$21,T388)+SUMIFS(Settings!$AA$2:$AA$21,Settings!$Y$2:$Y$21,"Start timeline",Settings!$Z$2:$Z$21,U388)+SUMIFS(Settings!$AA$2:$AA$21,Settings!$Y$2:$Y$21,"Social media gap",Settings!$Z$2:$Z$21,V388)+IF(F388="",0,IF(COUNTIF(Settings!$AC$2:$AC$6,F388)&gt;0,Settings!$AA$20,Settings!$AA$21)))</f>
        <v/>
      </c>
      <c r="X388" s="44" t="str">
        <f aca="false">IF(E388="","",IF(COUNTA(Q388:V388)=0,"Not scored",IF(COUNTA(Q388:V388)&lt;6,"Partly scored ("&amp;COUNTA(Q388:V388)&amp;"/6)",IF(W388&gt;=Settings!$S$8,"Hot",IF(W388&gt;=Settings!$S$9,"Warm","Cold")))))</f>
        <v/>
      </c>
      <c r="Y388" s="44" t="str">
        <f aca="false">IF(E388="","",IF(AND(Q388="No",S388="No"),"🚩 Budget  ·  🚩 No one on camera",IF(Q388="No","🚩 Budget under AED 5k",IF(S388="No","🚩 No one on camera",""))))</f>
        <v/>
      </c>
      <c r="Z388" s="17"/>
      <c r="AA388" s="17"/>
      <c r="AB388" s="40"/>
      <c r="AC388" s="17"/>
      <c r="AD388" s="45" t="str">
        <f aca="false">IF(OR(E388="",AB388="",OR(AA388="Contract signed + paid",AA388="Closed – No response",AA388="Lost"),N(AC388)&gt;=Settings!$S$3),"",AB388+Settings!$S$2)</f>
        <v/>
      </c>
      <c r="AE388" s="40"/>
      <c r="AF388" s="41"/>
      <c r="AG388" s="17"/>
      <c r="AH388" s="17"/>
      <c r="AI388" s="17"/>
      <c r="AJ388" s="46" t="str">
        <f aca="true">IF(OR(E388="",B388=""),"",INT(TODAY()-B388))</f>
        <v/>
      </c>
      <c r="AK388" s="44" t="str">
        <f aca="true">IF(E388="","",IF(OR(COUNTIFS(Clients!$C$2:$C$501,E388,Clients!$S$2:$S$501,"Paid")&gt;0,AND(I388&lt;&gt;"",COUNTIFS(Clients!$E$2:$E$501,I388,Clients!$S$2:$S$501,"Paid")&gt;0)),"⚠ Refunded before – no free video",IF(OR(AA388="Contract signed + paid",AA388="Closed – No response",AA388="Lost"),"",IF(AA388="","Set a stage",IF(AND(AA388="Proposal sent",COUNTA(Q388:V388)&lt;6),"Score this lead – proposal sent unscored",IF(N(AC388)&gt;=Settings!$S$3,"Close – 4 follow-ups sent",IF(AD388="",IF(AB388="","Make first contact",""),IF(TODAY()&gt;AD388,"OVERDUE follow-up",IF(TODAY()=AD388,"Follow up today","")))))))))</f>
        <v/>
      </c>
    </row>
    <row r="389" customFormat="false" ht="15" hidden="false" customHeight="false" outlineLevel="0" collapsed="false">
      <c r="A389" s="17"/>
      <c r="B389" s="40"/>
      <c r="C389" s="41"/>
      <c r="D389" s="17"/>
      <c r="E389" s="17"/>
      <c r="F389" s="17"/>
      <c r="G389" s="17"/>
      <c r="H389" s="17"/>
      <c r="I389" s="42"/>
      <c r="J389" s="17"/>
      <c r="K389" s="17"/>
      <c r="L389" s="17"/>
      <c r="M389" s="17"/>
      <c r="N389" s="40"/>
      <c r="O389" s="41"/>
      <c r="P389" s="43" t="str">
        <f aca="false">IF(OR(B389="",N389=""),"",ROUND(((N389+N(O389))-(B389+N(C389)))*24,1))</f>
        <v/>
      </c>
      <c r="Q389" s="17"/>
      <c r="R389" s="17"/>
      <c r="S389" s="17"/>
      <c r="T389" s="17"/>
      <c r="U389" s="17"/>
      <c r="V389" s="17"/>
      <c r="W389" s="44" t="str">
        <f aca="false">IF(OR(E389="",COUNTA(Q389:V389)=0),"",SUMIFS(Settings!$AA$2:$AA$21,Settings!$Y$2:$Y$21,"Budget AED 5k+/mo?",Settings!$Z$2:$Z$21,Q389)+SUMIFS(Settings!$AA$2:$AA$21,Settings!$Y$2:$Y$21,"Decision-maker?",Settings!$Z$2:$Z$21,R389)+SUMIFS(Settings!$AA$2:$AA$21,Settings!$Y$2:$Y$21,"Someone on camera?",Settings!$Z$2:$Z$21,S389)+SUMIFS(Settings!$AA$2:$AA$21,Settings!$Y$2:$Y$21,"OK with 3-month term?",Settings!$Z$2:$Z$21,T389)+SUMIFS(Settings!$AA$2:$AA$21,Settings!$Y$2:$Y$21,"Start timeline",Settings!$Z$2:$Z$21,U389)+SUMIFS(Settings!$AA$2:$AA$21,Settings!$Y$2:$Y$21,"Social media gap",Settings!$Z$2:$Z$21,V389)+IF(F389="",0,IF(COUNTIF(Settings!$AC$2:$AC$6,F389)&gt;0,Settings!$AA$20,Settings!$AA$21)))</f>
        <v/>
      </c>
      <c r="X389" s="44" t="str">
        <f aca="false">IF(E389="","",IF(COUNTA(Q389:V389)=0,"Not scored",IF(COUNTA(Q389:V389)&lt;6,"Partly scored ("&amp;COUNTA(Q389:V389)&amp;"/6)",IF(W389&gt;=Settings!$S$8,"Hot",IF(W389&gt;=Settings!$S$9,"Warm","Cold")))))</f>
        <v/>
      </c>
      <c r="Y389" s="44" t="str">
        <f aca="false">IF(E389="","",IF(AND(Q389="No",S389="No"),"🚩 Budget  ·  🚩 No one on camera",IF(Q389="No","🚩 Budget under AED 5k",IF(S389="No","🚩 No one on camera",""))))</f>
        <v/>
      </c>
      <c r="Z389" s="17"/>
      <c r="AA389" s="17"/>
      <c r="AB389" s="40"/>
      <c r="AC389" s="17"/>
      <c r="AD389" s="45" t="str">
        <f aca="false">IF(OR(E389="",AB389="",OR(AA389="Contract signed + paid",AA389="Closed – No response",AA389="Lost"),N(AC389)&gt;=Settings!$S$3),"",AB389+Settings!$S$2)</f>
        <v/>
      </c>
      <c r="AE389" s="40"/>
      <c r="AF389" s="41"/>
      <c r="AG389" s="17"/>
      <c r="AH389" s="17"/>
      <c r="AI389" s="17"/>
      <c r="AJ389" s="46" t="str">
        <f aca="true">IF(OR(E389="",B389=""),"",INT(TODAY()-B389))</f>
        <v/>
      </c>
      <c r="AK389" s="44" t="str">
        <f aca="true">IF(E389="","",IF(OR(COUNTIFS(Clients!$C$2:$C$501,E389,Clients!$S$2:$S$501,"Paid")&gt;0,AND(I389&lt;&gt;"",COUNTIFS(Clients!$E$2:$E$501,I389,Clients!$S$2:$S$501,"Paid")&gt;0)),"⚠ Refunded before – no free video",IF(OR(AA389="Contract signed + paid",AA389="Closed – No response",AA389="Lost"),"",IF(AA389="","Set a stage",IF(AND(AA389="Proposal sent",COUNTA(Q389:V389)&lt;6),"Score this lead – proposal sent unscored",IF(N(AC389)&gt;=Settings!$S$3,"Close – 4 follow-ups sent",IF(AD389="",IF(AB389="","Make first contact",""),IF(TODAY()&gt;AD389,"OVERDUE follow-up",IF(TODAY()=AD389,"Follow up today","")))))))))</f>
        <v/>
      </c>
    </row>
    <row r="390" customFormat="false" ht="15" hidden="false" customHeight="false" outlineLevel="0" collapsed="false">
      <c r="A390" s="17"/>
      <c r="B390" s="40"/>
      <c r="C390" s="41"/>
      <c r="D390" s="17"/>
      <c r="E390" s="17"/>
      <c r="F390" s="17"/>
      <c r="G390" s="17"/>
      <c r="H390" s="17"/>
      <c r="I390" s="42"/>
      <c r="J390" s="17"/>
      <c r="K390" s="17"/>
      <c r="L390" s="17"/>
      <c r="M390" s="17"/>
      <c r="N390" s="40"/>
      <c r="O390" s="41"/>
      <c r="P390" s="43" t="str">
        <f aca="false">IF(OR(B390="",N390=""),"",ROUND(((N390+N(O390))-(B390+N(C390)))*24,1))</f>
        <v/>
      </c>
      <c r="Q390" s="17"/>
      <c r="R390" s="17"/>
      <c r="S390" s="17"/>
      <c r="T390" s="17"/>
      <c r="U390" s="17"/>
      <c r="V390" s="17"/>
      <c r="W390" s="44" t="str">
        <f aca="false">IF(OR(E390="",COUNTA(Q390:V390)=0),"",SUMIFS(Settings!$AA$2:$AA$21,Settings!$Y$2:$Y$21,"Budget AED 5k+/mo?",Settings!$Z$2:$Z$21,Q390)+SUMIFS(Settings!$AA$2:$AA$21,Settings!$Y$2:$Y$21,"Decision-maker?",Settings!$Z$2:$Z$21,R390)+SUMIFS(Settings!$AA$2:$AA$21,Settings!$Y$2:$Y$21,"Someone on camera?",Settings!$Z$2:$Z$21,S390)+SUMIFS(Settings!$AA$2:$AA$21,Settings!$Y$2:$Y$21,"OK with 3-month term?",Settings!$Z$2:$Z$21,T390)+SUMIFS(Settings!$AA$2:$AA$21,Settings!$Y$2:$Y$21,"Start timeline",Settings!$Z$2:$Z$21,U390)+SUMIFS(Settings!$AA$2:$AA$21,Settings!$Y$2:$Y$21,"Social media gap",Settings!$Z$2:$Z$21,V390)+IF(F390="",0,IF(COUNTIF(Settings!$AC$2:$AC$6,F390)&gt;0,Settings!$AA$20,Settings!$AA$21)))</f>
        <v/>
      </c>
      <c r="X390" s="44" t="str">
        <f aca="false">IF(E390="","",IF(COUNTA(Q390:V390)=0,"Not scored",IF(COUNTA(Q390:V390)&lt;6,"Partly scored ("&amp;COUNTA(Q390:V390)&amp;"/6)",IF(W390&gt;=Settings!$S$8,"Hot",IF(W390&gt;=Settings!$S$9,"Warm","Cold")))))</f>
        <v/>
      </c>
      <c r="Y390" s="44" t="str">
        <f aca="false">IF(E390="","",IF(AND(Q390="No",S390="No"),"🚩 Budget  ·  🚩 No one on camera",IF(Q390="No","🚩 Budget under AED 5k",IF(S390="No","🚩 No one on camera",""))))</f>
        <v/>
      </c>
      <c r="Z390" s="17"/>
      <c r="AA390" s="17"/>
      <c r="AB390" s="40"/>
      <c r="AC390" s="17"/>
      <c r="AD390" s="45" t="str">
        <f aca="false">IF(OR(E390="",AB390="",OR(AA390="Contract signed + paid",AA390="Closed – No response",AA390="Lost"),N(AC390)&gt;=Settings!$S$3),"",AB390+Settings!$S$2)</f>
        <v/>
      </c>
      <c r="AE390" s="40"/>
      <c r="AF390" s="41"/>
      <c r="AG390" s="17"/>
      <c r="AH390" s="17"/>
      <c r="AI390" s="17"/>
      <c r="AJ390" s="46" t="str">
        <f aca="true">IF(OR(E390="",B390=""),"",INT(TODAY()-B390))</f>
        <v/>
      </c>
      <c r="AK390" s="44" t="str">
        <f aca="true">IF(E390="","",IF(OR(COUNTIFS(Clients!$C$2:$C$501,E390,Clients!$S$2:$S$501,"Paid")&gt;0,AND(I390&lt;&gt;"",COUNTIFS(Clients!$E$2:$E$501,I390,Clients!$S$2:$S$501,"Paid")&gt;0)),"⚠ Refunded before – no free video",IF(OR(AA390="Contract signed + paid",AA390="Closed – No response",AA390="Lost"),"",IF(AA390="","Set a stage",IF(AND(AA390="Proposal sent",COUNTA(Q390:V390)&lt;6),"Score this lead – proposal sent unscored",IF(N(AC390)&gt;=Settings!$S$3,"Close – 4 follow-ups sent",IF(AD390="",IF(AB390="","Make first contact",""),IF(TODAY()&gt;AD390,"OVERDUE follow-up",IF(TODAY()=AD390,"Follow up today","")))))))))</f>
        <v/>
      </c>
    </row>
    <row r="391" customFormat="false" ht="15" hidden="false" customHeight="false" outlineLevel="0" collapsed="false">
      <c r="A391" s="17"/>
      <c r="B391" s="40"/>
      <c r="C391" s="41"/>
      <c r="D391" s="17"/>
      <c r="E391" s="17"/>
      <c r="F391" s="17"/>
      <c r="G391" s="17"/>
      <c r="H391" s="17"/>
      <c r="I391" s="42"/>
      <c r="J391" s="17"/>
      <c r="K391" s="17"/>
      <c r="L391" s="17"/>
      <c r="M391" s="17"/>
      <c r="N391" s="40"/>
      <c r="O391" s="41"/>
      <c r="P391" s="43" t="str">
        <f aca="false">IF(OR(B391="",N391=""),"",ROUND(((N391+N(O391))-(B391+N(C391)))*24,1))</f>
        <v/>
      </c>
      <c r="Q391" s="17"/>
      <c r="R391" s="17"/>
      <c r="S391" s="17"/>
      <c r="T391" s="17"/>
      <c r="U391" s="17"/>
      <c r="V391" s="17"/>
      <c r="W391" s="44" t="str">
        <f aca="false">IF(OR(E391="",COUNTA(Q391:V391)=0),"",SUMIFS(Settings!$AA$2:$AA$21,Settings!$Y$2:$Y$21,"Budget AED 5k+/mo?",Settings!$Z$2:$Z$21,Q391)+SUMIFS(Settings!$AA$2:$AA$21,Settings!$Y$2:$Y$21,"Decision-maker?",Settings!$Z$2:$Z$21,R391)+SUMIFS(Settings!$AA$2:$AA$21,Settings!$Y$2:$Y$21,"Someone on camera?",Settings!$Z$2:$Z$21,S391)+SUMIFS(Settings!$AA$2:$AA$21,Settings!$Y$2:$Y$21,"OK with 3-month term?",Settings!$Z$2:$Z$21,T391)+SUMIFS(Settings!$AA$2:$AA$21,Settings!$Y$2:$Y$21,"Start timeline",Settings!$Z$2:$Z$21,U391)+SUMIFS(Settings!$AA$2:$AA$21,Settings!$Y$2:$Y$21,"Social media gap",Settings!$Z$2:$Z$21,V391)+IF(F391="",0,IF(COUNTIF(Settings!$AC$2:$AC$6,F391)&gt;0,Settings!$AA$20,Settings!$AA$21)))</f>
        <v/>
      </c>
      <c r="X391" s="44" t="str">
        <f aca="false">IF(E391="","",IF(COUNTA(Q391:V391)=0,"Not scored",IF(COUNTA(Q391:V391)&lt;6,"Partly scored ("&amp;COUNTA(Q391:V391)&amp;"/6)",IF(W391&gt;=Settings!$S$8,"Hot",IF(W391&gt;=Settings!$S$9,"Warm","Cold")))))</f>
        <v/>
      </c>
      <c r="Y391" s="44" t="str">
        <f aca="false">IF(E391="","",IF(AND(Q391="No",S391="No"),"🚩 Budget  ·  🚩 No one on camera",IF(Q391="No","🚩 Budget under AED 5k",IF(S391="No","🚩 No one on camera",""))))</f>
        <v/>
      </c>
      <c r="Z391" s="17"/>
      <c r="AA391" s="17"/>
      <c r="AB391" s="40"/>
      <c r="AC391" s="17"/>
      <c r="AD391" s="45" t="str">
        <f aca="false">IF(OR(E391="",AB391="",OR(AA391="Contract signed + paid",AA391="Closed – No response",AA391="Lost"),N(AC391)&gt;=Settings!$S$3),"",AB391+Settings!$S$2)</f>
        <v/>
      </c>
      <c r="AE391" s="40"/>
      <c r="AF391" s="41"/>
      <c r="AG391" s="17"/>
      <c r="AH391" s="17"/>
      <c r="AI391" s="17"/>
      <c r="AJ391" s="46" t="str">
        <f aca="true">IF(OR(E391="",B391=""),"",INT(TODAY()-B391))</f>
        <v/>
      </c>
      <c r="AK391" s="44" t="str">
        <f aca="true">IF(E391="","",IF(OR(COUNTIFS(Clients!$C$2:$C$501,E391,Clients!$S$2:$S$501,"Paid")&gt;0,AND(I391&lt;&gt;"",COUNTIFS(Clients!$E$2:$E$501,I391,Clients!$S$2:$S$501,"Paid")&gt;0)),"⚠ Refunded before – no free video",IF(OR(AA391="Contract signed + paid",AA391="Closed – No response",AA391="Lost"),"",IF(AA391="","Set a stage",IF(AND(AA391="Proposal sent",COUNTA(Q391:V391)&lt;6),"Score this lead – proposal sent unscored",IF(N(AC391)&gt;=Settings!$S$3,"Close – 4 follow-ups sent",IF(AD391="",IF(AB391="","Make first contact",""),IF(TODAY()&gt;AD391,"OVERDUE follow-up",IF(TODAY()=AD391,"Follow up today","")))))))))</f>
        <v/>
      </c>
    </row>
    <row r="392" customFormat="false" ht="15" hidden="false" customHeight="false" outlineLevel="0" collapsed="false">
      <c r="A392" s="17"/>
      <c r="B392" s="40"/>
      <c r="C392" s="41"/>
      <c r="D392" s="17"/>
      <c r="E392" s="17"/>
      <c r="F392" s="17"/>
      <c r="G392" s="17"/>
      <c r="H392" s="17"/>
      <c r="I392" s="42"/>
      <c r="J392" s="17"/>
      <c r="K392" s="17"/>
      <c r="L392" s="17"/>
      <c r="M392" s="17"/>
      <c r="N392" s="40"/>
      <c r="O392" s="41"/>
      <c r="P392" s="43" t="str">
        <f aca="false">IF(OR(B392="",N392=""),"",ROUND(((N392+N(O392))-(B392+N(C392)))*24,1))</f>
        <v/>
      </c>
      <c r="Q392" s="17"/>
      <c r="R392" s="17"/>
      <c r="S392" s="17"/>
      <c r="T392" s="17"/>
      <c r="U392" s="17"/>
      <c r="V392" s="17"/>
      <c r="W392" s="44" t="str">
        <f aca="false">IF(OR(E392="",COUNTA(Q392:V392)=0),"",SUMIFS(Settings!$AA$2:$AA$21,Settings!$Y$2:$Y$21,"Budget AED 5k+/mo?",Settings!$Z$2:$Z$21,Q392)+SUMIFS(Settings!$AA$2:$AA$21,Settings!$Y$2:$Y$21,"Decision-maker?",Settings!$Z$2:$Z$21,R392)+SUMIFS(Settings!$AA$2:$AA$21,Settings!$Y$2:$Y$21,"Someone on camera?",Settings!$Z$2:$Z$21,S392)+SUMIFS(Settings!$AA$2:$AA$21,Settings!$Y$2:$Y$21,"OK with 3-month term?",Settings!$Z$2:$Z$21,T392)+SUMIFS(Settings!$AA$2:$AA$21,Settings!$Y$2:$Y$21,"Start timeline",Settings!$Z$2:$Z$21,U392)+SUMIFS(Settings!$AA$2:$AA$21,Settings!$Y$2:$Y$21,"Social media gap",Settings!$Z$2:$Z$21,V392)+IF(F392="",0,IF(COUNTIF(Settings!$AC$2:$AC$6,F392)&gt;0,Settings!$AA$20,Settings!$AA$21)))</f>
        <v/>
      </c>
      <c r="X392" s="44" t="str">
        <f aca="false">IF(E392="","",IF(COUNTA(Q392:V392)=0,"Not scored",IF(COUNTA(Q392:V392)&lt;6,"Partly scored ("&amp;COUNTA(Q392:V392)&amp;"/6)",IF(W392&gt;=Settings!$S$8,"Hot",IF(W392&gt;=Settings!$S$9,"Warm","Cold")))))</f>
        <v/>
      </c>
      <c r="Y392" s="44" t="str">
        <f aca="false">IF(E392="","",IF(AND(Q392="No",S392="No"),"🚩 Budget  ·  🚩 No one on camera",IF(Q392="No","🚩 Budget under AED 5k",IF(S392="No","🚩 No one on camera",""))))</f>
        <v/>
      </c>
      <c r="Z392" s="17"/>
      <c r="AA392" s="17"/>
      <c r="AB392" s="40"/>
      <c r="AC392" s="17"/>
      <c r="AD392" s="45" t="str">
        <f aca="false">IF(OR(E392="",AB392="",OR(AA392="Contract signed + paid",AA392="Closed – No response",AA392="Lost"),N(AC392)&gt;=Settings!$S$3),"",AB392+Settings!$S$2)</f>
        <v/>
      </c>
      <c r="AE392" s="40"/>
      <c r="AF392" s="41"/>
      <c r="AG392" s="17"/>
      <c r="AH392" s="17"/>
      <c r="AI392" s="17"/>
      <c r="AJ392" s="46" t="str">
        <f aca="true">IF(OR(E392="",B392=""),"",INT(TODAY()-B392))</f>
        <v/>
      </c>
      <c r="AK392" s="44" t="str">
        <f aca="true">IF(E392="","",IF(OR(COUNTIFS(Clients!$C$2:$C$501,E392,Clients!$S$2:$S$501,"Paid")&gt;0,AND(I392&lt;&gt;"",COUNTIFS(Clients!$E$2:$E$501,I392,Clients!$S$2:$S$501,"Paid")&gt;0)),"⚠ Refunded before – no free video",IF(OR(AA392="Contract signed + paid",AA392="Closed – No response",AA392="Lost"),"",IF(AA392="","Set a stage",IF(AND(AA392="Proposal sent",COUNTA(Q392:V392)&lt;6),"Score this lead – proposal sent unscored",IF(N(AC392)&gt;=Settings!$S$3,"Close – 4 follow-ups sent",IF(AD392="",IF(AB392="","Make first contact",""),IF(TODAY()&gt;AD392,"OVERDUE follow-up",IF(TODAY()=AD392,"Follow up today","")))))))))</f>
        <v/>
      </c>
    </row>
    <row r="393" customFormat="false" ht="15" hidden="false" customHeight="false" outlineLevel="0" collapsed="false">
      <c r="A393" s="17"/>
      <c r="B393" s="40"/>
      <c r="C393" s="41"/>
      <c r="D393" s="17"/>
      <c r="E393" s="17"/>
      <c r="F393" s="17"/>
      <c r="G393" s="17"/>
      <c r="H393" s="17"/>
      <c r="I393" s="42"/>
      <c r="J393" s="17"/>
      <c r="K393" s="17"/>
      <c r="L393" s="17"/>
      <c r="M393" s="17"/>
      <c r="N393" s="40"/>
      <c r="O393" s="41"/>
      <c r="P393" s="43" t="str">
        <f aca="false">IF(OR(B393="",N393=""),"",ROUND(((N393+N(O393))-(B393+N(C393)))*24,1))</f>
        <v/>
      </c>
      <c r="Q393" s="17"/>
      <c r="R393" s="17"/>
      <c r="S393" s="17"/>
      <c r="T393" s="17"/>
      <c r="U393" s="17"/>
      <c r="V393" s="17"/>
      <c r="W393" s="44" t="str">
        <f aca="false">IF(OR(E393="",COUNTA(Q393:V393)=0),"",SUMIFS(Settings!$AA$2:$AA$21,Settings!$Y$2:$Y$21,"Budget AED 5k+/mo?",Settings!$Z$2:$Z$21,Q393)+SUMIFS(Settings!$AA$2:$AA$21,Settings!$Y$2:$Y$21,"Decision-maker?",Settings!$Z$2:$Z$21,R393)+SUMIFS(Settings!$AA$2:$AA$21,Settings!$Y$2:$Y$21,"Someone on camera?",Settings!$Z$2:$Z$21,S393)+SUMIFS(Settings!$AA$2:$AA$21,Settings!$Y$2:$Y$21,"OK with 3-month term?",Settings!$Z$2:$Z$21,T393)+SUMIFS(Settings!$AA$2:$AA$21,Settings!$Y$2:$Y$21,"Start timeline",Settings!$Z$2:$Z$21,U393)+SUMIFS(Settings!$AA$2:$AA$21,Settings!$Y$2:$Y$21,"Social media gap",Settings!$Z$2:$Z$21,V393)+IF(F393="",0,IF(COUNTIF(Settings!$AC$2:$AC$6,F393)&gt;0,Settings!$AA$20,Settings!$AA$21)))</f>
        <v/>
      </c>
      <c r="X393" s="44" t="str">
        <f aca="false">IF(E393="","",IF(COUNTA(Q393:V393)=0,"Not scored",IF(COUNTA(Q393:V393)&lt;6,"Partly scored ("&amp;COUNTA(Q393:V393)&amp;"/6)",IF(W393&gt;=Settings!$S$8,"Hot",IF(W393&gt;=Settings!$S$9,"Warm","Cold")))))</f>
        <v/>
      </c>
      <c r="Y393" s="44" t="str">
        <f aca="false">IF(E393="","",IF(AND(Q393="No",S393="No"),"🚩 Budget  ·  🚩 No one on camera",IF(Q393="No","🚩 Budget under AED 5k",IF(S393="No","🚩 No one on camera",""))))</f>
        <v/>
      </c>
      <c r="Z393" s="17"/>
      <c r="AA393" s="17"/>
      <c r="AB393" s="40"/>
      <c r="AC393" s="17"/>
      <c r="AD393" s="45" t="str">
        <f aca="false">IF(OR(E393="",AB393="",OR(AA393="Contract signed + paid",AA393="Closed – No response",AA393="Lost"),N(AC393)&gt;=Settings!$S$3),"",AB393+Settings!$S$2)</f>
        <v/>
      </c>
      <c r="AE393" s="40"/>
      <c r="AF393" s="41"/>
      <c r="AG393" s="17"/>
      <c r="AH393" s="17"/>
      <c r="AI393" s="17"/>
      <c r="AJ393" s="46" t="str">
        <f aca="true">IF(OR(E393="",B393=""),"",INT(TODAY()-B393))</f>
        <v/>
      </c>
      <c r="AK393" s="44" t="str">
        <f aca="true">IF(E393="","",IF(OR(COUNTIFS(Clients!$C$2:$C$501,E393,Clients!$S$2:$S$501,"Paid")&gt;0,AND(I393&lt;&gt;"",COUNTIFS(Clients!$E$2:$E$501,I393,Clients!$S$2:$S$501,"Paid")&gt;0)),"⚠ Refunded before – no free video",IF(OR(AA393="Contract signed + paid",AA393="Closed – No response",AA393="Lost"),"",IF(AA393="","Set a stage",IF(AND(AA393="Proposal sent",COUNTA(Q393:V393)&lt;6),"Score this lead – proposal sent unscored",IF(N(AC393)&gt;=Settings!$S$3,"Close – 4 follow-ups sent",IF(AD393="",IF(AB393="","Make first contact",""),IF(TODAY()&gt;AD393,"OVERDUE follow-up",IF(TODAY()=AD393,"Follow up today","")))))))))</f>
        <v/>
      </c>
    </row>
    <row r="394" customFormat="false" ht="15" hidden="false" customHeight="false" outlineLevel="0" collapsed="false">
      <c r="A394" s="17"/>
      <c r="B394" s="40"/>
      <c r="C394" s="41"/>
      <c r="D394" s="17"/>
      <c r="E394" s="17"/>
      <c r="F394" s="17"/>
      <c r="G394" s="17"/>
      <c r="H394" s="17"/>
      <c r="I394" s="42"/>
      <c r="J394" s="17"/>
      <c r="K394" s="17"/>
      <c r="L394" s="17"/>
      <c r="M394" s="17"/>
      <c r="N394" s="40"/>
      <c r="O394" s="41"/>
      <c r="P394" s="43" t="str">
        <f aca="false">IF(OR(B394="",N394=""),"",ROUND(((N394+N(O394))-(B394+N(C394)))*24,1))</f>
        <v/>
      </c>
      <c r="Q394" s="17"/>
      <c r="R394" s="17"/>
      <c r="S394" s="17"/>
      <c r="T394" s="17"/>
      <c r="U394" s="17"/>
      <c r="V394" s="17"/>
      <c r="W394" s="44" t="str">
        <f aca="false">IF(OR(E394="",COUNTA(Q394:V394)=0),"",SUMIFS(Settings!$AA$2:$AA$21,Settings!$Y$2:$Y$21,"Budget AED 5k+/mo?",Settings!$Z$2:$Z$21,Q394)+SUMIFS(Settings!$AA$2:$AA$21,Settings!$Y$2:$Y$21,"Decision-maker?",Settings!$Z$2:$Z$21,R394)+SUMIFS(Settings!$AA$2:$AA$21,Settings!$Y$2:$Y$21,"Someone on camera?",Settings!$Z$2:$Z$21,S394)+SUMIFS(Settings!$AA$2:$AA$21,Settings!$Y$2:$Y$21,"OK with 3-month term?",Settings!$Z$2:$Z$21,T394)+SUMIFS(Settings!$AA$2:$AA$21,Settings!$Y$2:$Y$21,"Start timeline",Settings!$Z$2:$Z$21,U394)+SUMIFS(Settings!$AA$2:$AA$21,Settings!$Y$2:$Y$21,"Social media gap",Settings!$Z$2:$Z$21,V394)+IF(F394="",0,IF(COUNTIF(Settings!$AC$2:$AC$6,F394)&gt;0,Settings!$AA$20,Settings!$AA$21)))</f>
        <v/>
      </c>
      <c r="X394" s="44" t="str">
        <f aca="false">IF(E394="","",IF(COUNTA(Q394:V394)=0,"Not scored",IF(COUNTA(Q394:V394)&lt;6,"Partly scored ("&amp;COUNTA(Q394:V394)&amp;"/6)",IF(W394&gt;=Settings!$S$8,"Hot",IF(W394&gt;=Settings!$S$9,"Warm","Cold")))))</f>
        <v/>
      </c>
      <c r="Y394" s="44" t="str">
        <f aca="false">IF(E394="","",IF(AND(Q394="No",S394="No"),"🚩 Budget  ·  🚩 No one on camera",IF(Q394="No","🚩 Budget under AED 5k",IF(S394="No","🚩 No one on camera",""))))</f>
        <v/>
      </c>
      <c r="Z394" s="17"/>
      <c r="AA394" s="17"/>
      <c r="AB394" s="40"/>
      <c r="AC394" s="17"/>
      <c r="AD394" s="45" t="str">
        <f aca="false">IF(OR(E394="",AB394="",OR(AA394="Contract signed + paid",AA394="Closed – No response",AA394="Lost"),N(AC394)&gt;=Settings!$S$3),"",AB394+Settings!$S$2)</f>
        <v/>
      </c>
      <c r="AE394" s="40"/>
      <c r="AF394" s="41"/>
      <c r="AG394" s="17"/>
      <c r="AH394" s="17"/>
      <c r="AI394" s="17"/>
      <c r="AJ394" s="46" t="str">
        <f aca="true">IF(OR(E394="",B394=""),"",INT(TODAY()-B394))</f>
        <v/>
      </c>
      <c r="AK394" s="44" t="str">
        <f aca="true">IF(E394="","",IF(OR(COUNTIFS(Clients!$C$2:$C$501,E394,Clients!$S$2:$S$501,"Paid")&gt;0,AND(I394&lt;&gt;"",COUNTIFS(Clients!$E$2:$E$501,I394,Clients!$S$2:$S$501,"Paid")&gt;0)),"⚠ Refunded before – no free video",IF(OR(AA394="Contract signed + paid",AA394="Closed – No response",AA394="Lost"),"",IF(AA394="","Set a stage",IF(AND(AA394="Proposal sent",COUNTA(Q394:V394)&lt;6),"Score this lead – proposal sent unscored",IF(N(AC394)&gt;=Settings!$S$3,"Close – 4 follow-ups sent",IF(AD394="",IF(AB394="","Make first contact",""),IF(TODAY()&gt;AD394,"OVERDUE follow-up",IF(TODAY()=AD394,"Follow up today","")))))))))</f>
        <v/>
      </c>
    </row>
    <row r="395" customFormat="false" ht="15" hidden="false" customHeight="false" outlineLevel="0" collapsed="false">
      <c r="A395" s="17"/>
      <c r="B395" s="40"/>
      <c r="C395" s="41"/>
      <c r="D395" s="17"/>
      <c r="E395" s="17"/>
      <c r="F395" s="17"/>
      <c r="G395" s="17"/>
      <c r="H395" s="17"/>
      <c r="I395" s="42"/>
      <c r="J395" s="17"/>
      <c r="K395" s="17"/>
      <c r="L395" s="17"/>
      <c r="M395" s="17"/>
      <c r="N395" s="40"/>
      <c r="O395" s="41"/>
      <c r="P395" s="43" t="str">
        <f aca="false">IF(OR(B395="",N395=""),"",ROUND(((N395+N(O395))-(B395+N(C395)))*24,1))</f>
        <v/>
      </c>
      <c r="Q395" s="17"/>
      <c r="R395" s="17"/>
      <c r="S395" s="17"/>
      <c r="T395" s="17"/>
      <c r="U395" s="17"/>
      <c r="V395" s="17"/>
      <c r="W395" s="44" t="str">
        <f aca="false">IF(OR(E395="",COUNTA(Q395:V395)=0),"",SUMIFS(Settings!$AA$2:$AA$21,Settings!$Y$2:$Y$21,"Budget AED 5k+/mo?",Settings!$Z$2:$Z$21,Q395)+SUMIFS(Settings!$AA$2:$AA$21,Settings!$Y$2:$Y$21,"Decision-maker?",Settings!$Z$2:$Z$21,R395)+SUMIFS(Settings!$AA$2:$AA$21,Settings!$Y$2:$Y$21,"Someone on camera?",Settings!$Z$2:$Z$21,S395)+SUMIFS(Settings!$AA$2:$AA$21,Settings!$Y$2:$Y$21,"OK with 3-month term?",Settings!$Z$2:$Z$21,T395)+SUMIFS(Settings!$AA$2:$AA$21,Settings!$Y$2:$Y$21,"Start timeline",Settings!$Z$2:$Z$21,U395)+SUMIFS(Settings!$AA$2:$AA$21,Settings!$Y$2:$Y$21,"Social media gap",Settings!$Z$2:$Z$21,V395)+IF(F395="",0,IF(COUNTIF(Settings!$AC$2:$AC$6,F395)&gt;0,Settings!$AA$20,Settings!$AA$21)))</f>
        <v/>
      </c>
      <c r="X395" s="44" t="str">
        <f aca="false">IF(E395="","",IF(COUNTA(Q395:V395)=0,"Not scored",IF(COUNTA(Q395:V395)&lt;6,"Partly scored ("&amp;COUNTA(Q395:V395)&amp;"/6)",IF(W395&gt;=Settings!$S$8,"Hot",IF(W395&gt;=Settings!$S$9,"Warm","Cold")))))</f>
        <v/>
      </c>
      <c r="Y395" s="44" t="str">
        <f aca="false">IF(E395="","",IF(AND(Q395="No",S395="No"),"🚩 Budget  ·  🚩 No one on camera",IF(Q395="No","🚩 Budget under AED 5k",IF(S395="No","🚩 No one on camera",""))))</f>
        <v/>
      </c>
      <c r="Z395" s="17"/>
      <c r="AA395" s="17"/>
      <c r="AB395" s="40"/>
      <c r="AC395" s="17"/>
      <c r="AD395" s="45" t="str">
        <f aca="false">IF(OR(E395="",AB395="",OR(AA395="Contract signed + paid",AA395="Closed – No response",AA395="Lost"),N(AC395)&gt;=Settings!$S$3),"",AB395+Settings!$S$2)</f>
        <v/>
      </c>
      <c r="AE395" s="40"/>
      <c r="AF395" s="41"/>
      <c r="AG395" s="17"/>
      <c r="AH395" s="17"/>
      <c r="AI395" s="17"/>
      <c r="AJ395" s="46" t="str">
        <f aca="true">IF(OR(E395="",B395=""),"",INT(TODAY()-B395))</f>
        <v/>
      </c>
      <c r="AK395" s="44" t="str">
        <f aca="true">IF(E395="","",IF(OR(COUNTIFS(Clients!$C$2:$C$501,E395,Clients!$S$2:$S$501,"Paid")&gt;0,AND(I395&lt;&gt;"",COUNTIFS(Clients!$E$2:$E$501,I395,Clients!$S$2:$S$501,"Paid")&gt;0)),"⚠ Refunded before – no free video",IF(OR(AA395="Contract signed + paid",AA395="Closed – No response",AA395="Lost"),"",IF(AA395="","Set a stage",IF(AND(AA395="Proposal sent",COUNTA(Q395:V395)&lt;6),"Score this lead – proposal sent unscored",IF(N(AC395)&gt;=Settings!$S$3,"Close – 4 follow-ups sent",IF(AD395="",IF(AB395="","Make first contact",""),IF(TODAY()&gt;AD395,"OVERDUE follow-up",IF(TODAY()=AD395,"Follow up today","")))))))))</f>
        <v/>
      </c>
    </row>
    <row r="396" customFormat="false" ht="15" hidden="false" customHeight="false" outlineLevel="0" collapsed="false">
      <c r="A396" s="17"/>
      <c r="B396" s="40"/>
      <c r="C396" s="41"/>
      <c r="D396" s="17"/>
      <c r="E396" s="17"/>
      <c r="F396" s="17"/>
      <c r="G396" s="17"/>
      <c r="H396" s="17"/>
      <c r="I396" s="42"/>
      <c r="J396" s="17"/>
      <c r="K396" s="17"/>
      <c r="L396" s="17"/>
      <c r="M396" s="17"/>
      <c r="N396" s="40"/>
      <c r="O396" s="41"/>
      <c r="P396" s="43" t="str">
        <f aca="false">IF(OR(B396="",N396=""),"",ROUND(((N396+N(O396))-(B396+N(C396)))*24,1))</f>
        <v/>
      </c>
      <c r="Q396" s="17"/>
      <c r="R396" s="17"/>
      <c r="S396" s="17"/>
      <c r="T396" s="17"/>
      <c r="U396" s="17"/>
      <c r="V396" s="17"/>
      <c r="W396" s="44" t="str">
        <f aca="false">IF(OR(E396="",COUNTA(Q396:V396)=0),"",SUMIFS(Settings!$AA$2:$AA$21,Settings!$Y$2:$Y$21,"Budget AED 5k+/mo?",Settings!$Z$2:$Z$21,Q396)+SUMIFS(Settings!$AA$2:$AA$21,Settings!$Y$2:$Y$21,"Decision-maker?",Settings!$Z$2:$Z$21,R396)+SUMIFS(Settings!$AA$2:$AA$21,Settings!$Y$2:$Y$21,"Someone on camera?",Settings!$Z$2:$Z$21,S396)+SUMIFS(Settings!$AA$2:$AA$21,Settings!$Y$2:$Y$21,"OK with 3-month term?",Settings!$Z$2:$Z$21,T396)+SUMIFS(Settings!$AA$2:$AA$21,Settings!$Y$2:$Y$21,"Start timeline",Settings!$Z$2:$Z$21,U396)+SUMIFS(Settings!$AA$2:$AA$21,Settings!$Y$2:$Y$21,"Social media gap",Settings!$Z$2:$Z$21,V396)+IF(F396="",0,IF(COUNTIF(Settings!$AC$2:$AC$6,F396)&gt;0,Settings!$AA$20,Settings!$AA$21)))</f>
        <v/>
      </c>
      <c r="X396" s="44" t="str">
        <f aca="false">IF(E396="","",IF(COUNTA(Q396:V396)=0,"Not scored",IF(COUNTA(Q396:V396)&lt;6,"Partly scored ("&amp;COUNTA(Q396:V396)&amp;"/6)",IF(W396&gt;=Settings!$S$8,"Hot",IF(W396&gt;=Settings!$S$9,"Warm","Cold")))))</f>
        <v/>
      </c>
      <c r="Y396" s="44" t="str">
        <f aca="false">IF(E396="","",IF(AND(Q396="No",S396="No"),"🚩 Budget  ·  🚩 No one on camera",IF(Q396="No","🚩 Budget under AED 5k",IF(S396="No","🚩 No one on camera",""))))</f>
        <v/>
      </c>
      <c r="Z396" s="17"/>
      <c r="AA396" s="17"/>
      <c r="AB396" s="40"/>
      <c r="AC396" s="17"/>
      <c r="AD396" s="45" t="str">
        <f aca="false">IF(OR(E396="",AB396="",OR(AA396="Contract signed + paid",AA396="Closed – No response",AA396="Lost"),N(AC396)&gt;=Settings!$S$3),"",AB396+Settings!$S$2)</f>
        <v/>
      </c>
      <c r="AE396" s="40"/>
      <c r="AF396" s="41"/>
      <c r="AG396" s="17"/>
      <c r="AH396" s="17"/>
      <c r="AI396" s="17"/>
      <c r="AJ396" s="46" t="str">
        <f aca="true">IF(OR(E396="",B396=""),"",INT(TODAY()-B396))</f>
        <v/>
      </c>
      <c r="AK396" s="44" t="str">
        <f aca="true">IF(E396="","",IF(OR(COUNTIFS(Clients!$C$2:$C$501,E396,Clients!$S$2:$S$501,"Paid")&gt;0,AND(I396&lt;&gt;"",COUNTIFS(Clients!$E$2:$E$501,I396,Clients!$S$2:$S$501,"Paid")&gt;0)),"⚠ Refunded before – no free video",IF(OR(AA396="Contract signed + paid",AA396="Closed – No response",AA396="Lost"),"",IF(AA396="","Set a stage",IF(AND(AA396="Proposal sent",COUNTA(Q396:V396)&lt;6),"Score this lead – proposal sent unscored",IF(N(AC396)&gt;=Settings!$S$3,"Close – 4 follow-ups sent",IF(AD396="",IF(AB396="","Make first contact",""),IF(TODAY()&gt;AD396,"OVERDUE follow-up",IF(TODAY()=AD396,"Follow up today","")))))))))</f>
        <v/>
      </c>
    </row>
    <row r="397" customFormat="false" ht="15" hidden="false" customHeight="false" outlineLevel="0" collapsed="false">
      <c r="A397" s="17"/>
      <c r="B397" s="40"/>
      <c r="C397" s="41"/>
      <c r="D397" s="17"/>
      <c r="E397" s="17"/>
      <c r="F397" s="17"/>
      <c r="G397" s="17"/>
      <c r="H397" s="17"/>
      <c r="I397" s="42"/>
      <c r="J397" s="17"/>
      <c r="K397" s="17"/>
      <c r="L397" s="17"/>
      <c r="M397" s="17"/>
      <c r="N397" s="40"/>
      <c r="O397" s="41"/>
      <c r="P397" s="43" t="str">
        <f aca="false">IF(OR(B397="",N397=""),"",ROUND(((N397+N(O397))-(B397+N(C397)))*24,1))</f>
        <v/>
      </c>
      <c r="Q397" s="17"/>
      <c r="R397" s="17"/>
      <c r="S397" s="17"/>
      <c r="T397" s="17"/>
      <c r="U397" s="17"/>
      <c r="V397" s="17"/>
      <c r="W397" s="44" t="str">
        <f aca="false">IF(OR(E397="",COUNTA(Q397:V397)=0),"",SUMIFS(Settings!$AA$2:$AA$21,Settings!$Y$2:$Y$21,"Budget AED 5k+/mo?",Settings!$Z$2:$Z$21,Q397)+SUMIFS(Settings!$AA$2:$AA$21,Settings!$Y$2:$Y$21,"Decision-maker?",Settings!$Z$2:$Z$21,R397)+SUMIFS(Settings!$AA$2:$AA$21,Settings!$Y$2:$Y$21,"Someone on camera?",Settings!$Z$2:$Z$21,S397)+SUMIFS(Settings!$AA$2:$AA$21,Settings!$Y$2:$Y$21,"OK with 3-month term?",Settings!$Z$2:$Z$21,T397)+SUMIFS(Settings!$AA$2:$AA$21,Settings!$Y$2:$Y$21,"Start timeline",Settings!$Z$2:$Z$21,U397)+SUMIFS(Settings!$AA$2:$AA$21,Settings!$Y$2:$Y$21,"Social media gap",Settings!$Z$2:$Z$21,V397)+IF(F397="",0,IF(COUNTIF(Settings!$AC$2:$AC$6,F397)&gt;0,Settings!$AA$20,Settings!$AA$21)))</f>
        <v/>
      </c>
      <c r="X397" s="44" t="str">
        <f aca="false">IF(E397="","",IF(COUNTA(Q397:V397)=0,"Not scored",IF(COUNTA(Q397:V397)&lt;6,"Partly scored ("&amp;COUNTA(Q397:V397)&amp;"/6)",IF(W397&gt;=Settings!$S$8,"Hot",IF(W397&gt;=Settings!$S$9,"Warm","Cold")))))</f>
        <v/>
      </c>
      <c r="Y397" s="44" t="str">
        <f aca="false">IF(E397="","",IF(AND(Q397="No",S397="No"),"🚩 Budget  ·  🚩 No one on camera",IF(Q397="No","🚩 Budget under AED 5k",IF(S397="No","🚩 No one on camera",""))))</f>
        <v/>
      </c>
      <c r="Z397" s="17"/>
      <c r="AA397" s="17"/>
      <c r="AB397" s="40"/>
      <c r="AC397" s="17"/>
      <c r="AD397" s="45" t="str">
        <f aca="false">IF(OR(E397="",AB397="",OR(AA397="Contract signed + paid",AA397="Closed – No response",AA397="Lost"),N(AC397)&gt;=Settings!$S$3),"",AB397+Settings!$S$2)</f>
        <v/>
      </c>
      <c r="AE397" s="40"/>
      <c r="AF397" s="41"/>
      <c r="AG397" s="17"/>
      <c r="AH397" s="17"/>
      <c r="AI397" s="17"/>
      <c r="AJ397" s="46" t="str">
        <f aca="true">IF(OR(E397="",B397=""),"",INT(TODAY()-B397))</f>
        <v/>
      </c>
      <c r="AK397" s="44" t="str">
        <f aca="true">IF(E397="","",IF(OR(COUNTIFS(Clients!$C$2:$C$501,E397,Clients!$S$2:$S$501,"Paid")&gt;0,AND(I397&lt;&gt;"",COUNTIFS(Clients!$E$2:$E$501,I397,Clients!$S$2:$S$501,"Paid")&gt;0)),"⚠ Refunded before – no free video",IF(OR(AA397="Contract signed + paid",AA397="Closed – No response",AA397="Lost"),"",IF(AA397="","Set a stage",IF(AND(AA397="Proposal sent",COUNTA(Q397:V397)&lt;6),"Score this lead – proposal sent unscored",IF(N(AC397)&gt;=Settings!$S$3,"Close – 4 follow-ups sent",IF(AD397="",IF(AB397="","Make first contact",""),IF(TODAY()&gt;AD397,"OVERDUE follow-up",IF(TODAY()=AD397,"Follow up today","")))))))))</f>
        <v/>
      </c>
    </row>
    <row r="398" customFormat="false" ht="15" hidden="false" customHeight="false" outlineLevel="0" collapsed="false">
      <c r="A398" s="17"/>
      <c r="B398" s="40"/>
      <c r="C398" s="41"/>
      <c r="D398" s="17"/>
      <c r="E398" s="17"/>
      <c r="F398" s="17"/>
      <c r="G398" s="17"/>
      <c r="H398" s="17"/>
      <c r="I398" s="42"/>
      <c r="J398" s="17"/>
      <c r="K398" s="17"/>
      <c r="L398" s="17"/>
      <c r="M398" s="17"/>
      <c r="N398" s="40"/>
      <c r="O398" s="41"/>
      <c r="P398" s="43" t="str">
        <f aca="false">IF(OR(B398="",N398=""),"",ROUND(((N398+N(O398))-(B398+N(C398)))*24,1))</f>
        <v/>
      </c>
      <c r="Q398" s="17"/>
      <c r="R398" s="17"/>
      <c r="S398" s="17"/>
      <c r="T398" s="17"/>
      <c r="U398" s="17"/>
      <c r="V398" s="17"/>
      <c r="W398" s="44" t="str">
        <f aca="false">IF(OR(E398="",COUNTA(Q398:V398)=0),"",SUMIFS(Settings!$AA$2:$AA$21,Settings!$Y$2:$Y$21,"Budget AED 5k+/mo?",Settings!$Z$2:$Z$21,Q398)+SUMIFS(Settings!$AA$2:$AA$21,Settings!$Y$2:$Y$21,"Decision-maker?",Settings!$Z$2:$Z$21,R398)+SUMIFS(Settings!$AA$2:$AA$21,Settings!$Y$2:$Y$21,"Someone on camera?",Settings!$Z$2:$Z$21,S398)+SUMIFS(Settings!$AA$2:$AA$21,Settings!$Y$2:$Y$21,"OK with 3-month term?",Settings!$Z$2:$Z$21,T398)+SUMIFS(Settings!$AA$2:$AA$21,Settings!$Y$2:$Y$21,"Start timeline",Settings!$Z$2:$Z$21,U398)+SUMIFS(Settings!$AA$2:$AA$21,Settings!$Y$2:$Y$21,"Social media gap",Settings!$Z$2:$Z$21,V398)+IF(F398="",0,IF(COUNTIF(Settings!$AC$2:$AC$6,F398)&gt;0,Settings!$AA$20,Settings!$AA$21)))</f>
        <v/>
      </c>
      <c r="X398" s="44" t="str">
        <f aca="false">IF(E398="","",IF(COUNTA(Q398:V398)=0,"Not scored",IF(COUNTA(Q398:V398)&lt;6,"Partly scored ("&amp;COUNTA(Q398:V398)&amp;"/6)",IF(W398&gt;=Settings!$S$8,"Hot",IF(W398&gt;=Settings!$S$9,"Warm","Cold")))))</f>
        <v/>
      </c>
      <c r="Y398" s="44" t="str">
        <f aca="false">IF(E398="","",IF(AND(Q398="No",S398="No"),"🚩 Budget  ·  🚩 No one on camera",IF(Q398="No","🚩 Budget under AED 5k",IF(S398="No","🚩 No one on camera",""))))</f>
        <v/>
      </c>
      <c r="Z398" s="17"/>
      <c r="AA398" s="17"/>
      <c r="AB398" s="40"/>
      <c r="AC398" s="17"/>
      <c r="AD398" s="45" t="str">
        <f aca="false">IF(OR(E398="",AB398="",OR(AA398="Contract signed + paid",AA398="Closed – No response",AA398="Lost"),N(AC398)&gt;=Settings!$S$3),"",AB398+Settings!$S$2)</f>
        <v/>
      </c>
      <c r="AE398" s="40"/>
      <c r="AF398" s="41"/>
      <c r="AG398" s="17"/>
      <c r="AH398" s="17"/>
      <c r="AI398" s="17"/>
      <c r="AJ398" s="46" t="str">
        <f aca="true">IF(OR(E398="",B398=""),"",INT(TODAY()-B398))</f>
        <v/>
      </c>
      <c r="AK398" s="44" t="str">
        <f aca="true">IF(E398="","",IF(OR(COUNTIFS(Clients!$C$2:$C$501,E398,Clients!$S$2:$S$501,"Paid")&gt;0,AND(I398&lt;&gt;"",COUNTIFS(Clients!$E$2:$E$501,I398,Clients!$S$2:$S$501,"Paid")&gt;0)),"⚠ Refunded before – no free video",IF(OR(AA398="Contract signed + paid",AA398="Closed – No response",AA398="Lost"),"",IF(AA398="","Set a stage",IF(AND(AA398="Proposal sent",COUNTA(Q398:V398)&lt;6),"Score this lead – proposal sent unscored",IF(N(AC398)&gt;=Settings!$S$3,"Close – 4 follow-ups sent",IF(AD398="",IF(AB398="","Make first contact",""),IF(TODAY()&gt;AD398,"OVERDUE follow-up",IF(TODAY()=AD398,"Follow up today","")))))))))</f>
        <v/>
      </c>
    </row>
    <row r="399" customFormat="false" ht="15" hidden="false" customHeight="false" outlineLevel="0" collapsed="false">
      <c r="A399" s="17"/>
      <c r="B399" s="40"/>
      <c r="C399" s="41"/>
      <c r="D399" s="17"/>
      <c r="E399" s="17"/>
      <c r="F399" s="17"/>
      <c r="G399" s="17"/>
      <c r="H399" s="17"/>
      <c r="I399" s="42"/>
      <c r="J399" s="17"/>
      <c r="K399" s="17"/>
      <c r="L399" s="17"/>
      <c r="M399" s="17"/>
      <c r="N399" s="40"/>
      <c r="O399" s="41"/>
      <c r="P399" s="43" t="str">
        <f aca="false">IF(OR(B399="",N399=""),"",ROUND(((N399+N(O399))-(B399+N(C399)))*24,1))</f>
        <v/>
      </c>
      <c r="Q399" s="17"/>
      <c r="R399" s="17"/>
      <c r="S399" s="17"/>
      <c r="T399" s="17"/>
      <c r="U399" s="17"/>
      <c r="V399" s="17"/>
      <c r="W399" s="44" t="str">
        <f aca="false">IF(OR(E399="",COUNTA(Q399:V399)=0),"",SUMIFS(Settings!$AA$2:$AA$21,Settings!$Y$2:$Y$21,"Budget AED 5k+/mo?",Settings!$Z$2:$Z$21,Q399)+SUMIFS(Settings!$AA$2:$AA$21,Settings!$Y$2:$Y$21,"Decision-maker?",Settings!$Z$2:$Z$21,R399)+SUMIFS(Settings!$AA$2:$AA$21,Settings!$Y$2:$Y$21,"Someone on camera?",Settings!$Z$2:$Z$21,S399)+SUMIFS(Settings!$AA$2:$AA$21,Settings!$Y$2:$Y$21,"OK with 3-month term?",Settings!$Z$2:$Z$21,T399)+SUMIFS(Settings!$AA$2:$AA$21,Settings!$Y$2:$Y$21,"Start timeline",Settings!$Z$2:$Z$21,U399)+SUMIFS(Settings!$AA$2:$AA$21,Settings!$Y$2:$Y$21,"Social media gap",Settings!$Z$2:$Z$21,V399)+IF(F399="",0,IF(COUNTIF(Settings!$AC$2:$AC$6,F399)&gt;0,Settings!$AA$20,Settings!$AA$21)))</f>
        <v/>
      </c>
      <c r="X399" s="44" t="str">
        <f aca="false">IF(E399="","",IF(COUNTA(Q399:V399)=0,"Not scored",IF(COUNTA(Q399:V399)&lt;6,"Partly scored ("&amp;COUNTA(Q399:V399)&amp;"/6)",IF(W399&gt;=Settings!$S$8,"Hot",IF(W399&gt;=Settings!$S$9,"Warm","Cold")))))</f>
        <v/>
      </c>
      <c r="Y399" s="44" t="str">
        <f aca="false">IF(E399="","",IF(AND(Q399="No",S399="No"),"🚩 Budget  ·  🚩 No one on camera",IF(Q399="No","🚩 Budget under AED 5k",IF(S399="No","🚩 No one on camera",""))))</f>
        <v/>
      </c>
      <c r="Z399" s="17"/>
      <c r="AA399" s="17"/>
      <c r="AB399" s="40"/>
      <c r="AC399" s="17"/>
      <c r="AD399" s="45" t="str">
        <f aca="false">IF(OR(E399="",AB399="",OR(AA399="Contract signed + paid",AA399="Closed – No response",AA399="Lost"),N(AC399)&gt;=Settings!$S$3),"",AB399+Settings!$S$2)</f>
        <v/>
      </c>
      <c r="AE399" s="40"/>
      <c r="AF399" s="41"/>
      <c r="AG399" s="17"/>
      <c r="AH399" s="17"/>
      <c r="AI399" s="17"/>
      <c r="AJ399" s="46" t="str">
        <f aca="true">IF(OR(E399="",B399=""),"",INT(TODAY()-B399))</f>
        <v/>
      </c>
      <c r="AK399" s="44" t="str">
        <f aca="true">IF(E399="","",IF(OR(COUNTIFS(Clients!$C$2:$C$501,E399,Clients!$S$2:$S$501,"Paid")&gt;0,AND(I399&lt;&gt;"",COUNTIFS(Clients!$E$2:$E$501,I399,Clients!$S$2:$S$501,"Paid")&gt;0)),"⚠ Refunded before – no free video",IF(OR(AA399="Contract signed + paid",AA399="Closed – No response",AA399="Lost"),"",IF(AA399="","Set a stage",IF(AND(AA399="Proposal sent",COUNTA(Q399:V399)&lt;6),"Score this lead – proposal sent unscored",IF(N(AC399)&gt;=Settings!$S$3,"Close – 4 follow-ups sent",IF(AD399="",IF(AB399="","Make first contact",""),IF(TODAY()&gt;AD399,"OVERDUE follow-up",IF(TODAY()=AD399,"Follow up today","")))))))))</f>
        <v/>
      </c>
    </row>
    <row r="400" customFormat="false" ht="15" hidden="false" customHeight="false" outlineLevel="0" collapsed="false">
      <c r="A400" s="17"/>
      <c r="B400" s="40"/>
      <c r="C400" s="41"/>
      <c r="D400" s="17"/>
      <c r="E400" s="17"/>
      <c r="F400" s="17"/>
      <c r="G400" s="17"/>
      <c r="H400" s="17"/>
      <c r="I400" s="42"/>
      <c r="J400" s="17"/>
      <c r="K400" s="17"/>
      <c r="L400" s="17"/>
      <c r="M400" s="17"/>
      <c r="N400" s="40"/>
      <c r="O400" s="41"/>
      <c r="P400" s="43" t="str">
        <f aca="false">IF(OR(B400="",N400=""),"",ROUND(((N400+N(O400))-(B400+N(C400)))*24,1))</f>
        <v/>
      </c>
      <c r="Q400" s="17"/>
      <c r="R400" s="17"/>
      <c r="S400" s="17"/>
      <c r="T400" s="17"/>
      <c r="U400" s="17"/>
      <c r="V400" s="17"/>
      <c r="W400" s="44" t="str">
        <f aca="false">IF(OR(E400="",COUNTA(Q400:V400)=0),"",SUMIFS(Settings!$AA$2:$AA$21,Settings!$Y$2:$Y$21,"Budget AED 5k+/mo?",Settings!$Z$2:$Z$21,Q400)+SUMIFS(Settings!$AA$2:$AA$21,Settings!$Y$2:$Y$21,"Decision-maker?",Settings!$Z$2:$Z$21,R400)+SUMIFS(Settings!$AA$2:$AA$21,Settings!$Y$2:$Y$21,"Someone on camera?",Settings!$Z$2:$Z$21,S400)+SUMIFS(Settings!$AA$2:$AA$21,Settings!$Y$2:$Y$21,"OK with 3-month term?",Settings!$Z$2:$Z$21,T400)+SUMIFS(Settings!$AA$2:$AA$21,Settings!$Y$2:$Y$21,"Start timeline",Settings!$Z$2:$Z$21,U400)+SUMIFS(Settings!$AA$2:$AA$21,Settings!$Y$2:$Y$21,"Social media gap",Settings!$Z$2:$Z$21,V400)+IF(F400="",0,IF(COUNTIF(Settings!$AC$2:$AC$6,F400)&gt;0,Settings!$AA$20,Settings!$AA$21)))</f>
        <v/>
      </c>
      <c r="X400" s="44" t="str">
        <f aca="false">IF(E400="","",IF(COUNTA(Q400:V400)=0,"Not scored",IF(COUNTA(Q400:V400)&lt;6,"Partly scored ("&amp;COUNTA(Q400:V400)&amp;"/6)",IF(W400&gt;=Settings!$S$8,"Hot",IF(W400&gt;=Settings!$S$9,"Warm","Cold")))))</f>
        <v/>
      </c>
      <c r="Y400" s="44" t="str">
        <f aca="false">IF(E400="","",IF(AND(Q400="No",S400="No"),"🚩 Budget  ·  🚩 No one on camera",IF(Q400="No","🚩 Budget under AED 5k",IF(S400="No","🚩 No one on camera",""))))</f>
        <v/>
      </c>
      <c r="Z400" s="17"/>
      <c r="AA400" s="17"/>
      <c r="AB400" s="40"/>
      <c r="AC400" s="17"/>
      <c r="AD400" s="45" t="str">
        <f aca="false">IF(OR(E400="",AB400="",OR(AA400="Contract signed + paid",AA400="Closed – No response",AA400="Lost"),N(AC400)&gt;=Settings!$S$3),"",AB400+Settings!$S$2)</f>
        <v/>
      </c>
      <c r="AE400" s="40"/>
      <c r="AF400" s="41"/>
      <c r="AG400" s="17"/>
      <c r="AH400" s="17"/>
      <c r="AI400" s="17"/>
      <c r="AJ400" s="46" t="str">
        <f aca="true">IF(OR(E400="",B400=""),"",INT(TODAY()-B400))</f>
        <v/>
      </c>
      <c r="AK400" s="44" t="str">
        <f aca="true">IF(E400="","",IF(OR(COUNTIFS(Clients!$C$2:$C$501,E400,Clients!$S$2:$S$501,"Paid")&gt;0,AND(I400&lt;&gt;"",COUNTIFS(Clients!$E$2:$E$501,I400,Clients!$S$2:$S$501,"Paid")&gt;0)),"⚠ Refunded before – no free video",IF(OR(AA400="Contract signed + paid",AA400="Closed – No response",AA400="Lost"),"",IF(AA400="","Set a stage",IF(AND(AA400="Proposal sent",COUNTA(Q400:V400)&lt;6),"Score this lead – proposal sent unscored",IF(N(AC400)&gt;=Settings!$S$3,"Close – 4 follow-ups sent",IF(AD400="",IF(AB400="","Make first contact",""),IF(TODAY()&gt;AD400,"OVERDUE follow-up",IF(TODAY()=AD400,"Follow up today","")))))))))</f>
        <v/>
      </c>
    </row>
    <row r="401" customFormat="false" ht="15" hidden="false" customHeight="false" outlineLevel="0" collapsed="false">
      <c r="A401" s="17"/>
      <c r="B401" s="40"/>
      <c r="C401" s="41"/>
      <c r="D401" s="17"/>
      <c r="E401" s="17"/>
      <c r="F401" s="17"/>
      <c r="G401" s="17"/>
      <c r="H401" s="17"/>
      <c r="I401" s="42"/>
      <c r="J401" s="17"/>
      <c r="K401" s="17"/>
      <c r="L401" s="17"/>
      <c r="M401" s="17"/>
      <c r="N401" s="40"/>
      <c r="O401" s="41"/>
      <c r="P401" s="43" t="str">
        <f aca="false">IF(OR(B401="",N401=""),"",ROUND(((N401+N(O401))-(B401+N(C401)))*24,1))</f>
        <v/>
      </c>
      <c r="Q401" s="17"/>
      <c r="R401" s="17"/>
      <c r="S401" s="17"/>
      <c r="T401" s="17"/>
      <c r="U401" s="17"/>
      <c r="V401" s="17"/>
      <c r="W401" s="44" t="str">
        <f aca="false">IF(OR(E401="",COUNTA(Q401:V401)=0),"",SUMIFS(Settings!$AA$2:$AA$21,Settings!$Y$2:$Y$21,"Budget AED 5k+/mo?",Settings!$Z$2:$Z$21,Q401)+SUMIFS(Settings!$AA$2:$AA$21,Settings!$Y$2:$Y$21,"Decision-maker?",Settings!$Z$2:$Z$21,R401)+SUMIFS(Settings!$AA$2:$AA$21,Settings!$Y$2:$Y$21,"Someone on camera?",Settings!$Z$2:$Z$21,S401)+SUMIFS(Settings!$AA$2:$AA$21,Settings!$Y$2:$Y$21,"OK with 3-month term?",Settings!$Z$2:$Z$21,T401)+SUMIFS(Settings!$AA$2:$AA$21,Settings!$Y$2:$Y$21,"Start timeline",Settings!$Z$2:$Z$21,U401)+SUMIFS(Settings!$AA$2:$AA$21,Settings!$Y$2:$Y$21,"Social media gap",Settings!$Z$2:$Z$21,V401)+IF(F401="",0,IF(COUNTIF(Settings!$AC$2:$AC$6,F401)&gt;0,Settings!$AA$20,Settings!$AA$21)))</f>
        <v/>
      </c>
      <c r="X401" s="44" t="str">
        <f aca="false">IF(E401="","",IF(COUNTA(Q401:V401)=0,"Not scored",IF(COUNTA(Q401:V401)&lt;6,"Partly scored ("&amp;COUNTA(Q401:V401)&amp;"/6)",IF(W401&gt;=Settings!$S$8,"Hot",IF(W401&gt;=Settings!$S$9,"Warm","Cold")))))</f>
        <v/>
      </c>
      <c r="Y401" s="44" t="str">
        <f aca="false">IF(E401="","",IF(AND(Q401="No",S401="No"),"🚩 Budget  ·  🚩 No one on camera",IF(Q401="No","🚩 Budget under AED 5k",IF(S401="No","🚩 No one on camera",""))))</f>
        <v/>
      </c>
      <c r="Z401" s="17"/>
      <c r="AA401" s="17"/>
      <c r="AB401" s="40"/>
      <c r="AC401" s="17"/>
      <c r="AD401" s="45" t="str">
        <f aca="false">IF(OR(E401="",AB401="",OR(AA401="Contract signed + paid",AA401="Closed – No response",AA401="Lost"),N(AC401)&gt;=Settings!$S$3),"",AB401+Settings!$S$2)</f>
        <v/>
      </c>
      <c r="AE401" s="40"/>
      <c r="AF401" s="41"/>
      <c r="AG401" s="17"/>
      <c r="AH401" s="17"/>
      <c r="AI401" s="17"/>
      <c r="AJ401" s="46" t="str">
        <f aca="true">IF(OR(E401="",B401=""),"",INT(TODAY()-B401))</f>
        <v/>
      </c>
      <c r="AK401" s="44" t="str">
        <f aca="true">IF(E401="","",IF(OR(COUNTIFS(Clients!$C$2:$C$501,E401,Clients!$S$2:$S$501,"Paid")&gt;0,AND(I401&lt;&gt;"",COUNTIFS(Clients!$E$2:$E$501,I401,Clients!$S$2:$S$501,"Paid")&gt;0)),"⚠ Refunded before – no free video",IF(OR(AA401="Contract signed + paid",AA401="Closed – No response",AA401="Lost"),"",IF(AA401="","Set a stage",IF(AND(AA401="Proposal sent",COUNTA(Q401:V401)&lt;6),"Score this lead – proposal sent unscored",IF(N(AC401)&gt;=Settings!$S$3,"Close – 4 follow-ups sent",IF(AD401="",IF(AB401="","Make first contact",""),IF(TODAY()&gt;AD401,"OVERDUE follow-up",IF(TODAY()=AD401,"Follow up today","")))))))))</f>
        <v/>
      </c>
    </row>
    <row r="402" customFormat="false" ht="15" hidden="false" customHeight="false" outlineLevel="0" collapsed="false">
      <c r="A402" s="17"/>
      <c r="B402" s="40"/>
      <c r="C402" s="41"/>
      <c r="D402" s="17"/>
      <c r="E402" s="17"/>
      <c r="F402" s="17"/>
      <c r="G402" s="17"/>
      <c r="H402" s="17"/>
      <c r="I402" s="42"/>
      <c r="J402" s="17"/>
      <c r="K402" s="17"/>
      <c r="L402" s="17"/>
      <c r="M402" s="17"/>
      <c r="N402" s="40"/>
      <c r="O402" s="41"/>
      <c r="P402" s="43" t="str">
        <f aca="false">IF(OR(B402="",N402=""),"",ROUND(((N402+N(O402))-(B402+N(C402)))*24,1))</f>
        <v/>
      </c>
      <c r="Q402" s="17"/>
      <c r="R402" s="17"/>
      <c r="S402" s="17"/>
      <c r="T402" s="17"/>
      <c r="U402" s="17"/>
      <c r="V402" s="17"/>
      <c r="W402" s="44" t="str">
        <f aca="false">IF(OR(E402="",COUNTA(Q402:V402)=0),"",SUMIFS(Settings!$AA$2:$AA$21,Settings!$Y$2:$Y$21,"Budget AED 5k+/mo?",Settings!$Z$2:$Z$21,Q402)+SUMIFS(Settings!$AA$2:$AA$21,Settings!$Y$2:$Y$21,"Decision-maker?",Settings!$Z$2:$Z$21,R402)+SUMIFS(Settings!$AA$2:$AA$21,Settings!$Y$2:$Y$21,"Someone on camera?",Settings!$Z$2:$Z$21,S402)+SUMIFS(Settings!$AA$2:$AA$21,Settings!$Y$2:$Y$21,"OK with 3-month term?",Settings!$Z$2:$Z$21,T402)+SUMIFS(Settings!$AA$2:$AA$21,Settings!$Y$2:$Y$21,"Start timeline",Settings!$Z$2:$Z$21,U402)+SUMIFS(Settings!$AA$2:$AA$21,Settings!$Y$2:$Y$21,"Social media gap",Settings!$Z$2:$Z$21,V402)+IF(F402="",0,IF(COUNTIF(Settings!$AC$2:$AC$6,F402)&gt;0,Settings!$AA$20,Settings!$AA$21)))</f>
        <v/>
      </c>
      <c r="X402" s="44" t="str">
        <f aca="false">IF(E402="","",IF(COUNTA(Q402:V402)=0,"Not scored",IF(COUNTA(Q402:V402)&lt;6,"Partly scored ("&amp;COUNTA(Q402:V402)&amp;"/6)",IF(W402&gt;=Settings!$S$8,"Hot",IF(W402&gt;=Settings!$S$9,"Warm","Cold")))))</f>
        <v/>
      </c>
      <c r="Y402" s="44" t="str">
        <f aca="false">IF(E402="","",IF(AND(Q402="No",S402="No"),"🚩 Budget  ·  🚩 No one on camera",IF(Q402="No","🚩 Budget under AED 5k",IF(S402="No","🚩 No one on camera",""))))</f>
        <v/>
      </c>
      <c r="Z402" s="17"/>
      <c r="AA402" s="17"/>
      <c r="AB402" s="40"/>
      <c r="AC402" s="17"/>
      <c r="AD402" s="45" t="str">
        <f aca="false">IF(OR(E402="",AB402="",OR(AA402="Contract signed + paid",AA402="Closed – No response",AA402="Lost"),N(AC402)&gt;=Settings!$S$3),"",AB402+Settings!$S$2)</f>
        <v/>
      </c>
      <c r="AE402" s="40"/>
      <c r="AF402" s="41"/>
      <c r="AG402" s="17"/>
      <c r="AH402" s="17"/>
      <c r="AI402" s="17"/>
      <c r="AJ402" s="46" t="str">
        <f aca="true">IF(OR(E402="",B402=""),"",INT(TODAY()-B402))</f>
        <v/>
      </c>
      <c r="AK402" s="44" t="str">
        <f aca="true">IF(E402="","",IF(OR(COUNTIFS(Clients!$C$2:$C$501,E402,Clients!$S$2:$S$501,"Paid")&gt;0,AND(I402&lt;&gt;"",COUNTIFS(Clients!$E$2:$E$501,I402,Clients!$S$2:$S$501,"Paid")&gt;0)),"⚠ Refunded before – no free video",IF(OR(AA402="Contract signed + paid",AA402="Closed – No response",AA402="Lost"),"",IF(AA402="","Set a stage",IF(AND(AA402="Proposal sent",COUNTA(Q402:V402)&lt;6),"Score this lead – proposal sent unscored",IF(N(AC402)&gt;=Settings!$S$3,"Close – 4 follow-ups sent",IF(AD402="",IF(AB402="","Make first contact",""),IF(TODAY()&gt;AD402,"OVERDUE follow-up",IF(TODAY()=AD402,"Follow up today","")))))))))</f>
        <v/>
      </c>
    </row>
    <row r="403" customFormat="false" ht="15" hidden="false" customHeight="false" outlineLevel="0" collapsed="false">
      <c r="A403" s="17"/>
      <c r="B403" s="40"/>
      <c r="C403" s="41"/>
      <c r="D403" s="17"/>
      <c r="E403" s="17"/>
      <c r="F403" s="17"/>
      <c r="G403" s="17"/>
      <c r="H403" s="17"/>
      <c r="I403" s="42"/>
      <c r="J403" s="17"/>
      <c r="K403" s="17"/>
      <c r="L403" s="17"/>
      <c r="M403" s="17"/>
      <c r="N403" s="40"/>
      <c r="O403" s="41"/>
      <c r="P403" s="43" t="str">
        <f aca="false">IF(OR(B403="",N403=""),"",ROUND(((N403+N(O403))-(B403+N(C403)))*24,1))</f>
        <v/>
      </c>
      <c r="Q403" s="17"/>
      <c r="R403" s="17"/>
      <c r="S403" s="17"/>
      <c r="T403" s="17"/>
      <c r="U403" s="17"/>
      <c r="V403" s="17"/>
      <c r="W403" s="44" t="str">
        <f aca="false">IF(OR(E403="",COUNTA(Q403:V403)=0),"",SUMIFS(Settings!$AA$2:$AA$21,Settings!$Y$2:$Y$21,"Budget AED 5k+/mo?",Settings!$Z$2:$Z$21,Q403)+SUMIFS(Settings!$AA$2:$AA$21,Settings!$Y$2:$Y$21,"Decision-maker?",Settings!$Z$2:$Z$21,R403)+SUMIFS(Settings!$AA$2:$AA$21,Settings!$Y$2:$Y$21,"Someone on camera?",Settings!$Z$2:$Z$21,S403)+SUMIFS(Settings!$AA$2:$AA$21,Settings!$Y$2:$Y$21,"OK with 3-month term?",Settings!$Z$2:$Z$21,T403)+SUMIFS(Settings!$AA$2:$AA$21,Settings!$Y$2:$Y$21,"Start timeline",Settings!$Z$2:$Z$21,U403)+SUMIFS(Settings!$AA$2:$AA$21,Settings!$Y$2:$Y$21,"Social media gap",Settings!$Z$2:$Z$21,V403)+IF(F403="",0,IF(COUNTIF(Settings!$AC$2:$AC$6,F403)&gt;0,Settings!$AA$20,Settings!$AA$21)))</f>
        <v/>
      </c>
      <c r="X403" s="44" t="str">
        <f aca="false">IF(E403="","",IF(COUNTA(Q403:V403)=0,"Not scored",IF(COUNTA(Q403:V403)&lt;6,"Partly scored ("&amp;COUNTA(Q403:V403)&amp;"/6)",IF(W403&gt;=Settings!$S$8,"Hot",IF(W403&gt;=Settings!$S$9,"Warm","Cold")))))</f>
        <v/>
      </c>
      <c r="Y403" s="44" t="str">
        <f aca="false">IF(E403="","",IF(AND(Q403="No",S403="No"),"🚩 Budget  ·  🚩 No one on camera",IF(Q403="No","🚩 Budget under AED 5k",IF(S403="No","🚩 No one on camera",""))))</f>
        <v/>
      </c>
      <c r="Z403" s="17"/>
      <c r="AA403" s="17"/>
      <c r="AB403" s="40"/>
      <c r="AC403" s="17"/>
      <c r="AD403" s="45" t="str">
        <f aca="false">IF(OR(E403="",AB403="",OR(AA403="Contract signed + paid",AA403="Closed – No response",AA403="Lost"),N(AC403)&gt;=Settings!$S$3),"",AB403+Settings!$S$2)</f>
        <v/>
      </c>
      <c r="AE403" s="40"/>
      <c r="AF403" s="41"/>
      <c r="AG403" s="17"/>
      <c r="AH403" s="17"/>
      <c r="AI403" s="17"/>
      <c r="AJ403" s="46" t="str">
        <f aca="true">IF(OR(E403="",B403=""),"",INT(TODAY()-B403))</f>
        <v/>
      </c>
      <c r="AK403" s="44" t="str">
        <f aca="true">IF(E403="","",IF(OR(COUNTIFS(Clients!$C$2:$C$501,E403,Clients!$S$2:$S$501,"Paid")&gt;0,AND(I403&lt;&gt;"",COUNTIFS(Clients!$E$2:$E$501,I403,Clients!$S$2:$S$501,"Paid")&gt;0)),"⚠ Refunded before – no free video",IF(OR(AA403="Contract signed + paid",AA403="Closed – No response",AA403="Lost"),"",IF(AA403="","Set a stage",IF(AND(AA403="Proposal sent",COUNTA(Q403:V403)&lt;6),"Score this lead – proposal sent unscored",IF(N(AC403)&gt;=Settings!$S$3,"Close – 4 follow-ups sent",IF(AD403="",IF(AB403="","Make first contact",""),IF(TODAY()&gt;AD403,"OVERDUE follow-up",IF(TODAY()=AD403,"Follow up today","")))))))))</f>
        <v/>
      </c>
    </row>
    <row r="404" customFormat="false" ht="15" hidden="false" customHeight="false" outlineLevel="0" collapsed="false">
      <c r="A404" s="17"/>
      <c r="B404" s="40"/>
      <c r="C404" s="41"/>
      <c r="D404" s="17"/>
      <c r="E404" s="17"/>
      <c r="F404" s="17"/>
      <c r="G404" s="17"/>
      <c r="H404" s="17"/>
      <c r="I404" s="42"/>
      <c r="J404" s="17"/>
      <c r="K404" s="17"/>
      <c r="L404" s="17"/>
      <c r="M404" s="17"/>
      <c r="N404" s="40"/>
      <c r="O404" s="41"/>
      <c r="P404" s="43" t="str">
        <f aca="false">IF(OR(B404="",N404=""),"",ROUND(((N404+N(O404))-(B404+N(C404)))*24,1))</f>
        <v/>
      </c>
      <c r="Q404" s="17"/>
      <c r="R404" s="17"/>
      <c r="S404" s="17"/>
      <c r="T404" s="17"/>
      <c r="U404" s="17"/>
      <c r="V404" s="17"/>
      <c r="W404" s="44" t="str">
        <f aca="false">IF(OR(E404="",COUNTA(Q404:V404)=0),"",SUMIFS(Settings!$AA$2:$AA$21,Settings!$Y$2:$Y$21,"Budget AED 5k+/mo?",Settings!$Z$2:$Z$21,Q404)+SUMIFS(Settings!$AA$2:$AA$21,Settings!$Y$2:$Y$21,"Decision-maker?",Settings!$Z$2:$Z$21,R404)+SUMIFS(Settings!$AA$2:$AA$21,Settings!$Y$2:$Y$21,"Someone on camera?",Settings!$Z$2:$Z$21,S404)+SUMIFS(Settings!$AA$2:$AA$21,Settings!$Y$2:$Y$21,"OK with 3-month term?",Settings!$Z$2:$Z$21,T404)+SUMIFS(Settings!$AA$2:$AA$21,Settings!$Y$2:$Y$21,"Start timeline",Settings!$Z$2:$Z$21,U404)+SUMIFS(Settings!$AA$2:$AA$21,Settings!$Y$2:$Y$21,"Social media gap",Settings!$Z$2:$Z$21,V404)+IF(F404="",0,IF(COUNTIF(Settings!$AC$2:$AC$6,F404)&gt;0,Settings!$AA$20,Settings!$AA$21)))</f>
        <v/>
      </c>
      <c r="X404" s="44" t="str">
        <f aca="false">IF(E404="","",IF(COUNTA(Q404:V404)=0,"Not scored",IF(COUNTA(Q404:V404)&lt;6,"Partly scored ("&amp;COUNTA(Q404:V404)&amp;"/6)",IF(W404&gt;=Settings!$S$8,"Hot",IF(W404&gt;=Settings!$S$9,"Warm","Cold")))))</f>
        <v/>
      </c>
      <c r="Y404" s="44" t="str">
        <f aca="false">IF(E404="","",IF(AND(Q404="No",S404="No"),"🚩 Budget  ·  🚩 No one on camera",IF(Q404="No","🚩 Budget under AED 5k",IF(S404="No","🚩 No one on camera",""))))</f>
        <v/>
      </c>
      <c r="Z404" s="17"/>
      <c r="AA404" s="17"/>
      <c r="AB404" s="40"/>
      <c r="AC404" s="17"/>
      <c r="AD404" s="45" t="str">
        <f aca="false">IF(OR(E404="",AB404="",OR(AA404="Contract signed + paid",AA404="Closed – No response",AA404="Lost"),N(AC404)&gt;=Settings!$S$3),"",AB404+Settings!$S$2)</f>
        <v/>
      </c>
      <c r="AE404" s="40"/>
      <c r="AF404" s="41"/>
      <c r="AG404" s="17"/>
      <c r="AH404" s="17"/>
      <c r="AI404" s="17"/>
      <c r="AJ404" s="46" t="str">
        <f aca="true">IF(OR(E404="",B404=""),"",INT(TODAY()-B404))</f>
        <v/>
      </c>
      <c r="AK404" s="44" t="str">
        <f aca="true">IF(E404="","",IF(OR(COUNTIFS(Clients!$C$2:$C$501,E404,Clients!$S$2:$S$501,"Paid")&gt;0,AND(I404&lt;&gt;"",COUNTIFS(Clients!$E$2:$E$501,I404,Clients!$S$2:$S$501,"Paid")&gt;0)),"⚠ Refunded before – no free video",IF(OR(AA404="Contract signed + paid",AA404="Closed – No response",AA404="Lost"),"",IF(AA404="","Set a stage",IF(AND(AA404="Proposal sent",COUNTA(Q404:V404)&lt;6),"Score this lead – proposal sent unscored",IF(N(AC404)&gt;=Settings!$S$3,"Close – 4 follow-ups sent",IF(AD404="",IF(AB404="","Make first contact",""),IF(TODAY()&gt;AD404,"OVERDUE follow-up",IF(TODAY()=AD404,"Follow up today","")))))))))</f>
        <v/>
      </c>
    </row>
    <row r="405" customFormat="false" ht="15" hidden="false" customHeight="false" outlineLevel="0" collapsed="false">
      <c r="A405" s="17"/>
      <c r="B405" s="40"/>
      <c r="C405" s="41"/>
      <c r="D405" s="17"/>
      <c r="E405" s="17"/>
      <c r="F405" s="17"/>
      <c r="G405" s="17"/>
      <c r="H405" s="17"/>
      <c r="I405" s="42"/>
      <c r="J405" s="17"/>
      <c r="K405" s="17"/>
      <c r="L405" s="17"/>
      <c r="M405" s="17"/>
      <c r="N405" s="40"/>
      <c r="O405" s="41"/>
      <c r="P405" s="43" t="str">
        <f aca="false">IF(OR(B405="",N405=""),"",ROUND(((N405+N(O405))-(B405+N(C405)))*24,1))</f>
        <v/>
      </c>
      <c r="Q405" s="17"/>
      <c r="R405" s="17"/>
      <c r="S405" s="17"/>
      <c r="T405" s="17"/>
      <c r="U405" s="17"/>
      <c r="V405" s="17"/>
      <c r="W405" s="44" t="str">
        <f aca="false">IF(OR(E405="",COUNTA(Q405:V405)=0),"",SUMIFS(Settings!$AA$2:$AA$21,Settings!$Y$2:$Y$21,"Budget AED 5k+/mo?",Settings!$Z$2:$Z$21,Q405)+SUMIFS(Settings!$AA$2:$AA$21,Settings!$Y$2:$Y$21,"Decision-maker?",Settings!$Z$2:$Z$21,R405)+SUMIFS(Settings!$AA$2:$AA$21,Settings!$Y$2:$Y$21,"Someone on camera?",Settings!$Z$2:$Z$21,S405)+SUMIFS(Settings!$AA$2:$AA$21,Settings!$Y$2:$Y$21,"OK with 3-month term?",Settings!$Z$2:$Z$21,T405)+SUMIFS(Settings!$AA$2:$AA$21,Settings!$Y$2:$Y$21,"Start timeline",Settings!$Z$2:$Z$21,U405)+SUMIFS(Settings!$AA$2:$AA$21,Settings!$Y$2:$Y$21,"Social media gap",Settings!$Z$2:$Z$21,V405)+IF(F405="",0,IF(COUNTIF(Settings!$AC$2:$AC$6,F405)&gt;0,Settings!$AA$20,Settings!$AA$21)))</f>
        <v/>
      </c>
      <c r="X405" s="44" t="str">
        <f aca="false">IF(E405="","",IF(COUNTA(Q405:V405)=0,"Not scored",IF(COUNTA(Q405:V405)&lt;6,"Partly scored ("&amp;COUNTA(Q405:V405)&amp;"/6)",IF(W405&gt;=Settings!$S$8,"Hot",IF(W405&gt;=Settings!$S$9,"Warm","Cold")))))</f>
        <v/>
      </c>
      <c r="Y405" s="44" t="str">
        <f aca="false">IF(E405="","",IF(AND(Q405="No",S405="No"),"🚩 Budget  ·  🚩 No one on camera",IF(Q405="No","🚩 Budget under AED 5k",IF(S405="No","🚩 No one on camera",""))))</f>
        <v/>
      </c>
      <c r="Z405" s="17"/>
      <c r="AA405" s="17"/>
      <c r="AB405" s="40"/>
      <c r="AC405" s="17"/>
      <c r="AD405" s="45" t="str">
        <f aca="false">IF(OR(E405="",AB405="",OR(AA405="Contract signed + paid",AA405="Closed – No response",AA405="Lost"),N(AC405)&gt;=Settings!$S$3),"",AB405+Settings!$S$2)</f>
        <v/>
      </c>
      <c r="AE405" s="40"/>
      <c r="AF405" s="41"/>
      <c r="AG405" s="17"/>
      <c r="AH405" s="17"/>
      <c r="AI405" s="17"/>
      <c r="AJ405" s="46" t="str">
        <f aca="true">IF(OR(E405="",B405=""),"",INT(TODAY()-B405))</f>
        <v/>
      </c>
      <c r="AK405" s="44" t="str">
        <f aca="true">IF(E405="","",IF(OR(COUNTIFS(Clients!$C$2:$C$501,E405,Clients!$S$2:$S$501,"Paid")&gt;0,AND(I405&lt;&gt;"",COUNTIFS(Clients!$E$2:$E$501,I405,Clients!$S$2:$S$501,"Paid")&gt;0)),"⚠ Refunded before – no free video",IF(OR(AA405="Contract signed + paid",AA405="Closed – No response",AA405="Lost"),"",IF(AA405="","Set a stage",IF(AND(AA405="Proposal sent",COUNTA(Q405:V405)&lt;6),"Score this lead – proposal sent unscored",IF(N(AC405)&gt;=Settings!$S$3,"Close – 4 follow-ups sent",IF(AD405="",IF(AB405="","Make first contact",""),IF(TODAY()&gt;AD405,"OVERDUE follow-up",IF(TODAY()=AD405,"Follow up today","")))))))))</f>
        <v/>
      </c>
    </row>
    <row r="406" customFormat="false" ht="15" hidden="false" customHeight="false" outlineLevel="0" collapsed="false">
      <c r="A406" s="17"/>
      <c r="B406" s="40"/>
      <c r="C406" s="41"/>
      <c r="D406" s="17"/>
      <c r="E406" s="17"/>
      <c r="F406" s="17"/>
      <c r="G406" s="17"/>
      <c r="H406" s="17"/>
      <c r="I406" s="42"/>
      <c r="J406" s="17"/>
      <c r="K406" s="17"/>
      <c r="L406" s="17"/>
      <c r="M406" s="17"/>
      <c r="N406" s="40"/>
      <c r="O406" s="41"/>
      <c r="P406" s="43" t="str">
        <f aca="false">IF(OR(B406="",N406=""),"",ROUND(((N406+N(O406))-(B406+N(C406)))*24,1))</f>
        <v/>
      </c>
      <c r="Q406" s="17"/>
      <c r="R406" s="17"/>
      <c r="S406" s="17"/>
      <c r="T406" s="17"/>
      <c r="U406" s="17"/>
      <c r="V406" s="17"/>
      <c r="W406" s="44" t="str">
        <f aca="false">IF(OR(E406="",COUNTA(Q406:V406)=0),"",SUMIFS(Settings!$AA$2:$AA$21,Settings!$Y$2:$Y$21,"Budget AED 5k+/mo?",Settings!$Z$2:$Z$21,Q406)+SUMIFS(Settings!$AA$2:$AA$21,Settings!$Y$2:$Y$21,"Decision-maker?",Settings!$Z$2:$Z$21,R406)+SUMIFS(Settings!$AA$2:$AA$21,Settings!$Y$2:$Y$21,"Someone on camera?",Settings!$Z$2:$Z$21,S406)+SUMIFS(Settings!$AA$2:$AA$21,Settings!$Y$2:$Y$21,"OK with 3-month term?",Settings!$Z$2:$Z$21,T406)+SUMIFS(Settings!$AA$2:$AA$21,Settings!$Y$2:$Y$21,"Start timeline",Settings!$Z$2:$Z$21,U406)+SUMIFS(Settings!$AA$2:$AA$21,Settings!$Y$2:$Y$21,"Social media gap",Settings!$Z$2:$Z$21,V406)+IF(F406="",0,IF(COUNTIF(Settings!$AC$2:$AC$6,F406)&gt;0,Settings!$AA$20,Settings!$AA$21)))</f>
        <v/>
      </c>
      <c r="X406" s="44" t="str">
        <f aca="false">IF(E406="","",IF(COUNTA(Q406:V406)=0,"Not scored",IF(COUNTA(Q406:V406)&lt;6,"Partly scored ("&amp;COUNTA(Q406:V406)&amp;"/6)",IF(W406&gt;=Settings!$S$8,"Hot",IF(W406&gt;=Settings!$S$9,"Warm","Cold")))))</f>
        <v/>
      </c>
      <c r="Y406" s="44" t="str">
        <f aca="false">IF(E406="","",IF(AND(Q406="No",S406="No"),"🚩 Budget  ·  🚩 No one on camera",IF(Q406="No","🚩 Budget under AED 5k",IF(S406="No","🚩 No one on camera",""))))</f>
        <v/>
      </c>
      <c r="Z406" s="17"/>
      <c r="AA406" s="17"/>
      <c r="AB406" s="40"/>
      <c r="AC406" s="17"/>
      <c r="AD406" s="45" t="str">
        <f aca="false">IF(OR(E406="",AB406="",OR(AA406="Contract signed + paid",AA406="Closed – No response",AA406="Lost"),N(AC406)&gt;=Settings!$S$3),"",AB406+Settings!$S$2)</f>
        <v/>
      </c>
      <c r="AE406" s="40"/>
      <c r="AF406" s="41"/>
      <c r="AG406" s="17"/>
      <c r="AH406" s="17"/>
      <c r="AI406" s="17"/>
      <c r="AJ406" s="46" t="str">
        <f aca="true">IF(OR(E406="",B406=""),"",INT(TODAY()-B406))</f>
        <v/>
      </c>
      <c r="AK406" s="44" t="str">
        <f aca="true">IF(E406="","",IF(OR(COUNTIFS(Clients!$C$2:$C$501,E406,Clients!$S$2:$S$501,"Paid")&gt;0,AND(I406&lt;&gt;"",COUNTIFS(Clients!$E$2:$E$501,I406,Clients!$S$2:$S$501,"Paid")&gt;0)),"⚠ Refunded before – no free video",IF(OR(AA406="Contract signed + paid",AA406="Closed – No response",AA406="Lost"),"",IF(AA406="","Set a stage",IF(AND(AA406="Proposal sent",COUNTA(Q406:V406)&lt;6),"Score this lead – proposal sent unscored",IF(N(AC406)&gt;=Settings!$S$3,"Close – 4 follow-ups sent",IF(AD406="",IF(AB406="","Make first contact",""),IF(TODAY()&gt;AD406,"OVERDUE follow-up",IF(TODAY()=AD406,"Follow up today","")))))))))</f>
        <v/>
      </c>
    </row>
    <row r="407" customFormat="false" ht="15" hidden="false" customHeight="false" outlineLevel="0" collapsed="false">
      <c r="A407" s="17"/>
      <c r="B407" s="40"/>
      <c r="C407" s="41"/>
      <c r="D407" s="17"/>
      <c r="E407" s="17"/>
      <c r="F407" s="17"/>
      <c r="G407" s="17"/>
      <c r="H407" s="17"/>
      <c r="I407" s="42"/>
      <c r="J407" s="17"/>
      <c r="K407" s="17"/>
      <c r="L407" s="17"/>
      <c r="M407" s="17"/>
      <c r="N407" s="40"/>
      <c r="O407" s="41"/>
      <c r="P407" s="43" t="str">
        <f aca="false">IF(OR(B407="",N407=""),"",ROUND(((N407+N(O407))-(B407+N(C407)))*24,1))</f>
        <v/>
      </c>
      <c r="Q407" s="17"/>
      <c r="R407" s="17"/>
      <c r="S407" s="17"/>
      <c r="T407" s="17"/>
      <c r="U407" s="17"/>
      <c r="V407" s="17"/>
      <c r="W407" s="44" t="str">
        <f aca="false">IF(OR(E407="",COUNTA(Q407:V407)=0),"",SUMIFS(Settings!$AA$2:$AA$21,Settings!$Y$2:$Y$21,"Budget AED 5k+/mo?",Settings!$Z$2:$Z$21,Q407)+SUMIFS(Settings!$AA$2:$AA$21,Settings!$Y$2:$Y$21,"Decision-maker?",Settings!$Z$2:$Z$21,R407)+SUMIFS(Settings!$AA$2:$AA$21,Settings!$Y$2:$Y$21,"Someone on camera?",Settings!$Z$2:$Z$21,S407)+SUMIFS(Settings!$AA$2:$AA$21,Settings!$Y$2:$Y$21,"OK with 3-month term?",Settings!$Z$2:$Z$21,T407)+SUMIFS(Settings!$AA$2:$AA$21,Settings!$Y$2:$Y$21,"Start timeline",Settings!$Z$2:$Z$21,U407)+SUMIFS(Settings!$AA$2:$AA$21,Settings!$Y$2:$Y$21,"Social media gap",Settings!$Z$2:$Z$21,V407)+IF(F407="",0,IF(COUNTIF(Settings!$AC$2:$AC$6,F407)&gt;0,Settings!$AA$20,Settings!$AA$21)))</f>
        <v/>
      </c>
      <c r="X407" s="44" t="str">
        <f aca="false">IF(E407="","",IF(COUNTA(Q407:V407)=0,"Not scored",IF(COUNTA(Q407:V407)&lt;6,"Partly scored ("&amp;COUNTA(Q407:V407)&amp;"/6)",IF(W407&gt;=Settings!$S$8,"Hot",IF(W407&gt;=Settings!$S$9,"Warm","Cold")))))</f>
        <v/>
      </c>
      <c r="Y407" s="44" t="str">
        <f aca="false">IF(E407="","",IF(AND(Q407="No",S407="No"),"🚩 Budget  ·  🚩 No one on camera",IF(Q407="No","🚩 Budget under AED 5k",IF(S407="No","🚩 No one on camera",""))))</f>
        <v/>
      </c>
      <c r="Z407" s="17"/>
      <c r="AA407" s="17"/>
      <c r="AB407" s="40"/>
      <c r="AC407" s="17"/>
      <c r="AD407" s="45" t="str">
        <f aca="false">IF(OR(E407="",AB407="",OR(AA407="Contract signed + paid",AA407="Closed – No response",AA407="Lost"),N(AC407)&gt;=Settings!$S$3),"",AB407+Settings!$S$2)</f>
        <v/>
      </c>
      <c r="AE407" s="40"/>
      <c r="AF407" s="41"/>
      <c r="AG407" s="17"/>
      <c r="AH407" s="17"/>
      <c r="AI407" s="17"/>
      <c r="AJ407" s="46" t="str">
        <f aca="true">IF(OR(E407="",B407=""),"",INT(TODAY()-B407))</f>
        <v/>
      </c>
      <c r="AK407" s="44" t="str">
        <f aca="true">IF(E407="","",IF(OR(COUNTIFS(Clients!$C$2:$C$501,E407,Clients!$S$2:$S$501,"Paid")&gt;0,AND(I407&lt;&gt;"",COUNTIFS(Clients!$E$2:$E$501,I407,Clients!$S$2:$S$501,"Paid")&gt;0)),"⚠ Refunded before – no free video",IF(OR(AA407="Contract signed + paid",AA407="Closed – No response",AA407="Lost"),"",IF(AA407="","Set a stage",IF(AND(AA407="Proposal sent",COUNTA(Q407:V407)&lt;6),"Score this lead – proposal sent unscored",IF(N(AC407)&gt;=Settings!$S$3,"Close – 4 follow-ups sent",IF(AD407="",IF(AB407="","Make first contact",""),IF(TODAY()&gt;AD407,"OVERDUE follow-up",IF(TODAY()=AD407,"Follow up today","")))))))))</f>
        <v/>
      </c>
    </row>
    <row r="408" customFormat="false" ht="15" hidden="false" customHeight="false" outlineLevel="0" collapsed="false">
      <c r="A408" s="17"/>
      <c r="B408" s="40"/>
      <c r="C408" s="41"/>
      <c r="D408" s="17"/>
      <c r="E408" s="17"/>
      <c r="F408" s="17"/>
      <c r="G408" s="17"/>
      <c r="H408" s="17"/>
      <c r="I408" s="42"/>
      <c r="J408" s="17"/>
      <c r="K408" s="17"/>
      <c r="L408" s="17"/>
      <c r="M408" s="17"/>
      <c r="N408" s="40"/>
      <c r="O408" s="41"/>
      <c r="P408" s="43" t="str">
        <f aca="false">IF(OR(B408="",N408=""),"",ROUND(((N408+N(O408))-(B408+N(C408)))*24,1))</f>
        <v/>
      </c>
      <c r="Q408" s="17"/>
      <c r="R408" s="17"/>
      <c r="S408" s="17"/>
      <c r="T408" s="17"/>
      <c r="U408" s="17"/>
      <c r="V408" s="17"/>
      <c r="W408" s="44" t="str">
        <f aca="false">IF(OR(E408="",COUNTA(Q408:V408)=0),"",SUMIFS(Settings!$AA$2:$AA$21,Settings!$Y$2:$Y$21,"Budget AED 5k+/mo?",Settings!$Z$2:$Z$21,Q408)+SUMIFS(Settings!$AA$2:$AA$21,Settings!$Y$2:$Y$21,"Decision-maker?",Settings!$Z$2:$Z$21,R408)+SUMIFS(Settings!$AA$2:$AA$21,Settings!$Y$2:$Y$21,"Someone on camera?",Settings!$Z$2:$Z$21,S408)+SUMIFS(Settings!$AA$2:$AA$21,Settings!$Y$2:$Y$21,"OK with 3-month term?",Settings!$Z$2:$Z$21,T408)+SUMIFS(Settings!$AA$2:$AA$21,Settings!$Y$2:$Y$21,"Start timeline",Settings!$Z$2:$Z$21,U408)+SUMIFS(Settings!$AA$2:$AA$21,Settings!$Y$2:$Y$21,"Social media gap",Settings!$Z$2:$Z$21,V408)+IF(F408="",0,IF(COUNTIF(Settings!$AC$2:$AC$6,F408)&gt;0,Settings!$AA$20,Settings!$AA$21)))</f>
        <v/>
      </c>
      <c r="X408" s="44" t="str">
        <f aca="false">IF(E408="","",IF(COUNTA(Q408:V408)=0,"Not scored",IF(COUNTA(Q408:V408)&lt;6,"Partly scored ("&amp;COUNTA(Q408:V408)&amp;"/6)",IF(W408&gt;=Settings!$S$8,"Hot",IF(W408&gt;=Settings!$S$9,"Warm","Cold")))))</f>
        <v/>
      </c>
      <c r="Y408" s="44" t="str">
        <f aca="false">IF(E408="","",IF(AND(Q408="No",S408="No"),"🚩 Budget  ·  🚩 No one on camera",IF(Q408="No","🚩 Budget under AED 5k",IF(S408="No","🚩 No one on camera",""))))</f>
        <v/>
      </c>
      <c r="Z408" s="17"/>
      <c r="AA408" s="17"/>
      <c r="AB408" s="40"/>
      <c r="AC408" s="17"/>
      <c r="AD408" s="45" t="str">
        <f aca="false">IF(OR(E408="",AB408="",OR(AA408="Contract signed + paid",AA408="Closed – No response",AA408="Lost"),N(AC408)&gt;=Settings!$S$3),"",AB408+Settings!$S$2)</f>
        <v/>
      </c>
      <c r="AE408" s="40"/>
      <c r="AF408" s="41"/>
      <c r="AG408" s="17"/>
      <c r="AH408" s="17"/>
      <c r="AI408" s="17"/>
      <c r="AJ408" s="46" t="str">
        <f aca="true">IF(OR(E408="",B408=""),"",INT(TODAY()-B408))</f>
        <v/>
      </c>
      <c r="AK408" s="44" t="str">
        <f aca="true">IF(E408="","",IF(OR(COUNTIFS(Clients!$C$2:$C$501,E408,Clients!$S$2:$S$501,"Paid")&gt;0,AND(I408&lt;&gt;"",COUNTIFS(Clients!$E$2:$E$501,I408,Clients!$S$2:$S$501,"Paid")&gt;0)),"⚠ Refunded before – no free video",IF(OR(AA408="Contract signed + paid",AA408="Closed – No response",AA408="Lost"),"",IF(AA408="","Set a stage",IF(AND(AA408="Proposal sent",COUNTA(Q408:V408)&lt;6),"Score this lead – proposal sent unscored",IF(N(AC408)&gt;=Settings!$S$3,"Close – 4 follow-ups sent",IF(AD408="",IF(AB408="","Make first contact",""),IF(TODAY()&gt;AD408,"OVERDUE follow-up",IF(TODAY()=AD408,"Follow up today","")))))))))</f>
        <v/>
      </c>
    </row>
    <row r="409" customFormat="false" ht="15" hidden="false" customHeight="false" outlineLevel="0" collapsed="false">
      <c r="A409" s="17"/>
      <c r="B409" s="40"/>
      <c r="C409" s="41"/>
      <c r="D409" s="17"/>
      <c r="E409" s="17"/>
      <c r="F409" s="17"/>
      <c r="G409" s="17"/>
      <c r="H409" s="17"/>
      <c r="I409" s="42"/>
      <c r="J409" s="17"/>
      <c r="K409" s="17"/>
      <c r="L409" s="17"/>
      <c r="M409" s="17"/>
      <c r="N409" s="40"/>
      <c r="O409" s="41"/>
      <c r="P409" s="43" t="str">
        <f aca="false">IF(OR(B409="",N409=""),"",ROUND(((N409+N(O409))-(B409+N(C409)))*24,1))</f>
        <v/>
      </c>
      <c r="Q409" s="17"/>
      <c r="R409" s="17"/>
      <c r="S409" s="17"/>
      <c r="T409" s="17"/>
      <c r="U409" s="17"/>
      <c r="V409" s="17"/>
      <c r="W409" s="44" t="str">
        <f aca="false">IF(OR(E409="",COUNTA(Q409:V409)=0),"",SUMIFS(Settings!$AA$2:$AA$21,Settings!$Y$2:$Y$21,"Budget AED 5k+/mo?",Settings!$Z$2:$Z$21,Q409)+SUMIFS(Settings!$AA$2:$AA$21,Settings!$Y$2:$Y$21,"Decision-maker?",Settings!$Z$2:$Z$21,R409)+SUMIFS(Settings!$AA$2:$AA$21,Settings!$Y$2:$Y$21,"Someone on camera?",Settings!$Z$2:$Z$21,S409)+SUMIFS(Settings!$AA$2:$AA$21,Settings!$Y$2:$Y$21,"OK with 3-month term?",Settings!$Z$2:$Z$21,T409)+SUMIFS(Settings!$AA$2:$AA$21,Settings!$Y$2:$Y$21,"Start timeline",Settings!$Z$2:$Z$21,U409)+SUMIFS(Settings!$AA$2:$AA$21,Settings!$Y$2:$Y$21,"Social media gap",Settings!$Z$2:$Z$21,V409)+IF(F409="",0,IF(COUNTIF(Settings!$AC$2:$AC$6,F409)&gt;0,Settings!$AA$20,Settings!$AA$21)))</f>
        <v/>
      </c>
      <c r="X409" s="44" t="str">
        <f aca="false">IF(E409="","",IF(COUNTA(Q409:V409)=0,"Not scored",IF(COUNTA(Q409:V409)&lt;6,"Partly scored ("&amp;COUNTA(Q409:V409)&amp;"/6)",IF(W409&gt;=Settings!$S$8,"Hot",IF(W409&gt;=Settings!$S$9,"Warm","Cold")))))</f>
        <v/>
      </c>
      <c r="Y409" s="44" t="str">
        <f aca="false">IF(E409="","",IF(AND(Q409="No",S409="No"),"🚩 Budget  ·  🚩 No one on camera",IF(Q409="No","🚩 Budget under AED 5k",IF(S409="No","🚩 No one on camera",""))))</f>
        <v/>
      </c>
      <c r="Z409" s="17"/>
      <c r="AA409" s="17"/>
      <c r="AB409" s="40"/>
      <c r="AC409" s="17"/>
      <c r="AD409" s="45" t="str">
        <f aca="false">IF(OR(E409="",AB409="",OR(AA409="Contract signed + paid",AA409="Closed – No response",AA409="Lost"),N(AC409)&gt;=Settings!$S$3),"",AB409+Settings!$S$2)</f>
        <v/>
      </c>
      <c r="AE409" s="40"/>
      <c r="AF409" s="41"/>
      <c r="AG409" s="17"/>
      <c r="AH409" s="17"/>
      <c r="AI409" s="17"/>
      <c r="AJ409" s="46" t="str">
        <f aca="true">IF(OR(E409="",B409=""),"",INT(TODAY()-B409))</f>
        <v/>
      </c>
      <c r="AK409" s="44" t="str">
        <f aca="true">IF(E409="","",IF(OR(COUNTIFS(Clients!$C$2:$C$501,E409,Clients!$S$2:$S$501,"Paid")&gt;0,AND(I409&lt;&gt;"",COUNTIFS(Clients!$E$2:$E$501,I409,Clients!$S$2:$S$501,"Paid")&gt;0)),"⚠ Refunded before – no free video",IF(OR(AA409="Contract signed + paid",AA409="Closed – No response",AA409="Lost"),"",IF(AA409="","Set a stage",IF(AND(AA409="Proposal sent",COUNTA(Q409:V409)&lt;6),"Score this lead – proposal sent unscored",IF(N(AC409)&gt;=Settings!$S$3,"Close – 4 follow-ups sent",IF(AD409="",IF(AB409="","Make first contact",""),IF(TODAY()&gt;AD409,"OVERDUE follow-up",IF(TODAY()=AD409,"Follow up today","")))))))))</f>
        <v/>
      </c>
    </row>
    <row r="410" customFormat="false" ht="15" hidden="false" customHeight="false" outlineLevel="0" collapsed="false">
      <c r="A410" s="17"/>
      <c r="B410" s="40"/>
      <c r="C410" s="41"/>
      <c r="D410" s="17"/>
      <c r="E410" s="17"/>
      <c r="F410" s="17"/>
      <c r="G410" s="17"/>
      <c r="H410" s="17"/>
      <c r="I410" s="42"/>
      <c r="J410" s="17"/>
      <c r="K410" s="17"/>
      <c r="L410" s="17"/>
      <c r="M410" s="17"/>
      <c r="N410" s="40"/>
      <c r="O410" s="41"/>
      <c r="P410" s="43" t="str">
        <f aca="false">IF(OR(B410="",N410=""),"",ROUND(((N410+N(O410))-(B410+N(C410)))*24,1))</f>
        <v/>
      </c>
      <c r="Q410" s="17"/>
      <c r="R410" s="17"/>
      <c r="S410" s="17"/>
      <c r="T410" s="17"/>
      <c r="U410" s="17"/>
      <c r="V410" s="17"/>
      <c r="W410" s="44" t="str">
        <f aca="false">IF(OR(E410="",COUNTA(Q410:V410)=0),"",SUMIFS(Settings!$AA$2:$AA$21,Settings!$Y$2:$Y$21,"Budget AED 5k+/mo?",Settings!$Z$2:$Z$21,Q410)+SUMIFS(Settings!$AA$2:$AA$21,Settings!$Y$2:$Y$21,"Decision-maker?",Settings!$Z$2:$Z$21,R410)+SUMIFS(Settings!$AA$2:$AA$21,Settings!$Y$2:$Y$21,"Someone on camera?",Settings!$Z$2:$Z$21,S410)+SUMIFS(Settings!$AA$2:$AA$21,Settings!$Y$2:$Y$21,"OK with 3-month term?",Settings!$Z$2:$Z$21,T410)+SUMIFS(Settings!$AA$2:$AA$21,Settings!$Y$2:$Y$21,"Start timeline",Settings!$Z$2:$Z$21,U410)+SUMIFS(Settings!$AA$2:$AA$21,Settings!$Y$2:$Y$21,"Social media gap",Settings!$Z$2:$Z$21,V410)+IF(F410="",0,IF(COUNTIF(Settings!$AC$2:$AC$6,F410)&gt;0,Settings!$AA$20,Settings!$AA$21)))</f>
        <v/>
      </c>
      <c r="X410" s="44" t="str">
        <f aca="false">IF(E410="","",IF(COUNTA(Q410:V410)=0,"Not scored",IF(COUNTA(Q410:V410)&lt;6,"Partly scored ("&amp;COUNTA(Q410:V410)&amp;"/6)",IF(W410&gt;=Settings!$S$8,"Hot",IF(W410&gt;=Settings!$S$9,"Warm","Cold")))))</f>
        <v/>
      </c>
      <c r="Y410" s="44" t="str">
        <f aca="false">IF(E410="","",IF(AND(Q410="No",S410="No"),"🚩 Budget  ·  🚩 No one on camera",IF(Q410="No","🚩 Budget under AED 5k",IF(S410="No","🚩 No one on camera",""))))</f>
        <v/>
      </c>
      <c r="Z410" s="17"/>
      <c r="AA410" s="17"/>
      <c r="AB410" s="40"/>
      <c r="AC410" s="17"/>
      <c r="AD410" s="45" t="str">
        <f aca="false">IF(OR(E410="",AB410="",OR(AA410="Contract signed + paid",AA410="Closed – No response",AA410="Lost"),N(AC410)&gt;=Settings!$S$3),"",AB410+Settings!$S$2)</f>
        <v/>
      </c>
      <c r="AE410" s="40"/>
      <c r="AF410" s="41"/>
      <c r="AG410" s="17"/>
      <c r="AH410" s="17"/>
      <c r="AI410" s="17"/>
      <c r="AJ410" s="46" t="str">
        <f aca="true">IF(OR(E410="",B410=""),"",INT(TODAY()-B410))</f>
        <v/>
      </c>
      <c r="AK410" s="44" t="str">
        <f aca="true">IF(E410="","",IF(OR(COUNTIFS(Clients!$C$2:$C$501,E410,Clients!$S$2:$S$501,"Paid")&gt;0,AND(I410&lt;&gt;"",COUNTIFS(Clients!$E$2:$E$501,I410,Clients!$S$2:$S$501,"Paid")&gt;0)),"⚠ Refunded before – no free video",IF(OR(AA410="Contract signed + paid",AA410="Closed – No response",AA410="Lost"),"",IF(AA410="","Set a stage",IF(AND(AA410="Proposal sent",COUNTA(Q410:V410)&lt;6),"Score this lead – proposal sent unscored",IF(N(AC410)&gt;=Settings!$S$3,"Close – 4 follow-ups sent",IF(AD410="",IF(AB410="","Make first contact",""),IF(TODAY()&gt;AD410,"OVERDUE follow-up",IF(TODAY()=AD410,"Follow up today","")))))))))</f>
        <v/>
      </c>
    </row>
    <row r="411" customFormat="false" ht="15" hidden="false" customHeight="false" outlineLevel="0" collapsed="false">
      <c r="A411" s="17"/>
      <c r="B411" s="40"/>
      <c r="C411" s="41"/>
      <c r="D411" s="17"/>
      <c r="E411" s="17"/>
      <c r="F411" s="17"/>
      <c r="G411" s="17"/>
      <c r="H411" s="17"/>
      <c r="I411" s="42"/>
      <c r="J411" s="17"/>
      <c r="K411" s="17"/>
      <c r="L411" s="17"/>
      <c r="M411" s="17"/>
      <c r="N411" s="40"/>
      <c r="O411" s="41"/>
      <c r="P411" s="43" t="str">
        <f aca="false">IF(OR(B411="",N411=""),"",ROUND(((N411+N(O411))-(B411+N(C411)))*24,1))</f>
        <v/>
      </c>
      <c r="Q411" s="17"/>
      <c r="R411" s="17"/>
      <c r="S411" s="17"/>
      <c r="T411" s="17"/>
      <c r="U411" s="17"/>
      <c r="V411" s="17"/>
      <c r="W411" s="44" t="str">
        <f aca="false">IF(OR(E411="",COUNTA(Q411:V411)=0),"",SUMIFS(Settings!$AA$2:$AA$21,Settings!$Y$2:$Y$21,"Budget AED 5k+/mo?",Settings!$Z$2:$Z$21,Q411)+SUMIFS(Settings!$AA$2:$AA$21,Settings!$Y$2:$Y$21,"Decision-maker?",Settings!$Z$2:$Z$21,R411)+SUMIFS(Settings!$AA$2:$AA$21,Settings!$Y$2:$Y$21,"Someone on camera?",Settings!$Z$2:$Z$21,S411)+SUMIFS(Settings!$AA$2:$AA$21,Settings!$Y$2:$Y$21,"OK with 3-month term?",Settings!$Z$2:$Z$21,T411)+SUMIFS(Settings!$AA$2:$AA$21,Settings!$Y$2:$Y$21,"Start timeline",Settings!$Z$2:$Z$21,U411)+SUMIFS(Settings!$AA$2:$AA$21,Settings!$Y$2:$Y$21,"Social media gap",Settings!$Z$2:$Z$21,V411)+IF(F411="",0,IF(COUNTIF(Settings!$AC$2:$AC$6,F411)&gt;0,Settings!$AA$20,Settings!$AA$21)))</f>
        <v/>
      </c>
      <c r="X411" s="44" t="str">
        <f aca="false">IF(E411="","",IF(COUNTA(Q411:V411)=0,"Not scored",IF(COUNTA(Q411:V411)&lt;6,"Partly scored ("&amp;COUNTA(Q411:V411)&amp;"/6)",IF(W411&gt;=Settings!$S$8,"Hot",IF(W411&gt;=Settings!$S$9,"Warm","Cold")))))</f>
        <v/>
      </c>
      <c r="Y411" s="44" t="str">
        <f aca="false">IF(E411="","",IF(AND(Q411="No",S411="No"),"🚩 Budget  ·  🚩 No one on camera",IF(Q411="No","🚩 Budget under AED 5k",IF(S411="No","🚩 No one on camera",""))))</f>
        <v/>
      </c>
      <c r="Z411" s="17"/>
      <c r="AA411" s="17"/>
      <c r="AB411" s="40"/>
      <c r="AC411" s="17"/>
      <c r="AD411" s="45" t="str">
        <f aca="false">IF(OR(E411="",AB411="",OR(AA411="Contract signed + paid",AA411="Closed – No response",AA411="Lost"),N(AC411)&gt;=Settings!$S$3),"",AB411+Settings!$S$2)</f>
        <v/>
      </c>
      <c r="AE411" s="40"/>
      <c r="AF411" s="41"/>
      <c r="AG411" s="17"/>
      <c r="AH411" s="17"/>
      <c r="AI411" s="17"/>
      <c r="AJ411" s="46" t="str">
        <f aca="true">IF(OR(E411="",B411=""),"",INT(TODAY()-B411))</f>
        <v/>
      </c>
      <c r="AK411" s="44" t="str">
        <f aca="true">IF(E411="","",IF(OR(COUNTIFS(Clients!$C$2:$C$501,E411,Clients!$S$2:$S$501,"Paid")&gt;0,AND(I411&lt;&gt;"",COUNTIFS(Clients!$E$2:$E$501,I411,Clients!$S$2:$S$501,"Paid")&gt;0)),"⚠ Refunded before – no free video",IF(OR(AA411="Contract signed + paid",AA411="Closed – No response",AA411="Lost"),"",IF(AA411="","Set a stage",IF(AND(AA411="Proposal sent",COUNTA(Q411:V411)&lt;6),"Score this lead – proposal sent unscored",IF(N(AC411)&gt;=Settings!$S$3,"Close – 4 follow-ups sent",IF(AD411="",IF(AB411="","Make first contact",""),IF(TODAY()&gt;AD411,"OVERDUE follow-up",IF(TODAY()=AD411,"Follow up today","")))))))))</f>
        <v/>
      </c>
    </row>
    <row r="412" customFormat="false" ht="15" hidden="false" customHeight="false" outlineLevel="0" collapsed="false">
      <c r="A412" s="17"/>
      <c r="B412" s="40"/>
      <c r="C412" s="41"/>
      <c r="D412" s="17"/>
      <c r="E412" s="17"/>
      <c r="F412" s="17"/>
      <c r="G412" s="17"/>
      <c r="H412" s="17"/>
      <c r="I412" s="42"/>
      <c r="J412" s="17"/>
      <c r="K412" s="17"/>
      <c r="L412" s="17"/>
      <c r="M412" s="17"/>
      <c r="N412" s="40"/>
      <c r="O412" s="41"/>
      <c r="P412" s="43" t="str">
        <f aca="false">IF(OR(B412="",N412=""),"",ROUND(((N412+N(O412))-(B412+N(C412)))*24,1))</f>
        <v/>
      </c>
      <c r="Q412" s="17"/>
      <c r="R412" s="17"/>
      <c r="S412" s="17"/>
      <c r="T412" s="17"/>
      <c r="U412" s="17"/>
      <c r="V412" s="17"/>
      <c r="W412" s="44" t="str">
        <f aca="false">IF(OR(E412="",COUNTA(Q412:V412)=0),"",SUMIFS(Settings!$AA$2:$AA$21,Settings!$Y$2:$Y$21,"Budget AED 5k+/mo?",Settings!$Z$2:$Z$21,Q412)+SUMIFS(Settings!$AA$2:$AA$21,Settings!$Y$2:$Y$21,"Decision-maker?",Settings!$Z$2:$Z$21,R412)+SUMIFS(Settings!$AA$2:$AA$21,Settings!$Y$2:$Y$21,"Someone on camera?",Settings!$Z$2:$Z$21,S412)+SUMIFS(Settings!$AA$2:$AA$21,Settings!$Y$2:$Y$21,"OK with 3-month term?",Settings!$Z$2:$Z$21,T412)+SUMIFS(Settings!$AA$2:$AA$21,Settings!$Y$2:$Y$21,"Start timeline",Settings!$Z$2:$Z$21,U412)+SUMIFS(Settings!$AA$2:$AA$21,Settings!$Y$2:$Y$21,"Social media gap",Settings!$Z$2:$Z$21,V412)+IF(F412="",0,IF(COUNTIF(Settings!$AC$2:$AC$6,F412)&gt;0,Settings!$AA$20,Settings!$AA$21)))</f>
        <v/>
      </c>
      <c r="X412" s="44" t="str">
        <f aca="false">IF(E412="","",IF(COUNTA(Q412:V412)=0,"Not scored",IF(COUNTA(Q412:V412)&lt;6,"Partly scored ("&amp;COUNTA(Q412:V412)&amp;"/6)",IF(W412&gt;=Settings!$S$8,"Hot",IF(W412&gt;=Settings!$S$9,"Warm","Cold")))))</f>
        <v/>
      </c>
      <c r="Y412" s="44" t="str">
        <f aca="false">IF(E412="","",IF(AND(Q412="No",S412="No"),"🚩 Budget  ·  🚩 No one on camera",IF(Q412="No","🚩 Budget under AED 5k",IF(S412="No","🚩 No one on camera",""))))</f>
        <v/>
      </c>
      <c r="Z412" s="17"/>
      <c r="AA412" s="17"/>
      <c r="AB412" s="40"/>
      <c r="AC412" s="17"/>
      <c r="AD412" s="45" t="str">
        <f aca="false">IF(OR(E412="",AB412="",OR(AA412="Contract signed + paid",AA412="Closed – No response",AA412="Lost"),N(AC412)&gt;=Settings!$S$3),"",AB412+Settings!$S$2)</f>
        <v/>
      </c>
      <c r="AE412" s="40"/>
      <c r="AF412" s="41"/>
      <c r="AG412" s="17"/>
      <c r="AH412" s="17"/>
      <c r="AI412" s="17"/>
      <c r="AJ412" s="46" t="str">
        <f aca="true">IF(OR(E412="",B412=""),"",INT(TODAY()-B412))</f>
        <v/>
      </c>
      <c r="AK412" s="44" t="str">
        <f aca="true">IF(E412="","",IF(OR(COUNTIFS(Clients!$C$2:$C$501,E412,Clients!$S$2:$S$501,"Paid")&gt;0,AND(I412&lt;&gt;"",COUNTIFS(Clients!$E$2:$E$501,I412,Clients!$S$2:$S$501,"Paid")&gt;0)),"⚠ Refunded before – no free video",IF(OR(AA412="Contract signed + paid",AA412="Closed – No response",AA412="Lost"),"",IF(AA412="","Set a stage",IF(AND(AA412="Proposal sent",COUNTA(Q412:V412)&lt;6),"Score this lead – proposal sent unscored",IF(N(AC412)&gt;=Settings!$S$3,"Close – 4 follow-ups sent",IF(AD412="",IF(AB412="","Make first contact",""),IF(TODAY()&gt;AD412,"OVERDUE follow-up",IF(TODAY()=AD412,"Follow up today","")))))))))</f>
        <v/>
      </c>
    </row>
    <row r="413" customFormat="false" ht="15" hidden="false" customHeight="false" outlineLevel="0" collapsed="false">
      <c r="A413" s="17"/>
      <c r="B413" s="40"/>
      <c r="C413" s="41"/>
      <c r="D413" s="17"/>
      <c r="E413" s="17"/>
      <c r="F413" s="17"/>
      <c r="G413" s="17"/>
      <c r="H413" s="17"/>
      <c r="I413" s="42"/>
      <c r="J413" s="17"/>
      <c r="K413" s="17"/>
      <c r="L413" s="17"/>
      <c r="M413" s="17"/>
      <c r="N413" s="40"/>
      <c r="O413" s="41"/>
      <c r="P413" s="43" t="str">
        <f aca="false">IF(OR(B413="",N413=""),"",ROUND(((N413+N(O413))-(B413+N(C413)))*24,1))</f>
        <v/>
      </c>
      <c r="Q413" s="17"/>
      <c r="R413" s="17"/>
      <c r="S413" s="17"/>
      <c r="T413" s="17"/>
      <c r="U413" s="17"/>
      <c r="V413" s="17"/>
      <c r="W413" s="44" t="str">
        <f aca="false">IF(OR(E413="",COUNTA(Q413:V413)=0),"",SUMIFS(Settings!$AA$2:$AA$21,Settings!$Y$2:$Y$21,"Budget AED 5k+/mo?",Settings!$Z$2:$Z$21,Q413)+SUMIFS(Settings!$AA$2:$AA$21,Settings!$Y$2:$Y$21,"Decision-maker?",Settings!$Z$2:$Z$21,R413)+SUMIFS(Settings!$AA$2:$AA$21,Settings!$Y$2:$Y$21,"Someone on camera?",Settings!$Z$2:$Z$21,S413)+SUMIFS(Settings!$AA$2:$AA$21,Settings!$Y$2:$Y$21,"OK with 3-month term?",Settings!$Z$2:$Z$21,T413)+SUMIFS(Settings!$AA$2:$AA$21,Settings!$Y$2:$Y$21,"Start timeline",Settings!$Z$2:$Z$21,U413)+SUMIFS(Settings!$AA$2:$AA$21,Settings!$Y$2:$Y$21,"Social media gap",Settings!$Z$2:$Z$21,V413)+IF(F413="",0,IF(COUNTIF(Settings!$AC$2:$AC$6,F413)&gt;0,Settings!$AA$20,Settings!$AA$21)))</f>
        <v/>
      </c>
      <c r="X413" s="44" t="str">
        <f aca="false">IF(E413="","",IF(COUNTA(Q413:V413)=0,"Not scored",IF(COUNTA(Q413:V413)&lt;6,"Partly scored ("&amp;COUNTA(Q413:V413)&amp;"/6)",IF(W413&gt;=Settings!$S$8,"Hot",IF(W413&gt;=Settings!$S$9,"Warm","Cold")))))</f>
        <v/>
      </c>
      <c r="Y413" s="44" t="str">
        <f aca="false">IF(E413="","",IF(AND(Q413="No",S413="No"),"🚩 Budget  ·  🚩 No one on camera",IF(Q413="No","🚩 Budget under AED 5k",IF(S413="No","🚩 No one on camera",""))))</f>
        <v/>
      </c>
      <c r="Z413" s="17"/>
      <c r="AA413" s="17"/>
      <c r="AB413" s="40"/>
      <c r="AC413" s="17"/>
      <c r="AD413" s="45" t="str">
        <f aca="false">IF(OR(E413="",AB413="",OR(AA413="Contract signed + paid",AA413="Closed – No response",AA413="Lost"),N(AC413)&gt;=Settings!$S$3),"",AB413+Settings!$S$2)</f>
        <v/>
      </c>
      <c r="AE413" s="40"/>
      <c r="AF413" s="41"/>
      <c r="AG413" s="17"/>
      <c r="AH413" s="17"/>
      <c r="AI413" s="17"/>
      <c r="AJ413" s="46" t="str">
        <f aca="true">IF(OR(E413="",B413=""),"",INT(TODAY()-B413))</f>
        <v/>
      </c>
      <c r="AK413" s="44" t="str">
        <f aca="true">IF(E413="","",IF(OR(COUNTIFS(Clients!$C$2:$C$501,E413,Clients!$S$2:$S$501,"Paid")&gt;0,AND(I413&lt;&gt;"",COUNTIFS(Clients!$E$2:$E$501,I413,Clients!$S$2:$S$501,"Paid")&gt;0)),"⚠ Refunded before – no free video",IF(OR(AA413="Contract signed + paid",AA413="Closed – No response",AA413="Lost"),"",IF(AA413="","Set a stage",IF(AND(AA413="Proposal sent",COUNTA(Q413:V413)&lt;6),"Score this lead – proposal sent unscored",IF(N(AC413)&gt;=Settings!$S$3,"Close – 4 follow-ups sent",IF(AD413="",IF(AB413="","Make first contact",""),IF(TODAY()&gt;AD413,"OVERDUE follow-up",IF(TODAY()=AD413,"Follow up today","")))))))))</f>
        <v/>
      </c>
    </row>
    <row r="414" customFormat="false" ht="15" hidden="false" customHeight="false" outlineLevel="0" collapsed="false">
      <c r="A414" s="17"/>
      <c r="B414" s="40"/>
      <c r="C414" s="41"/>
      <c r="D414" s="17"/>
      <c r="E414" s="17"/>
      <c r="F414" s="17"/>
      <c r="G414" s="17"/>
      <c r="H414" s="17"/>
      <c r="I414" s="42"/>
      <c r="J414" s="17"/>
      <c r="K414" s="17"/>
      <c r="L414" s="17"/>
      <c r="M414" s="17"/>
      <c r="N414" s="40"/>
      <c r="O414" s="41"/>
      <c r="P414" s="43" t="str">
        <f aca="false">IF(OR(B414="",N414=""),"",ROUND(((N414+N(O414))-(B414+N(C414)))*24,1))</f>
        <v/>
      </c>
      <c r="Q414" s="17"/>
      <c r="R414" s="17"/>
      <c r="S414" s="17"/>
      <c r="T414" s="17"/>
      <c r="U414" s="17"/>
      <c r="V414" s="17"/>
      <c r="W414" s="44" t="str">
        <f aca="false">IF(OR(E414="",COUNTA(Q414:V414)=0),"",SUMIFS(Settings!$AA$2:$AA$21,Settings!$Y$2:$Y$21,"Budget AED 5k+/mo?",Settings!$Z$2:$Z$21,Q414)+SUMIFS(Settings!$AA$2:$AA$21,Settings!$Y$2:$Y$21,"Decision-maker?",Settings!$Z$2:$Z$21,R414)+SUMIFS(Settings!$AA$2:$AA$21,Settings!$Y$2:$Y$21,"Someone on camera?",Settings!$Z$2:$Z$21,S414)+SUMIFS(Settings!$AA$2:$AA$21,Settings!$Y$2:$Y$21,"OK with 3-month term?",Settings!$Z$2:$Z$21,T414)+SUMIFS(Settings!$AA$2:$AA$21,Settings!$Y$2:$Y$21,"Start timeline",Settings!$Z$2:$Z$21,U414)+SUMIFS(Settings!$AA$2:$AA$21,Settings!$Y$2:$Y$21,"Social media gap",Settings!$Z$2:$Z$21,V414)+IF(F414="",0,IF(COUNTIF(Settings!$AC$2:$AC$6,F414)&gt;0,Settings!$AA$20,Settings!$AA$21)))</f>
        <v/>
      </c>
      <c r="X414" s="44" t="str">
        <f aca="false">IF(E414="","",IF(COUNTA(Q414:V414)=0,"Not scored",IF(COUNTA(Q414:V414)&lt;6,"Partly scored ("&amp;COUNTA(Q414:V414)&amp;"/6)",IF(W414&gt;=Settings!$S$8,"Hot",IF(W414&gt;=Settings!$S$9,"Warm","Cold")))))</f>
        <v/>
      </c>
      <c r="Y414" s="44" t="str">
        <f aca="false">IF(E414="","",IF(AND(Q414="No",S414="No"),"🚩 Budget  ·  🚩 No one on camera",IF(Q414="No","🚩 Budget under AED 5k",IF(S414="No","🚩 No one on camera",""))))</f>
        <v/>
      </c>
      <c r="Z414" s="17"/>
      <c r="AA414" s="17"/>
      <c r="AB414" s="40"/>
      <c r="AC414" s="17"/>
      <c r="AD414" s="45" t="str">
        <f aca="false">IF(OR(E414="",AB414="",OR(AA414="Contract signed + paid",AA414="Closed – No response",AA414="Lost"),N(AC414)&gt;=Settings!$S$3),"",AB414+Settings!$S$2)</f>
        <v/>
      </c>
      <c r="AE414" s="40"/>
      <c r="AF414" s="41"/>
      <c r="AG414" s="17"/>
      <c r="AH414" s="17"/>
      <c r="AI414" s="17"/>
      <c r="AJ414" s="46" t="str">
        <f aca="true">IF(OR(E414="",B414=""),"",INT(TODAY()-B414))</f>
        <v/>
      </c>
      <c r="AK414" s="44" t="str">
        <f aca="true">IF(E414="","",IF(OR(COUNTIFS(Clients!$C$2:$C$501,E414,Clients!$S$2:$S$501,"Paid")&gt;0,AND(I414&lt;&gt;"",COUNTIFS(Clients!$E$2:$E$501,I414,Clients!$S$2:$S$501,"Paid")&gt;0)),"⚠ Refunded before – no free video",IF(OR(AA414="Contract signed + paid",AA414="Closed – No response",AA414="Lost"),"",IF(AA414="","Set a stage",IF(AND(AA414="Proposal sent",COUNTA(Q414:V414)&lt;6),"Score this lead – proposal sent unscored",IF(N(AC414)&gt;=Settings!$S$3,"Close – 4 follow-ups sent",IF(AD414="",IF(AB414="","Make first contact",""),IF(TODAY()&gt;AD414,"OVERDUE follow-up",IF(TODAY()=AD414,"Follow up today","")))))))))</f>
        <v/>
      </c>
    </row>
    <row r="415" customFormat="false" ht="15" hidden="false" customHeight="false" outlineLevel="0" collapsed="false">
      <c r="A415" s="17"/>
      <c r="B415" s="40"/>
      <c r="C415" s="41"/>
      <c r="D415" s="17"/>
      <c r="E415" s="17"/>
      <c r="F415" s="17"/>
      <c r="G415" s="17"/>
      <c r="H415" s="17"/>
      <c r="I415" s="42"/>
      <c r="J415" s="17"/>
      <c r="K415" s="17"/>
      <c r="L415" s="17"/>
      <c r="M415" s="17"/>
      <c r="N415" s="40"/>
      <c r="O415" s="41"/>
      <c r="P415" s="43" t="str">
        <f aca="false">IF(OR(B415="",N415=""),"",ROUND(((N415+N(O415))-(B415+N(C415)))*24,1))</f>
        <v/>
      </c>
      <c r="Q415" s="17"/>
      <c r="R415" s="17"/>
      <c r="S415" s="17"/>
      <c r="T415" s="17"/>
      <c r="U415" s="17"/>
      <c r="V415" s="17"/>
      <c r="W415" s="44" t="str">
        <f aca="false">IF(OR(E415="",COUNTA(Q415:V415)=0),"",SUMIFS(Settings!$AA$2:$AA$21,Settings!$Y$2:$Y$21,"Budget AED 5k+/mo?",Settings!$Z$2:$Z$21,Q415)+SUMIFS(Settings!$AA$2:$AA$21,Settings!$Y$2:$Y$21,"Decision-maker?",Settings!$Z$2:$Z$21,R415)+SUMIFS(Settings!$AA$2:$AA$21,Settings!$Y$2:$Y$21,"Someone on camera?",Settings!$Z$2:$Z$21,S415)+SUMIFS(Settings!$AA$2:$AA$21,Settings!$Y$2:$Y$21,"OK with 3-month term?",Settings!$Z$2:$Z$21,T415)+SUMIFS(Settings!$AA$2:$AA$21,Settings!$Y$2:$Y$21,"Start timeline",Settings!$Z$2:$Z$21,U415)+SUMIFS(Settings!$AA$2:$AA$21,Settings!$Y$2:$Y$21,"Social media gap",Settings!$Z$2:$Z$21,V415)+IF(F415="",0,IF(COUNTIF(Settings!$AC$2:$AC$6,F415)&gt;0,Settings!$AA$20,Settings!$AA$21)))</f>
        <v/>
      </c>
      <c r="X415" s="44" t="str">
        <f aca="false">IF(E415="","",IF(COUNTA(Q415:V415)=0,"Not scored",IF(COUNTA(Q415:V415)&lt;6,"Partly scored ("&amp;COUNTA(Q415:V415)&amp;"/6)",IF(W415&gt;=Settings!$S$8,"Hot",IF(W415&gt;=Settings!$S$9,"Warm","Cold")))))</f>
        <v/>
      </c>
      <c r="Y415" s="44" t="str">
        <f aca="false">IF(E415="","",IF(AND(Q415="No",S415="No"),"🚩 Budget  ·  🚩 No one on camera",IF(Q415="No","🚩 Budget under AED 5k",IF(S415="No","🚩 No one on camera",""))))</f>
        <v/>
      </c>
      <c r="Z415" s="17"/>
      <c r="AA415" s="17"/>
      <c r="AB415" s="40"/>
      <c r="AC415" s="17"/>
      <c r="AD415" s="45" t="str">
        <f aca="false">IF(OR(E415="",AB415="",OR(AA415="Contract signed + paid",AA415="Closed – No response",AA415="Lost"),N(AC415)&gt;=Settings!$S$3),"",AB415+Settings!$S$2)</f>
        <v/>
      </c>
      <c r="AE415" s="40"/>
      <c r="AF415" s="41"/>
      <c r="AG415" s="17"/>
      <c r="AH415" s="17"/>
      <c r="AI415" s="17"/>
      <c r="AJ415" s="46" t="str">
        <f aca="true">IF(OR(E415="",B415=""),"",INT(TODAY()-B415))</f>
        <v/>
      </c>
      <c r="AK415" s="44" t="str">
        <f aca="true">IF(E415="","",IF(OR(COUNTIFS(Clients!$C$2:$C$501,E415,Clients!$S$2:$S$501,"Paid")&gt;0,AND(I415&lt;&gt;"",COUNTIFS(Clients!$E$2:$E$501,I415,Clients!$S$2:$S$501,"Paid")&gt;0)),"⚠ Refunded before – no free video",IF(OR(AA415="Contract signed + paid",AA415="Closed – No response",AA415="Lost"),"",IF(AA415="","Set a stage",IF(AND(AA415="Proposal sent",COUNTA(Q415:V415)&lt;6),"Score this lead – proposal sent unscored",IF(N(AC415)&gt;=Settings!$S$3,"Close – 4 follow-ups sent",IF(AD415="",IF(AB415="","Make first contact",""),IF(TODAY()&gt;AD415,"OVERDUE follow-up",IF(TODAY()=AD415,"Follow up today","")))))))))</f>
        <v/>
      </c>
    </row>
    <row r="416" customFormat="false" ht="15" hidden="false" customHeight="false" outlineLevel="0" collapsed="false">
      <c r="A416" s="17"/>
      <c r="B416" s="40"/>
      <c r="C416" s="41"/>
      <c r="D416" s="17"/>
      <c r="E416" s="17"/>
      <c r="F416" s="17"/>
      <c r="G416" s="17"/>
      <c r="H416" s="17"/>
      <c r="I416" s="42"/>
      <c r="J416" s="17"/>
      <c r="K416" s="17"/>
      <c r="L416" s="17"/>
      <c r="M416" s="17"/>
      <c r="N416" s="40"/>
      <c r="O416" s="41"/>
      <c r="P416" s="43" t="str">
        <f aca="false">IF(OR(B416="",N416=""),"",ROUND(((N416+N(O416))-(B416+N(C416)))*24,1))</f>
        <v/>
      </c>
      <c r="Q416" s="17"/>
      <c r="R416" s="17"/>
      <c r="S416" s="17"/>
      <c r="T416" s="17"/>
      <c r="U416" s="17"/>
      <c r="V416" s="17"/>
      <c r="W416" s="44" t="str">
        <f aca="false">IF(OR(E416="",COUNTA(Q416:V416)=0),"",SUMIFS(Settings!$AA$2:$AA$21,Settings!$Y$2:$Y$21,"Budget AED 5k+/mo?",Settings!$Z$2:$Z$21,Q416)+SUMIFS(Settings!$AA$2:$AA$21,Settings!$Y$2:$Y$21,"Decision-maker?",Settings!$Z$2:$Z$21,R416)+SUMIFS(Settings!$AA$2:$AA$21,Settings!$Y$2:$Y$21,"Someone on camera?",Settings!$Z$2:$Z$21,S416)+SUMIFS(Settings!$AA$2:$AA$21,Settings!$Y$2:$Y$21,"OK with 3-month term?",Settings!$Z$2:$Z$21,T416)+SUMIFS(Settings!$AA$2:$AA$21,Settings!$Y$2:$Y$21,"Start timeline",Settings!$Z$2:$Z$21,U416)+SUMIFS(Settings!$AA$2:$AA$21,Settings!$Y$2:$Y$21,"Social media gap",Settings!$Z$2:$Z$21,V416)+IF(F416="",0,IF(COUNTIF(Settings!$AC$2:$AC$6,F416)&gt;0,Settings!$AA$20,Settings!$AA$21)))</f>
        <v/>
      </c>
      <c r="X416" s="44" t="str">
        <f aca="false">IF(E416="","",IF(COUNTA(Q416:V416)=0,"Not scored",IF(COUNTA(Q416:V416)&lt;6,"Partly scored ("&amp;COUNTA(Q416:V416)&amp;"/6)",IF(W416&gt;=Settings!$S$8,"Hot",IF(W416&gt;=Settings!$S$9,"Warm","Cold")))))</f>
        <v/>
      </c>
      <c r="Y416" s="44" t="str">
        <f aca="false">IF(E416="","",IF(AND(Q416="No",S416="No"),"🚩 Budget  ·  🚩 No one on camera",IF(Q416="No","🚩 Budget under AED 5k",IF(S416="No","🚩 No one on camera",""))))</f>
        <v/>
      </c>
      <c r="Z416" s="17"/>
      <c r="AA416" s="17"/>
      <c r="AB416" s="40"/>
      <c r="AC416" s="17"/>
      <c r="AD416" s="45" t="str">
        <f aca="false">IF(OR(E416="",AB416="",OR(AA416="Contract signed + paid",AA416="Closed – No response",AA416="Lost"),N(AC416)&gt;=Settings!$S$3),"",AB416+Settings!$S$2)</f>
        <v/>
      </c>
      <c r="AE416" s="40"/>
      <c r="AF416" s="41"/>
      <c r="AG416" s="17"/>
      <c r="AH416" s="17"/>
      <c r="AI416" s="17"/>
      <c r="AJ416" s="46" t="str">
        <f aca="true">IF(OR(E416="",B416=""),"",INT(TODAY()-B416))</f>
        <v/>
      </c>
      <c r="AK416" s="44" t="str">
        <f aca="true">IF(E416="","",IF(OR(COUNTIFS(Clients!$C$2:$C$501,E416,Clients!$S$2:$S$501,"Paid")&gt;0,AND(I416&lt;&gt;"",COUNTIFS(Clients!$E$2:$E$501,I416,Clients!$S$2:$S$501,"Paid")&gt;0)),"⚠ Refunded before – no free video",IF(OR(AA416="Contract signed + paid",AA416="Closed – No response",AA416="Lost"),"",IF(AA416="","Set a stage",IF(AND(AA416="Proposal sent",COUNTA(Q416:V416)&lt;6),"Score this lead – proposal sent unscored",IF(N(AC416)&gt;=Settings!$S$3,"Close – 4 follow-ups sent",IF(AD416="",IF(AB416="","Make first contact",""),IF(TODAY()&gt;AD416,"OVERDUE follow-up",IF(TODAY()=AD416,"Follow up today","")))))))))</f>
        <v/>
      </c>
    </row>
    <row r="417" customFormat="false" ht="15" hidden="false" customHeight="false" outlineLevel="0" collapsed="false">
      <c r="A417" s="17"/>
      <c r="B417" s="40"/>
      <c r="C417" s="41"/>
      <c r="D417" s="17"/>
      <c r="E417" s="17"/>
      <c r="F417" s="17"/>
      <c r="G417" s="17"/>
      <c r="H417" s="17"/>
      <c r="I417" s="42"/>
      <c r="J417" s="17"/>
      <c r="K417" s="17"/>
      <c r="L417" s="17"/>
      <c r="M417" s="17"/>
      <c r="N417" s="40"/>
      <c r="O417" s="41"/>
      <c r="P417" s="43" t="str">
        <f aca="false">IF(OR(B417="",N417=""),"",ROUND(((N417+N(O417))-(B417+N(C417)))*24,1))</f>
        <v/>
      </c>
      <c r="Q417" s="17"/>
      <c r="R417" s="17"/>
      <c r="S417" s="17"/>
      <c r="T417" s="17"/>
      <c r="U417" s="17"/>
      <c r="V417" s="17"/>
      <c r="W417" s="44" t="str">
        <f aca="false">IF(OR(E417="",COUNTA(Q417:V417)=0),"",SUMIFS(Settings!$AA$2:$AA$21,Settings!$Y$2:$Y$21,"Budget AED 5k+/mo?",Settings!$Z$2:$Z$21,Q417)+SUMIFS(Settings!$AA$2:$AA$21,Settings!$Y$2:$Y$21,"Decision-maker?",Settings!$Z$2:$Z$21,R417)+SUMIFS(Settings!$AA$2:$AA$21,Settings!$Y$2:$Y$21,"Someone on camera?",Settings!$Z$2:$Z$21,S417)+SUMIFS(Settings!$AA$2:$AA$21,Settings!$Y$2:$Y$21,"OK with 3-month term?",Settings!$Z$2:$Z$21,T417)+SUMIFS(Settings!$AA$2:$AA$21,Settings!$Y$2:$Y$21,"Start timeline",Settings!$Z$2:$Z$21,U417)+SUMIFS(Settings!$AA$2:$AA$21,Settings!$Y$2:$Y$21,"Social media gap",Settings!$Z$2:$Z$21,V417)+IF(F417="",0,IF(COUNTIF(Settings!$AC$2:$AC$6,F417)&gt;0,Settings!$AA$20,Settings!$AA$21)))</f>
        <v/>
      </c>
      <c r="X417" s="44" t="str">
        <f aca="false">IF(E417="","",IF(COUNTA(Q417:V417)=0,"Not scored",IF(COUNTA(Q417:V417)&lt;6,"Partly scored ("&amp;COUNTA(Q417:V417)&amp;"/6)",IF(W417&gt;=Settings!$S$8,"Hot",IF(W417&gt;=Settings!$S$9,"Warm","Cold")))))</f>
        <v/>
      </c>
      <c r="Y417" s="44" t="str">
        <f aca="false">IF(E417="","",IF(AND(Q417="No",S417="No"),"🚩 Budget  ·  🚩 No one on camera",IF(Q417="No","🚩 Budget under AED 5k",IF(S417="No","🚩 No one on camera",""))))</f>
        <v/>
      </c>
      <c r="Z417" s="17"/>
      <c r="AA417" s="17"/>
      <c r="AB417" s="40"/>
      <c r="AC417" s="17"/>
      <c r="AD417" s="45" t="str">
        <f aca="false">IF(OR(E417="",AB417="",OR(AA417="Contract signed + paid",AA417="Closed – No response",AA417="Lost"),N(AC417)&gt;=Settings!$S$3),"",AB417+Settings!$S$2)</f>
        <v/>
      </c>
      <c r="AE417" s="40"/>
      <c r="AF417" s="41"/>
      <c r="AG417" s="17"/>
      <c r="AH417" s="17"/>
      <c r="AI417" s="17"/>
      <c r="AJ417" s="46" t="str">
        <f aca="true">IF(OR(E417="",B417=""),"",INT(TODAY()-B417))</f>
        <v/>
      </c>
      <c r="AK417" s="44" t="str">
        <f aca="true">IF(E417="","",IF(OR(COUNTIFS(Clients!$C$2:$C$501,E417,Clients!$S$2:$S$501,"Paid")&gt;0,AND(I417&lt;&gt;"",COUNTIFS(Clients!$E$2:$E$501,I417,Clients!$S$2:$S$501,"Paid")&gt;0)),"⚠ Refunded before – no free video",IF(OR(AA417="Contract signed + paid",AA417="Closed – No response",AA417="Lost"),"",IF(AA417="","Set a stage",IF(AND(AA417="Proposal sent",COUNTA(Q417:V417)&lt;6),"Score this lead – proposal sent unscored",IF(N(AC417)&gt;=Settings!$S$3,"Close – 4 follow-ups sent",IF(AD417="",IF(AB417="","Make first contact",""),IF(TODAY()&gt;AD417,"OVERDUE follow-up",IF(TODAY()=AD417,"Follow up today","")))))))))</f>
        <v/>
      </c>
    </row>
    <row r="418" customFormat="false" ht="15" hidden="false" customHeight="false" outlineLevel="0" collapsed="false">
      <c r="A418" s="17"/>
      <c r="B418" s="40"/>
      <c r="C418" s="41"/>
      <c r="D418" s="17"/>
      <c r="E418" s="17"/>
      <c r="F418" s="17"/>
      <c r="G418" s="17"/>
      <c r="H418" s="17"/>
      <c r="I418" s="42"/>
      <c r="J418" s="17"/>
      <c r="K418" s="17"/>
      <c r="L418" s="17"/>
      <c r="M418" s="17"/>
      <c r="N418" s="40"/>
      <c r="O418" s="41"/>
      <c r="P418" s="43" t="str">
        <f aca="false">IF(OR(B418="",N418=""),"",ROUND(((N418+N(O418))-(B418+N(C418)))*24,1))</f>
        <v/>
      </c>
      <c r="Q418" s="17"/>
      <c r="R418" s="17"/>
      <c r="S418" s="17"/>
      <c r="T418" s="17"/>
      <c r="U418" s="17"/>
      <c r="V418" s="17"/>
      <c r="W418" s="44" t="str">
        <f aca="false">IF(OR(E418="",COUNTA(Q418:V418)=0),"",SUMIFS(Settings!$AA$2:$AA$21,Settings!$Y$2:$Y$21,"Budget AED 5k+/mo?",Settings!$Z$2:$Z$21,Q418)+SUMIFS(Settings!$AA$2:$AA$21,Settings!$Y$2:$Y$21,"Decision-maker?",Settings!$Z$2:$Z$21,R418)+SUMIFS(Settings!$AA$2:$AA$21,Settings!$Y$2:$Y$21,"Someone on camera?",Settings!$Z$2:$Z$21,S418)+SUMIFS(Settings!$AA$2:$AA$21,Settings!$Y$2:$Y$21,"OK with 3-month term?",Settings!$Z$2:$Z$21,T418)+SUMIFS(Settings!$AA$2:$AA$21,Settings!$Y$2:$Y$21,"Start timeline",Settings!$Z$2:$Z$21,U418)+SUMIFS(Settings!$AA$2:$AA$21,Settings!$Y$2:$Y$21,"Social media gap",Settings!$Z$2:$Z$21,V418)+IF(F418="",0,IF(COUNTIF(Settings!$AC$2:$AC$6,F418)&gt;0,Settings!$AA$20,Settings!$AA$21)))</f>
        <v/>
      </c>
      <c r="X418" s="44" t="str">
        <f aca="false">IF(E418="","",IF(COUNTA(Q418:V418)=0,"Not scored",IF(COUNTA(Q418:V418)&lt;6,"Partly scored ("&amp;COUNTA(Q418:V418)&amp;"/6)",IF(W418&gt;=Settings!$S$8,"Hot",IF(W418&gt;=Settings!$S$9,"Warm","Cold")))))</f>
        <v/>
      </c>
      <c r="Y418" s="44" t="str">
        <f aca="false">IF(E418="","",IF(AND(Q418="No",S418="No"),"🚩 Budget  ·  🚩 No one on camera",IF(Q418="No","🚩 Budget under AED 5k",IF(S418="No","🚩 No one on camera",""))))</f>
        <v/>
      </c>
      <c r="Z418" s="17"/>
      <c r="AA418" s="17"/>
      <c r="AB418" s="40"/>
      <c r="AC418" s="17"/>
      <c r="AD418" s="45" t="str">
        <f aca="false">IF(OR(E418="",AB418="",OR(AA418="Contract signed + paid",AA418="Closed – No response",AA418="Lost"),N(AC418)&gt;=Settings!$S$3),"",AB418+Settings!$S$2)</f>
        <v/>
      </c>
      <c r="AE418" s="40"/>
      <c r="AF418" s="41"/>
      <c r="AG418" s="17"/>
      <c r="AH418" s="17"/>
      <c r="AI418" s="17"/>
      <c r="AJ418" s="46" t="str">
        <f aca="true">IF(OR(E418="",B418=""),"",INT(TODAY()-B418))</f>
        <v/>
      </c>
      <c r="AK418" s="44" t="str">
        <f aca="true">IF(E418="","",IF(OR(COUNTIFS(Clients!$C$2:$C$501,E418,Clients!$S$2:$S$501,"Paid")&gt;0,AND(I418&lt;&gt;"",COUNTIFS(Clients!$E$2:$E$501,I418,Clients!$S$2:$S$501,"Paid")&gt;0)),"⚠ Refunded before – no free video",IF(OR(AA418="Contract signed + paid",AA418="Closed – No response",AA418="Lost"),"",IF(AA418="","Set a stage",IF(AND(AA418="Proposal sent",COUNTA(Q418:V418)&lt;6),"Score this lead – proposal sent unscored",IF(N(AC418)&gt;=Settings!$S$3,"Close – 4 follow-ups sent",IF(AD418="",IF(AB418="","Make first contact",""),IF(TODAY()&gt;AD418,"OVERDUE follow-up",IF(TODAY()=AD418,"Follow up today","")))))))))</f>
        <v/>
      </c>
    </row>
    <row r="419" customFormat="false" ht="15" hidden="false" customHeight="false" outlineLevel="0" collapsed="false">
      <c r="A419" s="17"/>
      <c r="B419" s="40"/>
      <c r="C419" s="41"/>
      <c r="D419" s="17"/>
      <c r="E419" s="17"/>
      <c r="F419" s="17"/>
      <c r="G419" s="17"/>
      <c r="H419" s="17"/>
      <c r="I419" s="42"/>
      <c r="J419" s="17"/>
      <c r="K419" s="17"/>
      <c r="L419" s="17"/>
      <c r="M419" s="17"/>
      <c r="N419" s="40"/>
      <c r="O419" s="41"/>
      <c r="P419" s="43" t="str">
        <f aca="false">IF(OR(B419="",N419=""),"",ROUND(((N419+N(O419))-(B419+N(C419)))*24,1))</f>
        <v/>
      </c>
      <c r="Q419" s="17"/>
      <c r="R419" s="17"/>
      <c r="S419" s="17"/>
      <c r="T419" s="17"/>
      <c r="U419" s="17"/>
      <c r="V419" s="17"/>
      <c r="W419" s="44" t="str">
        <f aca="false">IF(OR(E419="",COUNTA(Q419:V419)=0),"",SUMIFS(Settings!$AA$2:$AA$21,Settings!$Y$2:$Y$21,"Budget AED 5k+/mo?",Settings!$Z$2:$Z$21,Q419)+SUMIFS(Settings!$AA$2:$AA$21,Settings!$Y$2:$Y$21,"Decision-maker?",Settings!$Z$2:$Z$21,R419)+SUMIFS(Settings!$AA$2:$AA$21,Settings!$Y$2:$Y$21,"Someone on camera?",Settings!$Z$2:$Z$21,S419)+SUMIFS(Settings!$AA$2:$AA$21,Settings!$Y$2:$Y$21,"OK with 3-month term?",Settings!$Z$2:$Z$21,T419)+SUMIFS(Settings!$AA$2:$AA$21,Settings!$Y$2:$Y$21,"Start timeline",Settings!$Z$2:$Z$21,U419)+SUMIFS(Settings!$AA$2:$AA$21,Settings!$Y$2:$Y$21,"Social media gap",Settings!$Z$2:$Z$21,V419)+IF(F419="",0,IF(COUNTIF(Settings!$AC$2:$AC$6,F419)&gt;0,Settings!$AA$20,Settings!$AA$21)))</f>
        <v/>
      </c>
      <c r="X419" s="44" t="str">
        <f aca="false">IF(E419="","",IF(COUNTA(Q419:V419)=0,"Not scored",IF(COUNTA(Q419:V419)&lt;6,"Partly scored ("&amp;COUNTA(Q419:V419)&amp;"/6)",IF(W419&gt;=Settings!$S$8,"Hot",IF(W419&gt;=Settings!$S$9,"Warm","Cold")))))</f>
        <v/>
      </c>
      <c r="Y419" s="44" t="str">
        <f aca="false">IF(E419="","",IF(AND(Q419="No",S419="No"),"🚩 Budget  ·  🚩 No one on camera",IF(Q419="No","🚩 Budget under AED 5k",IF(S419="No","🚩 No one on camera",""))))</f>
        <v/>
      </c>
      <c r="Z419" s="17"/>
      <c r="AA419" s="17"/>
      <c r="AB419" s="40"/>
      <c r="AC419" s="17"/>
      <c r="AD419" s="45" t="str">
        <f aca="false">IF(OR(E419="",AB419="",OR(AA419="Contract signed + paid",AA419="Closed – No response",AA419="Lost"),N(AC419)&gt;=Settings!$S$3),"",AB419+Settings!$S$2)</f>
        <v/>
      </c>
      <c r="AE419" s="40"/>
      <c r="AF419" s="41"/>
      <c r="AG419" s="17"/>
      <c r="AH419" s="17"/>
      <c r="AI419" s="17"/>
      <c r="AJ419" s="46" t="str">
        <f aca="true">IF(OR(E419="",B419=""),"",INT(TODAY()-B419))</f>
        <v/>
      </c>
      <c r="AK419" s="44" t="str">
        <f aca="true">IF(E419="","",IF(OR(COUNTIFS(Clients!$C$2:$C$501,E419,Clients!$S$2:$S$501,"Paid")&gt;0,AND(I419&lt;&gt;"",COUNTIFS(Clients!$E$2:$E$501,I419,Clients!$S$2:$S$501,"Paid")&gt;0)),"⚠ Refunded before – no free video",IF(OR(AA419="Contract signed + paid",AA419="Closed – No response",AA419="Lost"),"",IF(AA419="","Set a stage",IF(AND(AA419="Proposal sent",COUNTA(Q419:V419)&lt;6),"Score this lead – proposal sent unscored",IF(N(AC419)&gt;=Settings!$S$3,"Close – 4 follow-ups sent",IF(AD419="",IF(AB419="","Make first contact",""),IF(TODAY()&gt;AD419,"OVERDUE follow-up",IF(TODAY()=AD419,"Follow up today","")))))))))</f>
        <v/>
      </c>
    </row>
    <row r="420" customFormat="false" ht="15" hidden="false" customHeight="false" outlineLevel="0" collapsed="false">
      <c r="A420" s="17"/>
      <c r="B420" s="40"/>
      <c r="C420" s="41"/>
      <c r="D420" s="17"/>
      <c r="E420" s="17"/>
      <c r="F420" s="17"/>
      <c r="G420" s="17"/>
      <c r="H420" s="17"/>
      <c r="I420" s="42"/>
      <c r="J420" s="17"/>
      <c r="K420" s="17"/>
      <c r="L420" s="17"/>
      <c r="M420" s="17"/>
      <c r="N420" s="40"/>
      <c r="O420" s="41"/>
      <c r="P420" s="43" t="str">
        <f aca="false">IF(OR(B420="",N420=""),"",ROUND(((N420+N(O420))-(B420+N(C420)))*24,1))</f>
        <v/>
      </c>
      <c r="Q420" s="17"/>
      <c r="R420" s="17"/>
      <c r="S420" s="17"/>
      <c r="T420" s="17"/>
      <c r="U420" s="17"/>
      <c r="V420" s="17"/>
      <c r="W420" s="44" t="str">
        <f aca="false">IF(OR(E420="",COUNTA(Q420:V420)=0),"",SUMIFS(Settings!$AA$2:$AA$21,Settings!$Y$2:$Y$21,"Budget AED 5k+/mo?",Settings!$Z$2:$Z$21,Q420)+SUMIFS(Settings!$AA$2:$AA$21,Settings!$Y$2:$Y$21,"Decision-maker?",Settings!$Z$2:$Z$21,R420)+SUMIFS(Settings!$AA$2:$AA$21,Settings!$Y$2:$Y$21,"Someone on camera?",Settings!$Z$2:$Z$21,S420)+SUMIFS(Settings!$AA$2:$AA$21,Settings!$Y$2:$Y$21,"OK with 3-month term?",Settings!$Z$2:$Z$21,T420)+SUMIFS(Settings!$AA$2:$AA$21,Settings!$Y$2:$Y$21,"Start timeline",Settings!$Z$2:$Z$21,U420)+SUMIFS(Settings!$AA$2:$AA$21,Settings!$Y$2:$Y$21,"Social media gap",Settings!$Z$2:$Z$21,V420)+IF(F420="",0,IF(COUNTIF(Settings!$AC$2:$AC$6,F420)&gt;0,Settings!$AA$20,Settings!$AA$21)))</f>
        <v/>
      </c>
      <c r="X420" s="44" t="str">
        <f aca="false">IF(E420="","",IF(COUNTA(Q420:V420)=0,"Not scored",IF(COUNTA(Q420:V420)&lt;6,"Partly scored ("&amp;COUNTA(Q420:V420)&amp;"/6)",IF(W420&gt;=Settings!$S$8,"Hot",IF(W420&gt;=Settings!$S$9,"Warm","Cold")))))</f>
        <v/>
      </c>
      <c r="Y420" s="44" t="str">
        <f aca="false">IF(E420="","",IF(AND(Q420="No",S420="No"),"🚩 Budget  ·  🚩 No one on camera",IF(Q420="No","🚩 Budget under AED 5k",IF(S420="No","🚩 No one on camera",""))))</f>
        <v/>
      </c>
      <c r="Z420" s="17"/>
      <c r="AA420" s="17"/>
      <c r="AB420" s="40"/>
      <c r="AC420" s="17"/>
      <c r="AD420" s="45" t="str">
        <f aca="false">IF(OR(E420="",AB420="",OR(AA420="Contract signed + paid",AA420="Closed – No response",AA420="Lost"),N(AC420)&gt;=Settings!$S$3),"",AB420+Settings!$S$2)</f>
        <v/>
      </c>
      <c r="AE420" s="40"/>
      <c r="AF420" s="41"/>
      <c r="AG420" s="17"/>
      <c r="AH420" s="17"/>
      <c r="AI420" s="17"/>
      <c r="AJ420" s="46" t="str">
        <f aca="true">IF(OR(E420="",B420=""),"",INT(TODAY()-B420))</f>
        <v/>
      </c>
      <c r="AK420" s="44" t="str">
        <f aca="true">IF(E420="","",IF(OR(COUNTIFS(Clients!$C$2:$C$501,E420,Clients!$S$2:$S$501,"Paid")&gt;0,AND(I420&lt;&gt;"",COUNTIFS(Clients!$E$2:$E$501,I420,Clients!$S$2:$S$501,"Paid")&gt;0)),"⚠ Refunded before – no free video",IF(OR(AA420="Contract signed + paid",AA420="Closed – No response",AA420="Lost"),"",IF(AA420="","Set a stage",IF(AND(AA420="Proposal sent",COUNTA(Q420:V420)&lt;6),"Score this lead – proposal sent unscored",IF(N(AC420)&gt;=Settings!$S$3,"Close – 4 follow-ups sent",IF(AD420="",IF(AB420="","Make first contact",""),IF(TODAY()&gt;AD420,"OVERDUE follow-up",IF(TODAY()=AD420,"Follow up today","")))))))))</f>
        <v/>
      </c>
    </row>
    <row r="421" customFormat="false" ht="15" hidden="false" customHeight="false" outlineLevel="0" collapsed="false">
      <c r="A421" s="17"/>
      <c r="B421" s="40"/>
      <c r="C421" s="41"/>
      <c r="D421" s="17"/>
      <c r="E421" s="17"/>
      <c r="F421" s="17"/>
      <c r="G421" s="17"/>
      <c r="H421" s="17"/>
      <c r="I421" s="42"/>
      <c r="J421" s="17"/>
      <c r="K421" s="17"/>
      <c r="L421" s="17"/>
      <c r="M421" s="17"/>
      <c r="N421" s="40"/>
      <c r="O421" s="41"/>
      <c r="P421" s="43" t="str">
        <f aca="false">IF(OR(B421="",N421=""),"",ROUND(((N421+N(O421))-(B421+N(C421)))*24,1))</f>
        <v/>
      </c>
      <c r="Q421" s="17"/>
      <c r="R421" s="17"/>
      <c r="S421" s="17"/>
      <c r="T421" s="17"/>
      <c r="U421" s="17"/>
      <c r="V421" s="17"/>
      <c r="W421" s="44" t="str">
        <f aca="false">IF(OR(E421="",COUNTA(Q421:V421)=0),"",SUMIFS(Settings!$AA$2:$AA$21,Settings!$Y$2:$Y$21,"Budget AED 5k+/mo?",Settings!$Z$2:$Z$21,Q421)+SUMIFS(Settings!$AA$2:$AA$21,Settings!$Y$2:$Y$21,"Decision-maker?",Settings!$Z$2:$Z$21,R421)+SUMIFS(Settings!$AA$2:$AA$21,Settings!$Y$2:$Y$21,"Someone on camera?",Settings!$Z$2:$Z$21,S421)+SUMIFS(Settings!$AA$2:$AA$21,Settings!$Y$2:$Y$21,"OK with 3-month term?",Settings!$Z$2:$Z$21,T421)+SUMIFS(Settings!$AA$2:$AA$21,Settings!$Y$2:$Y$21,"Start timeline",Settings!$Z$2:$Z$21,U421)+SUMIFS(Settings!$AA$2:$AA$21,Settings!$Y$2:$Y$21,"Social media gap",Settings!$Z$2:$Z$21,V421)+IF(F421="",0,IF(COUNTIF(Settings!$AC$2:$AC$6,F421)&gt;0,Settings!$AA$20,Settings!$AA$21)))</f>
        <v/>
      </c>
      <c r="X421" s="44" t="str">
        <f aca="false">IF(E421="","",IF(COUNTA(Q421:V421)=0,"Not scored",IF(COUNTA(Q421:V421)&lt;6,"Partly scored ("&amp;COUNTA(Q421:V421)&amp;"/6)",IF(W421&gt;=Settings!$S$8,"Hot",IF(W421&gt;=Settings!$S$9,"Warm","Cold")))))</f>
        <v/>
      </c>
      <c r="Y421" s="44" t="str">
        <f aca="false">IF(E421="","",IF(AND(Q421="No",S421="No"),"🚩 Budget  ·  🚩 No one on camera",IF(Q421="No","🚩 Budget under AED 5k",IF(S421="No","🚩 No one on camera",""))))</f>
        <v/>
      </c>
      <c r="Z421" s="17"/>
      <c r="AA421" s="17"/>
      <c r="AB421" s="40"/>
      <c r="AC421" s="17"/>
      <c r="AD421" s="45" t="str">
        <f aca="false">IF(OR(E421="",AB421="",OR(AA421="Contract signed + paid",AA421="Closed – No response",AA421="Lost"),N(AC421)&gt;=Settings!$S$3),"",AB421+Settings!$S$2)</f>
        <v/>
      </c>
      <c r="AE421" s="40"/>
      <c r="AF421" s="41"/>
      <c r="AG421" s="17"/>
      <c r="AH421" s="17"/>
      <c r="AI421" s="17"/>
      <c r="AJ421" s="46" t="str">
        <f aca="true">IF(OR(E421="",B421=""),"",INT(TODAY()-B421))</f>
        <v/>
      </c>
      <c r="AK421" s="44" t="str">
        <f aca="true">IF(E421="","",IF(OR(COUNTIFS(Clients!$C$2:$C$501,E421,Clients!$S$2:$S$501,"Paid")&gt;0,AND(I421&lt;&gt;"",COUNTIFS(Clients!$E$2:$E$501,I421,Clients!$S$2:$S$501,"Paid")&gt;0)),"⚠ Refunded before – no free video",IF(OR(AA421="Contract signed + paid",AA421="Closed – No response",AA421="Lost"),"",IF(AA421="","Set a stage",IF(AND(AA421="Proposal sent",COUNTA(Q421:V421)&lt;6),"Score this lead – proposal sent unscored",IF(N(AC421)&gt;=Settings!$S$3,"Close – 4 follow-ups sent",IF(AD421="",IF(AB421="","Make first contact",""),IF(TODAY()&gt;AD421,"OVERDUE follow-up",IF(TODAY()=AD421,"Follow up today","")))))))))</f>
        <v/>
      </c>
    </row>
    <row r="422" customFormat="false" ht="15" hidden="false" customHeight="false" outlineLevel="0" collapsed="false">
      <c r="A422" s="17"/>
      <c r="B422" s="40"/>
      <c r="C422" s="41"/>
      <c r="D422" s="17"/>
      <c r="E422" s="17"/>
      <c r="F422" s="17"/>
      <c r="G422" s="17"/>
      <c r="H422" s="17"/>
      <c r="I422" s="42"/>
      <c r="J422" s="17"/>
      <c r="K422" s="17"/>
      <c r="L422" s="17"/>
      <c r="M422" s="17"/>
      <c r="N422" s="40"/>
      <c r="O422" s="41"/>
      <c r="P422" s="43" t="str">
        <f aca="false">IF(OR(B422="",N422=""),"",ROUND(((N422+N(O422))-(B422+N(C422)))*24,1))</f>
        <v/>
      </c>
      <c r="Q422" s="17"/>
      <c r="R422" s="17"/>
      <c r="S422" s="17"/>
      <c r="T422" s="17"/>
      <c r="U422" s="17"/>
      <c r="V422" s="17"/>
      <c r="W422" s="44" t="str">
        <f aca="false">IF(OR(E422="",COUNTA(Q422:V422)=0),"",SUMIFS(Settings!$AA$2:$AA$21,Settings!$Y$2:$Y$21,"Budget AED 5k+/mo?",Settings!$Z$2:$Z$21,Q422)+SUMIFS(Settings!$AA$2:$AA$21,Settings!$Y$2:$Y$21,"Decision-maker?",Settings!$Z$2:$Z$21,R422)+SUMIFS(Settings!$AA$2:$AA$21,Settings!$Y$2:$Y$21,"Someone on camera?",Settings!$Z$2:$Z$21,S422)+SUMIFS(Settings!$AA$2:$AA$21,Settings!$Y$2:$Y$21,"OK with 3-month term?",Settings!$Z$2:$Z$21,T422)+SUMIFS(Settings!$AA$2:$AA$21,Settings!$Y$2:$Y$21,"Start timeline",Settings!$Z$2:$Z$21,U422)+SUMIFS(Settings!$AA$2:$AA$21,Settings!$Y$2:$Y$21,"Social media gap",Settings!$Z$2:$Z$21,V422)+IF(F422="",0,IF(COUNTIF(Settings!$AC$2:$AC$6,F422)&gt;0,Settings!$AA$20,Settings!$AA$21)))</f>
        <v/>
      </c>
      <c r="X422" s="44" t="str">
        <f aca="false">IF(E422="","",IF(COUNTA(Q422:V422)=0,"Not scored",IF(COUNTA(Q422:V422)&lt;6,"Partly scored ("&amp;COUNTA(Q422:V422)&amp;"/6)",IF(W422&gt;=Settings!$S$8,"Hot",IF(W422&gt;=Settings!$S$9,"Warm","Cold")))))</f>
        <v/>
      </c>
      <c r="Y422" s="44" t="str">
        <f aca="false">IF(E422="","",IF(AND(Q422="No",S422="No"),"🚩 Budget  ·  🚩 No one on camera",IF(Q422="No","🚩 Budget under AED 5k",IF(S422="No","🚩 No one on camera",""))))</f>
        <v/>
      </c>
      <c r="Z422" s="17"/>
      <c r="AA422" s="17"/>
      <c r="AB422" s="40"/>
      <c r="AC422" s="17"/>
      <c r="AD422" s="45" t="str">
        <f aca="false">IF(OR(E422="",AB422="",OR(AA422="Contract signed + paid",AA422="Closed – No response",AA422="Lost"),N(AC422)&gt;=Settings!$S$3),"",AB422+Settings!$S$2)</f>
        <v/>
      </c>
      <c r="AE422" s="40"/>
      <c r="AF422" s="41"/>
      <c r="AG422" s="17"/>
      <c r="AH422" s="17"/>
      <c r="AI422" s="17"/>
      <c r="AJ422" s="46" t="str">
        <f aca="true">IF(OR(E422="",B422=""),"",INT(TODAY()-B422))</f>
        <v/>
      </c>
      <c r="AK422" s="44" t="str">
        <f aca="true">IF(E422="","",IF(OR(COUNTIFS(Clients!$C$2:$C$501,E422,Clients!$S$2:$S$501,"Paid")&gt;0,AND(I422&lt;&gt;"",COUNTIFS(Clients!$E$2:$E$501,I422,Clients!$S$2:$S$501,"Paid")&gt;0)),"⚠ Refunded before – no free video",IF(OR(AA422="Contract signed + paid",AA422="Closed – No response",AA422="Lost"),"",IF(AA422="","Set a stage",IF(AND(AA422="Proposal sent",COUNTA(Q422:V422)&lt;6),"Score this lead – proposal sent unscored",IF(N(AC422)&gt;=Settings!$S$3,"Close – 4 follow-ups sent",IF(AD422="",IF(AB422="","Make first contact",""),IF(TODAY()&gt;AD422,"OVERDUE follow-up",IF(TODAY()=AD422,"Follow up today","")))))))))</f>
        <v/>
      </c>
    </row>
    <row r="423" customFormat="false" ht="15" hidden="false" customHeight="false" outlineLevel="0" collapsed="false">
      <c r="A423" s="17"/>
      <c r="B423" s="40"/>
      <c r="C423" s="41"/>
      <c r="D423" s="17"/>
      <c r="E423" s="17"/>
      <c r="F423" s="17"/>
      <c r="G423" s="17"/>
      <c r="H423" s="17"/>
      <c r="I423" s="42"/>
      <c r="J423" s="17"/>
      <c r="K423" s="17"/>
      <c r="L423" s="17"/>
      <c r="M423" s="17"/>
      <c r="N423" s="40"/>
      <c r="O423" s="41"/>
      <c r="P423" s="43" t="str">
        <f aca="false">IF(OR(B423="",N423=""),"",ROUND(((N423+N(O423))-(B423+N(C423)))*24,1))</f>
        <v/>
      </c>
      <c r="Q423" s="17"/>
      <c r="R423" s="17"/>
      <c r="S423" s="17"/>
      <c r="T423" s="17"/>
      <c r="U423" s="17"/>
      <c r="V423" s="17"/>
      <c r="W423" s="44" t="str">
        <f aca="false">IF(OR(E423="",COUNTA(Q423:V423)=0),"",SUMIFS(Settings!$AA$2:$AA$21,Settings!$Y$2:$Y$21,"Budget AED 5k+/mo?",Settings!$Z$2:$Z$21,Q423)+SUMIFS(Settings!$AA$2:$AA$21,Settings!$Y$2:$Y$21,"Decision-maker?",Settings!$Z$2:$Z$21,R423)+SUMIFS(Settings!$AA$2:$AA$21,Settings!$Y$2:$Y$21,"Someone on camera?",Settings!$Z$2:$Z$21,S423)+SUMIFS(Settings!$AA$2:$AA$21,Settings!$Y$2:$Y$21,"OK with 3-month term?",Settings!$Z$2:$Z$21,T423)+SUMIFS(Settings!$AA$2:$AA$21,Settings!$Y$2:$Y$21,"Start timeline",Settings!$Z$2:$Z$21,U423)+SUMIFS(Settings!$AA$2:$AA$21,Settings!$Y$2:$Y$21,"Social media gap",Settings!$Z$2:$Z$21,V423)+IF(F423="",0,IF(COUNTIF(Settings!$AC$2:$AC$6,F423)&gt;0,Settings!$AA$20,Settings!$AA$21)))</f>
        <v/>
      </c>
      <c r="X423" s="44" t="str">
        <f aca="false">IF(E423="","",IF(COUNTA(Q423:V423)=0,"Not scored",IF(COUNTA(Q423:V423)&lt;6,"Partly scored ("&amp;COUNTA(Q423:V423)&amp;"/6)",IF(W423&gt;=Settings!$S$8,"Hot",IF(W423&gt;=Settings!$S$9,"Warm","Cold")))))</f>
        <v/>
      </c>
      <c r="Y423" s="44" t="str">
        <f aca="false">IF(E423="","",IF(AND(Q423="No",S423="No"),"🚩 Budget  ·  🚩 No one on camera",IF(Q423="No","🚩 Budget under AED 5k",IF(S423="No","🚩 No one on camera",""))))</f>
        <v/>
      </c>
      <c r="Z423" s="17"/>
      <c r="AA423" s="17"/>
      <c r="AB423" s="40"/>
      <c r="AC423" s="17"/>
      <c r="AD423" s="45" t="str">
        <f aca="false">IF(OR(E423="",AB423="",OR(AA423="Contract signed + paid",AA423="Closed – No response",AA423="Lost"),N(AC423)&gt;=Settings!$S$3),"",AB423+Settings!$S$2)</f>
        <v/>
      </c>
      <c r="AE423" s="40"/>
      <c r="AF423" s="41"/>
      <c r="AG423" s="17"/>
      <c r="AH423" s="17"/>
      <c r="AI423" s="17"/>
      <c r="AJ423" s="46" t="str">
        <f aca="true">IF(OR(E423="",B423=""),"",INT(TODAY()-B423))</f>
        <v/>
      </c>
      <c r="AK423" s="44" t="str">
        <f aca="true">IF(E423="","",IF(OR(COUNTIFS(Clients!$C$2:$C$501,E423,Clients!$S$2:$S$501,"Paid")&gt;0,AND(I423&lt;&gt;"",COUNTIFS(Clients!$E$2:$E$501,I423,Clients!$S$2:$S$501,"Paid")&gt;0)),"⚠ Refunded before – no free video",IF(OR(AA423="Contract signed + paid",AA423="Closed – No response",AA423="Lost"),"",IF(AA423="","Set a stage",IF(AND(AA423="Proposal sent",COUNTA(Q423:V423)&lt;6),"Score this lead – proposal sent unscored",IF(N(AC423)&gt;=Settings!$S$3,"Close – 4 follow-ups sent",IF(AD423="",IF(AB423="","Make first contact",""),IF(TODAY()&gt;AD423,"OVERDUE follow-up",IF(TODAY()=AD423,"Follow up today","")))))))))</f>
        <v/>
      </c>
    </row>
    <row r="424" customFormat="false" ht="15" hidden="false" customHeight="false" outlineLevel="0" collapsed="false">
      <c r="A424" s="17"/>
      <c r="B424" s="40"/>
      <c r="C424" s="41"/>
      <c r="D424" s="17"/>
      <c r="E424" s="17"/>
      <c r="F424" s="17"/>
      <c r="G424" s="17"/>
      <c r="H424" s="17"/>
      <c r="I424" s="42"/>
      <c r="J424" s="17"/>
      <c r="K424" s="17"/>
      <c r="L424" s="17"/>
      <c r="M424" s="17"/>
      <c r="N424" s="40"/>
      <c r="O424" s="41"/>
      <c r="P424" s="43" t="str">
        <f aca="false">IF(OR(B424="",N424=""),"",ROUND(((N424+N(O424))-(B424+N(C424)))*24,1))</f>
        <v/>
      </c>
      <c r="Q424" s="17"/>
      <c r="R424" s="17"/>
      <c r="S424" s="17"/>
      <c r="T424" s="17"/>
      <c r="U424" s="17"/>
      <c r="V424" s="17"/>
      <c r="W424" s="44" t="str">
        <f aca="false">IF(OR(E424="",COUNTA(Q424:V424)=0),"",SUMIFS(Settings!$AA$2:$AA$21,Settings!$Y$2:$Y$21,"Budget AED 5k+/mo?",Settings!$Z$2:$Z$21,Q424)+SUMIFS(Settings!$AA$2:$AA$21,Settings!$Y$2:$Y$21,"Decision-maker?",Settings!$Z$2:$Z$21,R424)+SUMIFS(Settings!$AA$2:$AA$21,Settings!$Y$2:$Y$21,"Someone on camera?",Settings!$Z$2:$Z$21,S424)+SUMIFS(Settings!$AA$2:$AA$21,Settings!$Y$2:$Y$21,"OK with 3-month term?",Settings!$Z$2:$Z$21,T424)+SUMIFS(Settings!$AA$2:$AA$21,Settings!$Y$2:$Y$21,"Start timeline",Settings!$Z$2:$Z$21,U424)+SUMIFS(Settings!$AA$2:$AA$21,Settings!$Y$2:$Y$21,"Social media gap",Settings!$Z$2:$Z$21,V424)+IF(F424="",0,IF(COUNTIF(Settings!$AC$2:$AC$6,F424)&gt;0,Settings!$AA$20,Settings!$AA$21)))</f>
        <v/>
      </c>
      <c r="X424" s="44" t="str">
        <f aca="false">IF(E424="","",IF(COUNTA(Q424:V424)=0,"Not scored",IF(COUNTA(Q424:V424)&lt;6,"Partly scored ("&amp;COUNTA(Q424:V424)&amp;"/6)",IF(W424&gt;=Settings!$S$8,"Hot",IF(W424&gt;=Settings!$S$9,"Warm","Cold")))))</f>
        <v/>
      </c>
      <c r="Y424" s="44" t="str">
        <f aca="false">IF(E424="","",IF(AND(Q424="No",S424="No"),"🚩 Budget  ·  🚩 No one on camera",IF(Q424="No","🚩 Budget under AED 5k",IF(S424="No","🚩 No one on camera",""))))</f>
        <v/>
      </c>
      <c r="Z424" s="17"/>
      <c r="AA424" s="17"/>
      <c r="AB424" s="40"/>
      <c r="AC424" s="17"/>
      <c r="AD424" s="45" t="str">
        <f aca="false">IF(OR(E424="",AB424="",OR(AA424="Contract signed + paid",AA424="Closed – No response",AA424="Lost"),N(AC424)&gt;=Settings!$S$3),"",AB424+Settings!$S$2)</f>
        <v/>
      </c>
      <c r="AE424" s="40"/>
      <c r="AF424" s="41"/>
      <c r="AG424" s="17"/>
      <c r="AH424" s="17"/>
      <c r="AI424" s="17"/>
      <c r="AJ424" s="46" t="str">
        <f aca="true">IF(OR(E424="",B424=""),"",INT(TODAY()-B424))</f>
        <v/>
      </c>
      <c r="AK424" s="44" t="str">
        <f aca="true">IF(E424="","",IF(OR(COUNTIFS(Clients!$C$2:$C$501,E424,Clients!$S$2:$S$501,"Paid")&gt;0,AND(I424&lt;&gt;"",COUNTIFS(Clients!$E$2:$E$501,I424,Clients!$S$2:$S$501,"Paid")&gt;0)),"⚠ Refunded before – no free video",IF(OR(AA424="Contract signed + paid",AA424="Closed – No response",AA424="Lost"),"",IF(AA424="","Set a stage",IF(AND(AA424="Proposal sent",COUNTA(Q424:V424)&lt;6),"Score this lead – proposal sent unscored",IF(N(AC424)&gt;=Settings!$S$3,"Close – 4 follow-ups sent",IF(AD424="",IF(AB424="","Make first contact",""),IF(TODAY()&gt;AD424,"OVERDUE follow-up",IF(TODAY()=AD424,"Follow up today","")))))))))</f>
        <v/>
      </c>
    </row>
    <row r="425" customFormat="false" ht="15" hidden="false" customHeight="false" outlineLevel="0" collapsed="false">
      <c r="A425" s="17"/>
      <c r="B425" s="40"/>
      <c r="C425" s="41"/>
      <c r="D425" s="17"/>
      <c r="E425" s="17"/>
      <c r="F425" s="17"/>
      <c r="G425" s="17"/>
      <c r="H425" s="17"/>
      <c r="I425" s="42"/>
      <c r="J425" s="17"/>
      <c r="K425" s="17"/>
      <c r="L425" s="17"/>
      <c r="M425" s="17"/>
      <c r="N425" s="40"/>
      <c r="O425" s="41"/>
      <c r="P425" s="43" t="str">
        <f aca="false">IF(OR(B425="",N425=""),"",ROUND(((N425+N(O425))-(B425+N(C425)))*24,1))</f>
        <v/>
      </c>
      <c r="Q425" s="17"/>
      <c r="R425" s="17"/>
      <c r="S425" s="17"/>
      <c r="T425" s="17"/>
      <c r="U425" s="17"/>
      <c r="V425" s="17"/>
      <c r="W425" s="44" t="str">
        <f aca="false">IF(OR(E425="",COUNTA(Q425:V425)=0),"",SUMIFS(Settings!$AA$2:$AA$21,Settings!$Y$2:$Y$21,"Budget AED 5k+/mo?",Settings!$Z$2:$Z$21,Q425)+SUMIFS(Settings!$AA$2:$AA$21,Settings!$Y$2:$Y$21,"Decision-maker?",Settings!$Z$2:$Z$21,R425)+SUMIFS(Settings!$AA$2:$AA$21,Settings!$Y$2:$Y$21,"Someone on camera?",Settings!$Z$2:$Z$21,S425)+SUMIFS(Settings!$AA$2:$AA$21,Settings!$Y$2:$Y$21,"OK with 3-month term?",Settings!$Z$2:$Z$21,T425)+SUMIFS(Settings!$AA$2:$AA$21,Settings!$Y$2:$Y$21,"Start timeline",Settings!$Z$2:$Z$21,U425)+SUMIFS(Settings!$AA$2:$AA$21,Settings!$Y$2:$Y$21,"Social media gap",Settings!$Z$2:$Z$21,V425)+IF(F425="",0,IF(COUNTIF(Settings!$AC$2:$AC$6,F425)&gt;0,Settings!$AA$20,Settings!$AA$21)))</f>
        <v/>
      </c>
      <c r="X425" s="44" t="str">
        <f aca="false">IF(E425="","",IF(COUNTA(Q425:V425)=0,"Not scored",IF(COUNTA(Q425:V425)&lt;6,"Partly scored ("&amp;COUNTA(Q425:V425)&amp;"/6)",IF(W425&gt;=Settings!$S$8,"Hot",IF(W425&gt;=Settings!$S$9,"Warm","Cold")))))</f>
        <v/>
      </c>
      <c r="Y425" s="44" t="str">
        <f aca="false">IF(E425="","",IF(AND(Q425="No",S425="No"),"🚩 Budget  ·  🚩 No one on camera",IF(Q425="No","🚩 Budget under AED 5k",IF(S425="No","🚩 No one on camera",""))))</f>
        <v/>
      </c>
      <c r="Z425" s="17"/>
      <c r="AA425" s="17"/>
      <c r="AB425" s="40"/>
      <c r="AC425" s="17"/>
      <c r="AD425" s="45" t="str">
        <f aca="false">IF(OR(E425="",AB425="",OR(AA425="Contract signed + paid",AA425="Closed – No response",AA425="Lost"),N(AC425)&gt;=Settings!$S$3),"",AB425+Settings!$S$2)</f>
        <v/>
      </c>
      <c r="AE425" s="40"/>
      <c r="AF425" s="41"/>
      <c r="AG425" s="17"/>
      <c r="AH425" s="17"/>
      <c r="AI425" s="17"/>
      <c r="AJ425" s="46" t="str">
        <f aca="true">IF(OR(E425="",B425=""),"",INT(TODAY()-B425))</f>
        <v/>
      </c>
      <c r="AK425" s="44" t="str">
        <f aca="true">IF(E425="","",IF(OR(COUNTIFS(Clients!$C$2:$C$501,E425,Clients!$S$2:$S$501,"Paid")&gt;0,AND(I425&lt;&gt;"",COUNTIFS(Clients!$E$2:$E$501,I425,Clients!$S$2:$S$501,"Paid")&gt;0)),"⚠ Refunded before – no free video",IF(OR(AA425="Contract signed + paid",AA425="Closed – No response",AA425="Lost"),"",IF(AA425="","Set a stage",IF(AND(AA425="Proposal sent",COUNTA(Q425:V425)&lt;6),"Score this lead – proposal sent unscored",IF(N(AC425)&gt;=Settings!$S$3,"Close – 4 follow-ups sent",IF(AD425="",IF(AB425="","Make first contact",""),IF(TODAY()&gt;AD425,"OVERDUE follow-up",IF(TODAY()=AD425,"Follow up today","")))))))))</f>
        <v/>
      </c>
    </row>
    <row r="426" customFormat="false" ht="15" hidden="false" customHeight="false" outlineLevel="0" collapsed="false">
      <c r="A426" s="17"/>
      <c r="B426" s="40"/>
      <c r="C426" s="41"/>
      <c r="D426" s="17"/>
      <c r="E426" s="17"/>
      <c r="F426" s="17"/>
      <c r="G426" s="17"/>
      <c r="H426" s="17"/>
      <c r="I426" s="42"/>
      <c r="J426" s="17"/>
      <c r="K426" s="17"/>
      <c r="L426" s="17"/>
      <c r="M426" s="17"/>
      <c r="N426" s="40"/>
      <c r="O426" s="41"/>
      <c r="P426" s="43" t="str">
        <f aca="false">IF(OR(B426="",N426=""),"",ROUND(((N426+N(O426))-(B426+N(C426)))*24,1))</f>
        <v/>
      </c>
      <c r="Q426" s="17"/>
      <c r="R426" s="17"/>
      <c r="S426" s="17"/>
      <c r="T426" s="17"/>
      <c r="U426" s="17"/>
      <c r="V426" s="17"/>
      <c r="W426" s="44" t="str">
        <f aca="false">IF(OR(E426="",COUNTA(Q426:V426)=0),"",SUMIFS(Settings!$AA$2:$AA$21,Settings!$Y$2:$Y$21,"Budget AED 5k+/mo?",Settings!$Z$2:$Z$21,Q426)+SUMIFS(Settings!$AA$2:$AA$21,Settings!$Y$2:$Y$21,"Decision-maker?",Settings!$Z$2:$Z$21,R426)+SUMIFS(Settings!$AA$2:$AA$21,Settings!$Y$2:$Y$21,"Someone on camera?",Settings!$Z$2:$Z$21,S426)+SUMIFS(Settings!$AA$2:$AA$21,Settings!$Y$2:$Y$21,"OK with 3-month term?",Settings!$Z$2:$Z$21,T426)+SUMIFS(Settings!$AA$2:$AA$21,Settings!$Y$2:$Y$21,"Start timeline",Settings!$Z$2:$Z$21,U426)+SUMIFS(Settings!$AA$2:$AA$21,Settings!$Y$2:$Y$21,"Social media gap",Settings!$Z$2:$Z$21,V426)+IF(F426="",0,IF(COUNTIF(Settings!$AC$2:$AC$6,F426)&gt;0,Settings!$AA$20,Settings!$AA$21)))</f>
        <v/>
      </c>
      <c r="X426" s="44" t="str">
        <f aca="false">IF(E426="","",IF(COUNTA(Q426:V426)=0,"Not scored",IF(COUNTA(Q426:V426)&lt;6,"Partly scored ("&amp;COUNTA(Q426:V426)&amp;"/6)",IF(W426&gt;=Settings!$S$8,"Hot",IF(W426&gt;=Settings!$S$9,"Warm","Cold")))))</f>
        <v/>
      </c>
      <c r="Y426" s="44" t="str">
        <f aca="false">IF(E426="","",IF(AND(Q426="No",S426="No"),"🚩 Budget  ·  🚩 No one on camera",IF(Q426="No","🚩 Budget under AED 5k",IF(S426="No","🚩 No one on camera",""))))</f>
        <v/>
      </c>
      <c r="Z426" s="17"/>
      <c r="AA426" s="17"/>
      <c r="AB426" s="40"/>
      <c r="AC426" s="17"/>
      <c r="AD426" s="45" t="str">
        <f aca="false">IF(OR(E426="",AB426="",OR(AA426="Contract signed + paid",AA426="Closed – No response",AA426="Lost"),N(AC426)&gt;=Settings!$S$3),"",AB426+Settings!$S$2)</f>
        <v/>
      </c>
      <c r="AE426" s="40"/>
      <c r="AF426" s="41"/>
      <c r="AG426" s="17"/>
      <c r="AH426" s="17"/>
      <c r="AI426" s="17"/>
      <c r="AJ426" s="46" t="str">
        <f aca="true">IF(OR(E426="",B426=""),"",INT(TODAY()-B426))</f>
        <v/>
      </c>
      <c r="AK426" s="44" t="str">
        <f aca="true">IF(E426="","",IF(OR(COUNTIFS(Clients!$C$2:$C$501,E426,Clients!$S$2:$S$501,"Paid")&gt;0,AND(I426&lt;&gt;"",COUNTIFS(Clients!$E$2:$E$501,I426,Clients!$S$2:$S$501,"Paid")&gt;0)),"⚠ Refunded before – no free video",IF(OR(AA426="Contract signed + paid",AA426="Closed – No response",AA426="Lost"),"",IF(AA426="","Set a stage",IF(AND(AA426="Proposal sent",COUNTA(Q426:V426)&lt;6),"Score this lead – proposal sent unscored",IF(N(AC426)&gt;=Settings!$S$3,"Close – 4 follow-ups sent",IF(AD426="",IF(AB426="","Make first contact",""),IF(TODAY()&gt;AD426,"OVERDUE follow-up",IF(TODAY()=AD426,"Follow up today","")))))))))</f>
        <v/>
      </c>
    </row>
    <row r="427" customFormat="false" ht="15" hidden="false" customHeight="false" outlineLevel="0" collapsed="false">
      <c r="A427" s="17"/>
      <c r="B427" s="40"/>
      <c r="C427" s="41"/>
      <c r="D427" s="17"/>
      <c r="E427" s="17"/>
      <c r="F427" s="17"/>
      <c r="G427" s="17"/>
      <c r="H427" s="17"/>
      <c r="I427" s="42"/>
      <c r="J427" s="17"/>
      <c r="K427" s="17"/>
      <c r="L427" s="17"/>
      <c r="M427" s="17"/>
      <c r="N427" s="40"/>
      <c r="O427" s="41"/>
      <c r="P427" s="43" t="str">
        <f aca="false">IF(OR(B427="",N427=""),"",ROUND(((N427+N(O427))-(B427+N(C427)))*24,1))</f>
        <v/>
      </c>
      <c r="Q427" s="17"/>
      <c r="R427" s="17"/>
      <c r="S427" s="17"/>
      <c r="T427" s="17"/>
      <c r="U427" s="17"/>
      <c r="V427" s="17"/>
      <c r="W427" s="44" t="str">
        <f aca="false">IF(OR(E427="",COUNTA(Q427:V427)=0),"",SUMIFS(Settings!$AA$2:$AA$21,Settings!$Y$2:$Y$21,"Budget AED 5k+/mo?",Settings!$Z$2:$Z$21,Q427)+SUMIFS(Settings!$AA$2:$AA$21,Settings!$Y$2:$Y$21,"Decision-maker?",Settings!$Z$2:$Z$21,R427)+SUMIFS(Settings!$AA$2:$AA$21,Settings!$Y$2:$Y$21,"Someone on camera?",Settings!$Z$2:$Z$21,S427)+SUMIFS(Settings!$AA$2:$AA$21,Settings!$Y$2:$Y$21,"OK with 3-month term?",Settings!$Z$2:$Z$21,T427)+SUMIFS(Settings!$AA$2:$AA$21,Settings!$Y$2:$Y$21,"Start timeline",Settings!$Z$2:$Z$21,U427)+SUMIFS(Settings!$AA$2:$AA$21,Settings!$Y$2:$Y$21,"Social media gap",Settings!$Z$2:$Z$21,V427)+IF(F427="",0,IF(COUNTIF(Settings!$AC$2:$AC$6,F427)&gt;0,Settings!$AA$20,Settings!$AA$21)))</f>
        <v/>
      </c>
      <c r="X427" s="44" t="str">
        <f aca="false">IF(E427="","",IF(COUNTA(Q427:V427)=0,"Not scored",IF(COUNTA(Q427:V427)&lt;6,"Partly scored ("&amp;COUNTA(Q427:V427)&amp;"/6)",IF(W427&gt;=Settings!$S$8,"Hot",IF(W427&gt;=Settings!$S$9,"Warm","Cold")))))</f>
        <v/>
      </c>
      <c r="Y427" s="44" t="str">
        <f aca="false">IF(E427="","",IF(AND(Q427="No",S427="No"),"🚩 Budget  ·  🚩 No one on camera",IF(Q427="No","🚩 Budget under AED 5k",IF(S427="No","🚩 No one on camera",""))))</f>
        <v/>
      </c>
      <c r="Z427" s="17"/>
      <c r="AA427" s="17"/>
      <c r="AB427" s="40"/>
      <c r="AC427" s="17"/>
      <c r="AD427" s="45" t="str">
        <f aca="false">IF(OR(E427="",AB427="",OR(AA427="Contract signed + paid",AA427="Closed – No response",AA427="Lost"),N(AC427)&gt;=Settings!$S$3),"",AB427+Settings!$S$2)</f>
        <v/>
      </c>
      <c r="AE427" s="40"/>
      <c r="AF427" s="41"/>
      <c r="AG427" s="17"/>
      <c r="AH427" s="17"/>
      <c r="AI427" s="17"/>
      <c r="AJ427" s="46" t="str">
        <f aca="true">IF(OR(E427="",B427=""),"",INT(TODAY()-B427))</f>
        <v/>
      </c>
      <c r="AK427" s="44" t="str">
        <f aca="true">IF(E427="","",IF(OR(COUNTIFS(Clients!$C$2:$C$501,E427,Clients!$S$2:$S$501,"Paid")&gt;0,AND(I427&lt;&gt;"",COUNTIFS(Clients!$E$2:$E$501,I427,Clients!$S$2:$S$501,"Paid")&gt;0)),"⚠ Refunded before – no free video",IF(OR(AA427="Contract signed + paid",AA427="Closed – No response",AA427="Lost"),"",IF(AA427="","Set a stage",IF(AND(AA427="Proposal sent",COUNTA(Q427:V427)&lt;6),"Score this lead – proposal sent unscored",IF(N(AC427)&gt;=Settings!$S$3,"Close – 4 follow-ups sent",IF(AD427="",IF(AB427="","Make first contact",""),IF(TODAY()&gt;AD427,"OVERDUE follow-up",IF(TODAY()=AD427,"Follow up today","")))))))))</f>
        <v/>
      </c>
    </row>
    <row r="428" customFormat="false" ht="15" hidden="false" customHeight="false" outlineLevel="0" collapsed="false">
      <c r="A428" s="17"/>
      <c r="B428" s="40"/>
      <c r="C428" s="41"/>
      <c r="D428" s="17"/>
      <c r="E428" s="17"/>
      <c r="F428" s="17"/>
      <c r="G428" s="17"/>
      <c r="H428" s="17"/>
      <c r="I428" s="42"/>
      <c r="J428" s="17"/>
      <c r="K428" s="17"/>
      <c r="L428" s="17"/>
      <c r="M428" s="17"/>
      <c r="N428" s="40"/>
      <c r="O428" s="41"/>
      <c r="P428" s="43" t="str">
        <f aca="false">IF(OR(B428="",N428=""),"",ROUND(((N428+N(O428))-(B428+N(C428)))*24,1))</f>
        <v/>
      </c>
      <c r="Q428" s="17"/>
      <c r="R428" s="17"/>
      <c r="S428" s="17"/>
      <c r="T428" s="17"/>
      <c r="U428" s="17"/>
      <c r="V428" s="17"/>
      <c r="W428" s="44" t="str">
        <f aca="false">IF(OR(E428="",COUNTA(Q428:V428)=0),"",SUMIFS(Settings!$AA$2:$AA$21,Settings!$Y$2:$Y$21,"Budget AED 5k+/mo?",Settings!$Z$2:$Z$21,Q428)+SUMIFS(Settings!$AA$2:$AA$21,Settings!$Y$2:$Y$21,"Decision-maker?",Settings!$Z$2:$Z$21,R428)+SUMIFS(Settings!$AA$2:$AA$21,Settings!$Y$2:$Y$21,"Someone on camera?",Settings!$Z$2:$Z$21,S428)+SUMIFS(Settings!$AA$2:$AA$21,Settings!$Y$2:$Y$21,"OK with 3-month term?",Settings!$Z$2:$Z$21,T428)+SUMIFS(Settings!$AA$2:$AA$21,Settings!$Y$2:$Y$21,"Start timeline",Settings!$Z$2:$Z$21,U428)+SUMIFS(Settings!$AA$2:$AA$21,Settings!$Y$2:$Y$21,"Social media gap",Settings!$Z$2:$Z$21,V428)+IF(F428="",0,IF(COUNTIF(Settings!$AC$2:$AC$6,F428)&gt;0,Settings!$AA$20,Settings!$AA$21)))</f>
        <v/>
      </c>
      <c r="X428" s="44" t="str">
        <f aca="false">IF(E428="","",IF(COUNTA(Q428:V428)=0,"Not scored",IF(COUNTA(Q428:V428)&lt;6,"Partly scored ("&amp;COUNTA(Q428:V428)&amp;"/6)",IF(W428&gt;=Settings!$S$8,"Hot",IF(W428&gt;=Settings!$S$9,"Warm","Cold")))))</f>
        <v/>
      </c>
      <c r="Y428" s="44" t="str">
        <f aca="false">IF(E428="","",IF(AND(Q428="No",S428="No"),"🚩 Budget  ·  🚩 No one on camera",IF(Q428="No","🚩 Budget under AED 5k",IF(S428="No","🚩 No one on camera",""))))</f>
        <v/>
      </c>
      <c r="Z428" s="17"/>
      <c r="AA428" s="17"/>
      <c r="AB428" s="40"/>
      <c r="AC428" s="17"/>
      <c r="AD428" s="45" t="str">
        <f aca="false">IF(OR(E428="",AB428="",OR(AA428="Contract signed + paid",AA428="Closed – No response",AA428="Lost"),N(AC428)&gt;=Settings!$S$3),"",AB428+Settings!$S$2)</f>
        <v/>
      </c>
      <c r="AE428" s="40"/>
      <c r="AF428" s="41"/>
      <c r="AG428" s="17"/>
      <c r="AH428" s="17"/>
      <c r="AI428" s="17"/>
      <c r="AJ428" s="46" t="str">
        <f aca="true">IF(OR(E428="",B428=""),"",INT(TODAY()-B428))</f>
        <v/>
      </c>
      <c r="AK428" s="44" t="str">
        <f aca="true">IF(E428="","",IF(OR(COUNTIFS(Clients!$C$2:$C$501,E428,Clients!$S$2:$S$501,"Paid")&gt;0,AND(I428&lt;&gt;"",COUNTIFS(Clients!$E$2:$E$501,I428,Clients!$S$2:$S$501,"Paid")&gt;0)),"⚠ Refunded before – no free video",IF(OR(AA428="Contract signed + paid",AA428="Closed – No response",AA428="Lost"),"",IF(AA428="","Set a stage",IF(AND(AA428="Proposal sent",COUNTA(Q428:V428)&lt;6),"Score this lead – proposal sent unscored",IF(N(AC428)&gt;=Settings!$S$3,"Close – 4 follow-ups sent",IF(AD428="",IF(AB428="","Make first contact",""),IF(TODAY()&gt;AD428,"OVERDUE follow-up",IF(TODAY()=AD428,"Follow up today","")))))))))</f>
        <v/>
      </c>
    </row>
    <row r="429" customFormat="false" ht="15" hidden="false" customHeight="false" outlineLevel="0" collapsed="false">
      <c r="A429" s="17"/>
      <c r="B429" s="40"/>
      <c r="C429" s="41"/>
      <c r="D429" s="17"/>
      <c r="E429" s="17"/>
      <c r="F429" s="17"/>
      <c r="G429" s="17"/>
      <c r="H429" s="17"/>
      <c r="I429" s="42"/>
      <c r="J429" s="17"/>
      <c r="K429" s="17"/>
      <c r="L429" s="17"/>
      <c r="M429" s="17"/>
      <c r="N429" s="40"/>
      <c r="O429" s="41"/>
      <c r="P429" s="43" t="str">
        <f aca="false">IF(OR(B429="",N429=""),"",ROUND(((N429+N(O429))-(B429+N(C429)))*24,1))</f>
        <v/>
      </c>
      <c r="Q429" s="17"/>
      <c r="R429" s="17"/>
      <c r="S429" s="17"/>
      <c r="T429" s="17"/>
      <c r="U429" s="17"/>
      <c r="V429" s="17"/>
      <c r="W429" s="44" t="str">
        <f aca="false">IF(OR(E429="",COUNTA(Q429:V429)=0),"",SUMIFS(Settings!$AA$2:$AA$21,Settings!$Y$2:$Y$21,"Budget AED 5k+/mo?",Settings!$Z$2:$Z$21,Q429)+SUMIFS(Settings!$AA$2:$AA$21,Settings!$Y$2:$Y$21,"Decision-maker?",Settings!$Z$2:$Z$21,R429)+SUMIFS(Settings!$AA$2:$AA$21,Settings!$Y$2:$Y$21,"Someone on camera?",Settings!$Z$2:$Z$21,S429)+SUMIFS(Settings!$AA$2:$AA$21,Settings!$Y$2:$Y$21,"OK with 3-month term?",Settings!$Z$2:$Z$21,T429)+SUMIFS(Settings!$AA$2:$AA$21,Settings!$Y$2:$Y$21,"Start timeline",Settings!$Z$2:$Z$21,U429)+SUMIFS(Settings!$AA$2:$AA$21,Settings!$Y$2:$Y$21,"Social media gap",Settings!$Z$2:$Z$21,V429)+IF(F429="",0,IF(COUNTIF(Settings!$AC$2:$AC$6,F429)&gt;0,Settings!$AA$20,Settings!$AA$21)))</f>
        <v/>
      </c>
      <c r="X429" s="44" t="str">
        <f aca="false">IF(E429="","",IF(COUNTA(Q429:V429)=0,"Not scored",IF(COUNTA(Q429:V429)&lt;6,"Partly scored ("&amp;COUNTA(Q429:V429)&amp;"/6)",IF(W429&gt;=Settings!$S$8,"Hot",IF(W429&gt;=Settings!$S$9,"Warm","Cold")))))</f>
        <v/>
      </c>
      <c r="Y429" s="44" t="str">
        <f aca="false">IF(E429="","",IF(AND(Q429="No",S429="No"),"🚩 Budget  ·  🚩 No one on camera",IF(Q429="No","🚩 Budget under AED 5k",IF(S429="No","🚩 No one on camera",""))))</f>
        <v/>
      </c>
      <c r="Z429" s="17"/>
      <c r="AA429" s="17"/>
      <c r="AB429" s="40"/>
      <c r="AC429" s="17"/>
      <c r="AD429" s="45" t="str">
        <f aca="false">IF(OR(E429="",AB429="",OR(AA429="Contract signed + paid",AA429="Closed – No response",AA429="Lost"),N(AC429)&gt;=Settings!$S$3),"",AB429+Settings!$S$2)</f>
        <v/>
      </c>
      <c r="AE429" s="40"/>
      <c r="AF429" s="41"/>
      <c r="AG429" s="17"/>
      <c r="AH429" s="17"/>
      <c r="AI429" s="17"/>
      <c r="AJ429" s="46" t="str">
        <f aca="true">IF(OR(E429="",B429=""),"",INT(TODAY()-B429))</f>
        <v/>
      </c>
      <c r="AK429" s="44" t="str">
        <f aca="true">IF(E429="","",IF(OR(COUNTIFS(Clients!$C$2:$C$501,E429,Clients!$S$2:$S$501,"Paid")&gt;0,AND(I429&lt;&gt;"",COUNTIFS(Clients!$E$2:$E$501,I429,Clients!$S$2:$S$501,"Paid")&gt;0)),"⚠ Refunded before – no free video",IF(OR(AA429="Contract signed + paid",AA429="Closed – No response",AA429="Lost"),"",IF(AA429="","Set a stage",IF(AND(AA429="Proposal sent",COUNTA(Q429:V429)&lt;6),"Score this lead – proposal sent unscored",IF(N(AC429)&gt;=Settings!$S$3,"Close – 4 follow-ups sent",IF(AD429="",IF(AB429="","Make first contact",""),IF(TODAY()&gt;AD429,"OVERDUE follow-up",IF(TODAY()=AD429,"Follow up today","")))))))))</f>
        <v/>
      </c>
    </row>
    <row r="430" customFormat="false" ht="15" hidden="false" customHeight="false" outlineLevel="0" collapsed="false">
      <c r="A430" s="17"/>
      <c r="B430" s="40"/>
      <c r="C430" s="41"/>
      <c r="D430" s="17"/>
      <c r="E430" s="17"/>
      <c r="F430" s="17"/>
      <c r="G430" s="17"/>
      <c r="H430" s="17"/>
      <c r="I430" s="42"/>
      <c r="J430" s="17"/>
      <c r="K430" s="17"/>
      <c r="L430" s="17"/>
      <c r="M430" s="17"/>
      <c r="N430" s="40"/>
      <c r="O430" s="41"/>
      <c r="P430" s="43" t="str">
        <f aca="false">IF(OR(B430="",N430=""),"",ROUND(((N430+N(O430))-(B430+N(C430)))*24,1))</f>
        <v/>
      </c>
      <c r="Q430" s="17"/>
      <c r="R430" s="17"/>
      <c r="S430" s="17"/>
      <c r="T430" s="17"/>
      <c r="U430" s="17"/>
      <c r="V430" s="17"/>
      <c r="W430" s="44" t="str">
        <f aca="false">IF(OR(E430="",COUNTA(Q430:V430)=0),"",SUMIFS(Settings!$AA$2:$AA$21,Settings!$Y$2:$Y$21,"Budget AED 5k+/mo?",Settings!$Z$2:$Z$21,Q430)+SUMIFS(Settings!$AA$2:$AA$21,Settings!$Y$2:$Y$21,"Decision-maker?",Settings!$Z$2:$Z$21,R430)+SUMIFS(Settings!$AA$2:$AA$21,Settings!$Y$2:$Y$21,"Someone on camera?",Settings!$Z$2:$Z$21,S430)+SUMIFS(Settings!$AA$2:$AA$21,Settings!$Y$2:$Y$21,"OK with 3-month term?",Settings!$Z$2:$Z$21,T430)+SUMIFS(Settings!$AA$2:$AA$21,Settings!$Y$2:$Y$21,"Start timeline",Settings!$Z$2:$Z$21,U430)+SUMIFS(Settings!$AA$2:$AA$21,Settings!$Y$2:$Y$21,"Social media gap",Settings!$Z$2:$Z$21,V430)+IF(F430="",0,IF(COUNTIF(Settings!$AC$2:$AC$6,F430)&gt;0,Settings!$AA$20,Settings!$AA$21)))</f>
        <v/>
      </c>
      <c r="X430" s="44" t="str">
        <f aca="false">IF(E430="","",IF(COUNTA(Q430:V430)=0,"Not scored",IF(COUNTA(Q430:V430)&lt;6,"Partly scored ("&amp;COUNTA(Q430:V430)&amp;"/6)",IF(W430&gt;=Settings!$S$8,"Hot",IF(W430&gt;=Settings!$S$9,"Warm","Cold")))))</f>
        <v/>
      </c>
      <c r="Y430" s="44" t="str">
        <f aca="false">IF(E430="","",IF(AND(Q430="No",S430="No"),"🚩 Budget  ·  🚩 No one on camera",IF(Q430="No","🚩 Budget under AED 5k",IF(S430="No","🚩 No one on camera",""))))</f>
        <v/>
      </c>
      <c r="Z430" s="17"/>
      <c r="AA430" s="17"/>
      <c r="AB430" s="40"/>
      <c r="AC430" s="17"/>
      <c r="AD430" s="45" t="str">
        <f aca="false">IF(OR(E430="",AB430="",OR(AA430="Contract signed + paid",AA430="Closed – No response",AA430="Lost"),N(AC430)&gt;=Settings!$S$3),"",AB430+Settings!$S$2)</f>
        <v/>
      </c>
      <c r="AE430" s="40"/>
      <c r="AF430" s="41"/>
      <c r="AG430" s="17"/>
      <c r="AH430" s="17"/>
      <c r="AI430" s="17"/>
      <c r="AJ430" s="46" t="str">
        <f aca="true">IF(OR(E430="",B430=""),"",INT(TODAY()-B430))</f>
        <v/>
      </c>
      <c r="AK430" s="44" t="str">
        <f aca="true">IF(E430="","",IF(OR(COUNTIFS(Clients!$C$2:$C$501,E430,Clients!$S$2:$S$501,"Paid")&gt;0,AND(I430&lt;&gt;"",COUNTIFS(Clients!$E$2:$E$501,I430,Clients!$S$2:$S$501,"Paid")&gt;0)),"⚠ Refunded before – no free video",IF(OR(AA430="Contract signed + paid",AA430="Closed – No response",AA430="Lost"),"",IF(AA430="","Set a stage",IF(AND(AA430="Proposal sent",COUNTA(Q430:V430)&lt;6),"Score this lead – proposal sent unscored",IF(N(AC430)&gt;=Settings!$S$3,"Close – 4 follow-ups sent",IF(AD430="",IF(AB430="","Make first contact",""),IF(TODAY()&gt;AD430,"OVERDUE follow-up",IF(TODAY()=AD430,"Follow up today","")))))))))</f>
        <v/>
      </c>
    </row>
    <row r="431" customFormat="false" ht="15" hidden="false" customHeight="false" outlineLevel="0" collapsed="false">
      <c r="A431" s="17"/>
      <c r="B431" s="40"/>
      <c r="C431" s="41"/>
      <c r="D431" s="17"/>
      <c r="E431" s="17"/>
      <c r="F431" s="17"/>
      <c r="G431" s="17"/>
      <c r="H431" s="17"/>
      <c r="I431" s="42"/>
      <c r="J431" s="17"/>
      <c r="K431" s="17"/>
      <c r="L431" s="17"/>
      <c r="M431" s="17"/>
      <c r="N431" s="40"/>
      <c r="O431" s="41"/>
      <c r="P431" s="43" t="str">
        <f aca="false">IF(OR(B431="",N431=""),"",ROUND(((N431+N(O431))-(B431+N(C431)))*24,1))</f>
        <v/>
      </c>
      <c r="Q431" s="17"/>
      <c r="R431" s="17"/>
      <c r="S431" s="17"/>
      <c r="T431" s="17"/>
      <c r="U431" s="17"/>
      <c r="V431" s="17"/>
      <c r="W431" s="44" t="str">
        <f aca="false">IF(OR(E431="",COUNTA(Q431:V431)=0),"",SUMIFS(Settings!$AA$2:$AA$21,Settings!$Y$2:$Y$21,"Budget AED 5k+/mo?",Settings!$Z$2:$Z$21,Q431)+SUMIFS(Settings!$AA$2:$AA$21,Settings!$Y$2:$Y$21,"Decision-maker?",Settings!$Z$2:$Z$21,R431)+SUMIFS(Settings!$AA$2:$AA$21,Settings!$Y$2:$Y$21,"Someone on camera?",Settings!$Z$2:$Z$21,S431)+SUMIFS(Settings!$AA$2:$AA$21,Settings!$Y$2:$Y$21,"OK with 3-month term?",Settings!$Z$2:$Z$21,T431)+SUMIFS(Settings!$AA$2:$AA$21,Settings!$Y$2:$Y$21,"Start timeline",Settings!$Z$2:$Z$21,U431)+SUMIFS(Settings!$AA$2:$AA$21,Settings!$Y$2:$Y$21,"Social media gap",Settings!$Z$2:$Z$21,V431)+IF(F431="",0,IF(COUNTIF(Settings!$AC$2:$AC$6,F431)&gt;0,Settings!$AA$20,Settings!$AA$21)))</f>
        <v/>
      </c>
      <c r="X431" s="44" t="str">
        <f aca="false">IF(E431="","",IF(COUNTA(Q431:V431)=0,"Not scored",IF(COUNTA(Q431:V431)&lt;6,"Partly scored ("&amp;COUNTA(Q431:V431)&amp;"/6)",IF(W431&gt;=Settings!$S$8,"Hot",IF(W431&gt;=Settings!$S$9,"Warm","Cold")))))</f>
        <v/>
      </c>
      <c r="Y431" s="44" t="str">
        <f aca="false">IF(E431="","",IF(AND(Q431="No",S431="No"),"🚩 Budget  ·  🚩 No one on camera",IF(Q431="No","🚩 Budget under AED 5k",IF(S431="No","🚩 No one on camera",""))))</f>
        <v/>
      </c>
      <c r="Z431" s="17"/>
      <c r="AA431" s="17"/>
      <c r="AB431" s="40"/>
      <c r="AC431" s="17"/>
      <c r="AD431" s="45" t="str">
        <f aca="false">IF(OR(E431="",AB431="",OR(AA431="Contract signed + paid",AA431="Closed – No response",AA431="Lost"),N(AC431)&gt;=Settings!$S$3),"",AB431+Settings!$S$2)</f>
        <v/>
      </c>
      <c r="AE431" s="40"/>
      <c r="AF431" s="41"/>
      <c r="AG431" s="17"/>
      <c r="AH431" s="17"/>
      <c r="AI431" s="17"/>
      <c r="AJ431" s="46" t="str">
        <f aca="true">IF(OR(E431="",B431=""),"",INT(TODAY()-B431))</f>
        <v/>
      </c>
      <c r="AK431" s="44" t="str">
        <f aca="true">IF(E431="","",IF(OR(COUNTIFS(Clients!$C$2:$C$501,E431,Clients!$S$2:$S$501,"Paid")&gt;0,AND(I431&lt;&gt;"",COUNTIFS(Clients!$E$2:$E$501,I431,Clients!$S$2:$S$501,"Paid")&gt;0)),"⚠ Refunded before – no free video",IF(OR(AA431="Contract signed + paid",AA431="Closed – No response",AA431="Lost"),"",IF(AA431="","Set a stage",IF(AND(AA431="Proposal sent",COUNTA(Q431:V431)&lt;6),"Score this lead – proposal sent unscored",IF(N(AC431)&gt;=Settings!$S$3,"Close – 4 follow-ups sent",IF(AD431="",IF(AB431="","Make first contact",""),IF(TODAY()&gt;AD431,"OVERDUE follow-up",IF(TODAY()=AD431,"Follow up today","")))))))))</f>
        <v/>
      </c>
    </row>
    <row r="432" customFormat="false" ht="15" hidden="false" customHeight="false" outlineLevel="0" collapsed="false">
      <c r="A432" s="17"/>
      <c r="B432" s="40"/>
      <c r="C432" s="41"/>
      <c r="D432" s="17"/>
      <c r="E432" s="17"/>
      <c r="F432" s="17"/>
      <c r="G432" s="17"/>
      <c r="H432" s="17"/>
      <c r="I432" s="42"/>
      <c r="J432" s="17"/>
      <c r="K432" s="17"/>
      <c r="L432" s="17"/>
      <c r="M432" s="17"/>
      <c r="N432" s="40"/>
      <c r="O432" s="41"/>
      <c r="P432" s="43" t="str">
        <f aca="false">IF(OR(B432="",N432=""),"",ROUND(((N432+N(O432))-(B432+N(C432)))*24,1))</f>
        <v/>
      </c>
      <c r="Q432" s="17"/>
      <c r="R432" s="17"/>
      <c r="S432" s="17"/>
      <c r="T432" s="17"/>
      <c r="U432" s="17"/>
      <c r="V432" s="17"/>
      <c r="W432" s="44" t="str">
        <f aca="false">IF(OR(E432="",COUNTA(Q432:V432)=0),"",SUMIFS(Settings!$AA$2:$AA$21,Settings!$Y$2:$Y$21,"Budget AED 5k+/mo?",Settings!$Z$2:$Z$21,Q432)+SUMIFS(Settings!$AA$2:$AA$21,Settings!$Y$2:$Y$21,"Decision-maker?",Settings!$Z$2:$Z$21,R432)+SUMIFS(Settings!$AA$2:$AA$21,Settings!$Y$2:$Y$21,"Someone on camera?",Settings!$Z$2:$Z$21,S432)+SUMIFS(Settings!$AA$2:$AA$21,Settings!$Y$2:$Y$21,"OK with 3-month term?",Settings!$Z$2:$Z$21,T432)+SUMIFS(Settings!$AA$2:$AA$21,Settings!$Y$2:$Y$21,"Start timeline",Settings!$Z$2:$Z$21,U432)+SUMIFS(Settings!$AA$2:$AA$21,Settings!$Y$2:$Y$21,"Social media gap",Settings!$Z$2:$Z$21,V432)+IF(F432="",0,IF(COUNTIF(Settings!$AC$2:$AC$6,F432)&gt;0,Settings!$AA$20,Settings!$AA$21)))</f>
        <v/>
      </c>
      <c r="X432" s="44" t="str">
        <f aca="false">IF(E432="","",IF(COUNTA(Q432:V432)=0,"Not scored",IF(COUNTA(Q432:V432)&lt;6,"Partly scored ("&amp;COUNTA(Q432:V432)&amp;"/6)",IF(W432&gt;=Settings!$S$8,"Hot",IF(W432&gt;=Settings!$S$9,"Warm","Cold")))))</f>
        <v/>
      </c>
      <c r="Y432" s="44" t="str">
        <f aca="false">IF(E432="","",IF(AND(Q432="No",S432="No"),"🚩 Budget  ·  🚩 No one on camera",IF(Q432="No","🚩 Budget under AED 5k",IF(S432="No","🚩 No one on camera",""))))</f>
        <v/>
      </c>
      <c r="Z432" s="17"/>
      <c r="AA432" s="17"/>
      <c r="AB432" s="40"/>
      <c r="AC432" s="17"/>
      <c r="AD432" s="45" t="str">
        <f aca="false">IF(OR(E432="",AB432="",OR(AA432="Contract signed + paid",AA432="Closed – No response",AA432="Lost"),N(AC432)&gt;=Settings!$S$3),"",AB432+Settings!$S$2)</f>
        <v/>
      </c>
      <c r="AE432" s="40"/>
      <c r="AF432" s="41"/>
      <c r="AG432" s="17"/>
      <c r="AH432" s="17"/>
      <c r="AI432" s="17"/>
      <c r="AJ432" s="46" t="str">
        <f aca="true">IF(OR(E432="",B432=""),"",INT(TODAY()-B432))</f>
        <v/>
      </c>
      <c r="AK432" s="44" t="str">
        <f aca="true">IF(E432="","",IF(OR(COUNTIFS(Clients!$C$2:$C$501,E432,Clients!$S$2:$S$501,"Paid")&gt;0,AND(I432&lt;&gt;"",COUNTIFS(Clients!$E$2:$E$501,I432,Clients!$S$2:$S$501,"Paid")&gt;0)),"⚠ Refunded before – no free video",IF(OR(AA432="Contract signed + paid",AA432="Closed – No response",AA432="Lost"),"",IF(AA432="","Set a stage",IF(AND(AA432="Proposal sent",COUNTA(Q432:V432)&lt;6),"Score this lead – proposal sent unscored",IF(N(AC432)&gt;=Settings!$S$3,"Close – 4 follow-ups sent",IF(AD432="",IF(AB432="","Make first contact",""),IF(TODAY()&gt;AD432,"OVERDUE follow-up",IF(TODAY()=AD432,"Follow up today","")))))))))</f>
        <v/>
      </c>
    </row>
    <row r="433" customFormat="false" ht="15" hidden="false" customHeight="false" outlineLevel="0" collapsed="false">
      <c r="A433" s="17"/>
      <c r="B433" s="40"/>
      <c r="C433" s="41"/>
      <c r="D433" s="17"/>
      <c r="E433" s="17"/>
      <c r="F433" s="17"/>
      <c r="G433" s="17"/>
      <c r="H433" s="17"/>
      <c r="I433" s="42"/>
      <c r="J433" s="17"/>
      <c r="K433" s="17"/>
      <c r="L433" s="17"/>
      <c r="M433" s="17"/>
      <c r="N433" s="40"/>
      <c r="O433" s="41"/>
      <c r="P433" s="43" t="str">
        <f aca="false">IF(OR(B433="",N433=""),"",ROUND(((N433+N(O433))-(B433+N(C433)))*24,1))</f>
        <v/>
      </c>
      <c r="Q433" s="17"/>
      <c r="R433" s="17"/>
      <c r="S433" s="17"/>
      <c r="T433" s="17"/>
      <c r="U433" s="17"/>
      <c r="V433" s="17"/>
      <c r="W433" s="44" t="str">
        <f aca="false">IF(OR(E433="",COUNTA(Q433:V433)=0),"",SUMIFS(Settings!$AA$2:$AA$21,Settings!$Y$2:$Y$21,"Budget AED 5k+/mo?",Settings!$Z$2:$Z$21,Q433)+SUMIFS(Settings!$AA$2:$AA$21,Settings!$Y$2:$Y$21,"Decision-maker?",Settings!$Z$2:$Z$21,R433)+SUMIFS(Settings!$AA$2:$AA$21,Settings!$Y$2:$Y$21,"Someone on camera?",Settings!$Z$2:$Z$21,S433)+SUMIFS(Settings!$AA$2:$AA$21,Settings!$Y$2:$Y$21,"OK with 3-month term?",Settings!$Z$2:$Z$21,T433)+SUMIFS(Settings!$AA$2:$AA$21,Settings!$Y$2:$Y$21,"Start timeline",Settings!$Z$2:$Z$21,U433)+SUMIFS(Settings!$AA$2:$AA$21,Settings!$Y$2:$Y$21,"Social media gap",Settings!$Z$2:$Z$21,V433)+IF(F433="",0,IF(COUNTIF(Settings!$AC$2:$AC$6,F433)&gt;0,Settings!$AA$20,Settings!$AA$21)))</f>
        <v/>
      </c>
      <c r="X433" s="44" t="str">
        <f aca="false">IF(E433="","",IF(COUNTA(Q433:V433)=0,"Not scored",IF(COUNTA(Q433:V433)&lt;6,"Partly scored ("&amp;COUNTA(Q433:V433)&amp;"/6)",IF(W433&gt;=Settings!$S$8,"Hot",IF(W433&gt;=Settings!$S$9,"Warm","Cold")))))</f>
        <v/>
      </c>
      <c r="Y433" s="44" t="str">
        <f aca="false">IF(E433="","",IF(AND(Q433="No",S433="No"),"🚩 Budget  ·  🚩 No one on camera",IF(Q433="No","🚩 Budget under AED 5k",IF(S433="No","🚩 No one on camera",""))))</f>
        <v/>
      </c>
      <c r="Z433" s="17"/>
      <c r="AA433" s="17"/>
      <c r="AB433" s="40"/>
      <c r="AC433" s="17"/>
      <c r="AD433" s="45" t="str">
        <f aca="false">IF(OR(E433="",AB433="",OR(AA433="Contract signed + paid",AA433="Closed – No response",AA433="Lost"),N(AC433)&gt;=Settings!$S$3),"",AB433+Settings!$S$2)</f>
        <v/>
      </c>
      <c r="AE433" s="40"/>
      <c r="AF433" s="41"/>
      <c r="AG433" s="17"/>
      <c r="AH433" s="17"/>
      <c r="AI433" s="17"/>
      <c r="AJ433" s="46" t="str">
        <f aca="true">IF(OR(E433="",B433=""),"",INT(TODAY()-B433))</f>
        <v/>
      </c>
      <c r="AK433" s="44" t="str">
        <f aca="true">IF(E433="","",IF(OR(COUNTIFS(Clients!$C$2:$C$501,E433,Clients!$S$2:$S$501,"Paid")&gt;0,AND(I433&lt;&gt;"",COUNTIFS(Clients!$E$2:$E$501,I433,Clients!$S$2:$S$501,"Paid")&gt;0)),"⚠ Refunded before – no free video",IF(OR(AA433="Contract signed + paid",AA433="Closed – No response",AA433="Lost"),"",IF(AA433="","Set a stage",IF(AND(AA433="Proposal sent",COUNTA(Q433:V433)&lt;6),"Score this lead – proposal sent unscored",IF(N(AC433)&gt;=Settings!$S$3,"Close – 4 follow-ups sent",IF(AD433="",IF(AB433="","Make first contact",""),IF(TODAY()&gt;AD433,"OVERDUE follow-up",IF(TODAY()=AD433,"Follow up today","")))))))))</f>
        <v/>
      </c>
    </row>
    <row r="434" customFormat="false" ht="15" hidden="false" customHeight="false" outlineLevel="0" collapsed="false">
      <c r="A434" s="17"/>
      <c r="B434" s="40"/>
      <c r="C434" s="41"/>
      <c r="D434" s="17"/>
      <c r="E434" s="17"/>
      <c r="F434" s="17"/>
      <c r="G434" s="17"/>
      <c r="H434" s="17"/>
      <c r="I434" s="42"/>
      <c r="J434" s="17"/>
      <c r="K434" s="17"/>
      <c r="L434" s="17"/>
      <c r="M434" s="17"/>
      <c r="N434" s="40"/>
      <c r="O434" s="41"/>
      <c r="P434" s="43" t="str">
        <f aca="false">IF(OR(B434="",N434=""),"",ROUND(((N434+N(O434))-(B434+N(C434)))*24,1))</f>
        <v/>
      </c>
      <c r="Q434" s="17"/>
      <c r="R434" s="17"/>
      <c r="S434" s="17"/>
      <c r="T434" s="17"/>
      <c r="U434" s="17"/>
      <c r="V434" s="17"/>
      <c r="W434" s="44" t="str">
        <f aca="false">IF(OR(E434="",COUNTA(Q434:V434)=0),"",SUMIFS(Settings!$AA$2:$AA$21,Settings!$Y$2:$Y$21,"Budget AED 5k+/mo?",Settings!$Z$2:$Z$21,Q434)+SUMIFS(Settings!$AA$2:$AA$21,Settings!$Y$2:$Y$21,"Decision-maker?",Settings!$Z$2:$Z$21,R434)+SUMIFS(Settings!$AA$2:$AA$21,Settings!$Y$2:$Y$21,"Someone on camera?",Settings!$Z$2:$Z$21,S434)+SUMIFS(Settings!$AA$2:$AA$21,Settings!$Y$2:$Y$21,"OK with 3-month term?",Settings!$Z$2:$Z$21,T434)+SUMIFS(Settings!$AA$2:$AA$21,Settings!$Y$2:$Y$21,"Start timeline",Settings!$Z$2:$Z$21,U434)+SUMIFS(Settings!$AA$2:$AA$21,Settings!$Y$2:$Y$21,"Social media gap",Settings!$Z$2:$Z$21,V434)+IF(F434="",0,IF(COUNTIF(Settings!$AC$2:$AC$6,F434)&gt;0,Settings!$AA$20,Settings!$AA$21)))</f>
        <v/>
      </c>
      <c r="X434" s="44" t="str">
        <f aca="false">IF(E434="","",IF(COUNTA(Q434:V434)=0,"Not scored",IF(COUNTA(Q434:V434)&lt;6,"Partly scored ("&amp;COUNTA(Q434:V434)&amp;"/6)",IF(W434&gt;=Settings!$S$8,"Hot",IF(W434&gt;=Settings!$S$9,"Warm","Cold")))))</f>
        <v/>
      </c>
      <c r="Y434" s="44" t="str">
        <f aca="false">IF(E434="","",IF(AND(Q434="No",S434="No"),"🚩 Budget  ·  🚩 No one on camera",IF(Q434="No","🚩 Budget under AED 5k",IF(S434="No","🚩 No one on camera",""))))</f>
        <v/>
      </c>
      <c r="Z434" s="17"/>
      <c r="AA434" s="17"/>
      <c r="AB434" s="40"/>
      <c r="AC434" s="17"/>
      <c r="AD434" s="45" t="str">
        <f aca="false">IF(OR(E434="",AB434="",OR(AA434="Contract signed + paid",AA434="Closed – No response",AA434="Lost"),N(AC434)&gt;=Settings!$S$3),"",AB434+Settings!$S$2)</f>
        <v/>
      </c>
      <c r="AE434" s="40"/>
      <c r="AF434" s="41"/>
      <c r="AG434" s="17"/>
      <c r="AH434" s="17"/>
      <c r="AI434" s="17"/>
      <c r="AJ434" s="46" t="str">
        <f aca="true">IF(OR(E434="",B434=""),"",INT(TODAY()-B434))</f>
        <v/>
      </c>
      <c r="AK434" s="44" t="str">
        <f aca="true">IF(E434="","",IF(OR(COUNTIFS(Clients!$C$2:$C$501,E434,Clients!$S$2:$S$501,"Paid")&gt;0,AND(I434&lt;&gt;"",COUNTIFS(Clients!$E$2:$E$501,I434,Clients!$S$2:$S$501,"Paid")&gt;0)),"⚠ Refunded before – no free video",IF(OR(AA434="Contract signed + paid",AA434="Closed – No response",AA434="Lost"),"",IF(AA434="","Set a stage",IF(AND(AA434="Proposal sent",COUNTA(Q434:V434)&lt;6),"Score this lead – proposal sent unscored",IF(N(AC434)&gt;=Settings!$S$3,"Close – 4 follow-ups sent",IF(AD434="",IF(AB434="","Make first contact",""),IF(TODAY()&gt;AD434,"OVERDUE follow-up",IF(TODAY()=AD434,"Follow up today","")))))))))</f>
        <v/>
      </c>
    </row>
    <row r="435" customFormat="false" ht="15" hidden="false" customHeight="false" outlineLevel="0" collapsed="false">
      <c r="A435" s="17"/>
      <c r="B435" s="40"/>
      <c r="C435" s="41"/>
      <c r="D435" s="17"/>
      <c r="E435" s="17"/>
      <c r="F435" s="17"/>
      <c r="G435" s="17"/>
      <c r="H435" s="17"/>
      <c r="I435" s="42"/>
      <c r="J435" s="17"/>
      <c r="K435" s="17"/>
      <c r="L435" s="17"/>
      <c r="M435" s="17"/>
      <c r="N435" s="40"/>
      <c r="O435" s="41"/>
      <c r="P435" s="43" t="str">
        <f aca="false">IF(OR(B435="",N435=""),"",ROUND(((N435+N(O435))-(B435+N(C435)))*24,1))</f>
        <v/>
      </c>
      <c r="Q435" s="17"/>
      <c r="R435" s="17"/>
      <c r="S435" s="17"/>
      <c r="T435" s="17"/>
      <c r="U435" s="17"/>
      <c r="V435" s="17"/>
      <c r="W435" s="44" t="str">
        <f aca="false">IF(OR(E435="",COUNTA(Q435:V435)=0),"",SUMIFS(Settings!$AA$2:$AA$21,Settings!$Y$2:$Y$21,"Budget AED 5k+/mo?",Settings!$Z$2:$Z$21,Q435)+SUMIFS(Settings!$AA$2:$AA$21,Settings!$Y$2:$Y$21,"Decision-maker?",Settings!$Z$2:$Z$21,R435)+SUMIFS(Settings!$AA$2:$AA$21,Settings!$Y$2:$Y$21,"Someone on camera?",Settings!$Z$2:$Z$21,S435)+SUMIFS(Settings!$AA$2:$AA$21,Settings!$Y$2:$Y$21,"OK with 3-month term?",Settings!$Z$2:$Z$21,T435)+SUMIFS(Settings!$AA$2:$AA$21,Settings!$Y$2:$Y$21,"Start timeline",Settings!$Z$2:$Z$21,U435)+SUMIFS(Settings!$AA$2:$AA$21,Settings!$Y$2:$Y$21,"Social media gap",Settings!$Z$2:$Z$21,V435)+IF(F435="",0,IF(COUNTIF(Settings!$AC$2:$AC$6,F435)&gt;0,Settings!$AA$20,Settings!$AA$21)))</f>
        <v/>
      </c>
      <c r="X435" s="44" t="str">
        <f aca="false">IF(E435="","",IF(COUNTA(Q435:V435)=0,"Not scored",IF(COUNTA(Q435:V435)&lt;6,"Partly scored ("&amp;COUNTA(Q435:V435)&amp;"/6)",IF(W435&gt;=Settings!$S$8,"Hot",IF(W435&gt;=Settings!$S$9,"Warm","Cold")))))</f>
        <v/>
      </c>
      <c r="Y435" s="44" t="str">
        <f aca="false">IF(E435="","",IF(AND(Q435="No",S435="No"),"🚩 Budget  ·  🚩 No one on camera",IF(Q435="No","🚩 Budget under AED 5k",IF(S435="No","🚩 No one on camera",""))))</f>
        <v/>
      </c>
      <c r="Z435" s="17"/>
      <c r="AA435" s="17"/>
      <c r="AB435" s="40"/>
      <c r="AC435" s="17"/>
      <c r="AD435" s="45" t="str">
        <f aca="false">IF(OR(E435="",AB435="",OR(AA435="Contract signed + paid",AA435="Closed – No response",AA435="Lost"),N(AC435)&gt;=Settings!$S$3),"",AB435+Settings!$S$2)</f>
        <v/>
      </c>
      <c r="AE435" s="40"/>
      <c r="AF435" s="41"/>
      <c r="AG435" s="17"/>
      <c r="AH435" s="17"/>
      <c r="AI435" s="17"/>
      <c r="AJ435" s="46" t="str">
        <f aca="true">IF(OR(E435="",B435=""),"",INT(TODAY()-B435))</f>
        <v/>
      </c>
      <c r="AK435" s="44" t="str">
        <f aca="true">IF(E435="","",IF(OR(COUNTIFS(Clients!$C$2:$C$501,E435,Clients!$S$2:$S$501,"Paid")&gt;0,AND(I435&lt;&gt;"",COUNTIFS(Clients!$E$2:$E$501,I435,Clients!$S$2:$S$501,"Paid")&gt;0)),"⚠ Refunded before – no free video",IF(OR(AA435="Contract signed + paid",AA435="Closed – No response",AA435="Lost"),"",IF(AA435="","Set a stage",IF(AND(AA435="Proposal sent",COUNTA(Q435:V435)&lt;6),"Score this lead – proposal sent unscored",IF(N(AC435)&gt;=Settings!$S$3,"Close – 4 follow-ups sent",IF(AD435="",IF(AB435="","Make first contact",""),IF(TODAY()&gt;AD435,"OVERDUE follow-up",IF(TODAY()=AD435,"Follow up today","")))))))))</f>
        <v/>
      </c>
    </row>
    <row r="436" customFormat="false" ht="15" hidden="false" customHeight="false" outlineLevel="0" collapsed="false">
      <c r="A436" s="17"/>
      <c r="B436" s="40"/>
      <c r="C436" s="41"/>
      <c r="D436" s="17"/>
      <c r="E436" s="17"/>
      <c r="F436" s="17"/>
      <c r="G436" s="17"/>
      <c r="H436" s="17"/>
      <c r="I436" s="42"/>
      <c r="J436" s="17"/>
      <c r="K436" s="17"/>
      <c r="L436" s="17"/>
      <c r="M436" s="17"/>
      <c r="N436" s="40"/>
      <c r="O436" s="41"/>
      <c r="P436" s="43" t="str">
        <f aca="false">IF(OR(B436="",N436=""),"",ROUND(((N436+N(O436))-(B436+N(C436)))*24,1))</f>
        <v/>
      </c>
      <c r="Q436" s="17"/>
      <c r="R436" s="17"/>
      <c r="S436" s="17"/>
      <c r="T436" s="17"/>
      <c r="U436" s="17"/>
      <c r="V436" s="17"/>
      <c r="W436" s="44" t="str">
        <f aca="false">IF(OR(E436="",COUNTA(Q436:V436)=0),"",SUMIFS(Settings!$AA$2:$AA$21,Settings!$Y$2:$Y$21,"Budget AED 5k+/mo?",Settings!$Z$2:$Z$21,Q436)+SUMIFS(Settings!$AA$2:$AA$21,Settings!$Y$2:$Y$21,"Decision-maker?",Settings!$Z$2:$Z$21,R436)+SUMIFS(Settings!$AA$2:$AA$21,Settings!$Y$2:$Y$21,"Someone on camera?",Settings!$Z$2:$Z$21,S436)+SUMIFS(Settings!$AA$2:$AA$21,Settings!$Y$2:$Y$21,"OK with 3-month term?",Settings!$Z$2:$Z$21,T436)+SUMIFS(Settings!$AA$2:$AA$21,Settings!$Y$2:$Y$21,"Start timeline",Settings!$Z$2:$Z$21,U436)+SUMIFS(Settings!$AA$2:$AA$21,Settings!$Y$2:$Y$21,"Social media gap",Settings!$Z$2:$Z$21,V436)+IF(F436="",0,IF(COUNTIF(Settings!$AC$2:$AC$6,F436)&gt;0,Settings!$AA$20,Settings!$AA$21)))</f>
        <v/>
      </c>
      <c r="X436" s="44" t="str">
        <f aca="false">IF(E436="","",IF(COUNTA(Q436:V436)=0,"Not scored",IF(COUNTA(Q436:V436)&lt;6,"Partly scored ("&amp;COUNTA(Q436:V436)&amp;"/6)",IF(W436&gt;=Settings!$S$8,"Hot",IF(W436&gt;=Settings!$S$9,"Warm","Cold")))))</f>
        <v/>
      </c>
      <c r="Y436" s="44" t="str">
        <f aca="false">IF(E436="","",IF(AND(Q436="No",S436="No"),"🚩 Budget  ·  🚩 No one on camera",IF(Q436="No","🚩 Budget under AED 5k",IF(S436="No","🚩 No one on camera",""))))</f>
        <v/>
      </c>
      <c r="Z436" s="17"/>
      <c r="AA436" s="17"/>
      <c r="AB436" s="40"/>
      <c r="AC436" s="17"/>
      <c r="AD436" s="45" t="str">
        <f aca="false">IF(OR(E436="",AB436="",OR(AA436="Contract signed + paid",AA436="Closed – No response",AA436="Lost"),N(AC436)&gt;=Settings!$S$3),"",AB436+Settings!$S$2)</f>
        <v/>
      </c>
      <c r="AE436" s="40"/>
      <c r="AF436" s="41"/>
      <c r="AG436" s="17"/>
      <c r="AH436" s="17"/>
      <c r="AI436" s="17"/>
      <c r="AJ436" s="46" t="str">
        <f aca="true">IF(OR(E436="",B436=""),"",INT(TODAY()-B436))</f>
        <v/>
      </c>
      <c r="AK436" s="44" t="str">
        <f aca="true">IF(E436="","",IF(OR(COUNTIFS(Clients!$C$2:$C$501,E436,Clients!$S$2:$S$501,"Paid")&gt;0,AND(I436&lt;&gt;"",COUNTIFS(Clients!$E$2:$E$501,I436,Clients!$S$2:$S$501,"Paid")&gt;0)),"⚠ Refunded before – no free video",IF(OR(AA436="Contract signed + paid",AA436="Closed – No response",AA436="Lost"),"",IF(AA436="","Set a stage",IF(AND(AA436="Proposal sent",COUNTA(Q436:V436)&lt;6),"Score this lead – proposal sent unscored",IF(N(AC436)&gt;=Settings!$S$3,"Close – 4 follow-ups sent",IF(AD436="",IF(AB436="","Make first contact",""),IF(TODAY()&gt;AD436,"OVERDUE follow-up",IF(TODAY()=AD436,"Follow up today","")))))))))</f>
        <v/>
      </c>
    </row>
    <row r="437" customFormat="false" ht="15" hidden="false" customHeight="false" outlineLevel="0" collapsed="false">
      <c r="A437" s="17"/>
      <c r="B437" s="40"/>
      <c r="C437" s="41"/>
      <c r="D437" s="17"/>
      <c r="E437" s="17"/>
      <c r="F437" s="17"/>
      <c r="G437" s="17"/>
      <c r="H437" s="17"/>
      <c r="I437" s="42"/>
      <c r="J437" s="17"/>
      <c r="K437" s="17"/>
      <c r="L437" s="17"/>
      <c r="M437" s="17"/>
      <c r="N437" s="40"/>
      <c r="O437" s="41"/>
      <c r="P437" s="43" t="str">
        <f aca="false">IF(OR(B437="",N437=""),"",ROUND(((N437+N(O437))-(B437+N(C437)))*24,1))</f>
        <v/>
      </c>
      <c r="Q437" s="17"/>
      <c r="R437" s="17"/>
      <c r="S437" s="17"/>
      <c r="T437" s="17"/>
      <c r="U437" s="17"/>
      <c r="V437" s="17"/>
      <c r="W437" s="44" t="str">
        <f aca="false">IF(OR(E437="",COUNTA(Q437:V437)=0),"",SUMIFS(Settings!$AA$2:$AA$21,Settings!$Y$2:$Y$21,"Budget AED 5k+/mo?",Settings!$Z$2:$Z$21,Q437)+SUMIFS(Settings!$AA$2:$AA$21,Settings!$Y$2:$Y$21,"Decision-maker?",Settings!$Z$2:$Z$21,R437)+SUMIFS(Settings!$AA$2:$AA$21,Settings!$Y$2:$Y$21,"Someone on camera?",Settings!$Z$2:$Z$21,S437)+SUMIFS(Settings!$AA$2:$AA$21,Settings!$Y$2:$Y$21,"OK with 3-month term?",Settings!$Z$2:$Z$21,T437)+SUMIFS(Settings!$AA$2:$AA$21,Settings!$Y$2:$Y$21,"Start timeline",Settings!$Z$2:$Z$21,U437)+SUMIFS(Settings!$AA$2:$AA$21,Settings!$Y$2:$Y$21,"Social media gap",Settings!$Z$2:$Z$21,V437)+IF(F437="",0,IF(COUNTIF(Settings!$AC$2:$AC$6,F437)&gt;0,Settings!$AA$20,Settings!$AA$21)))</f>
        <v/>
      </c>
      <c r="X437" s="44" t="str">
        <f aca="false">IF(E437="","",IF(COUNTA(Q437:V437)=0,"Not scored",IF(COUNTA(Q437:V437)&lt;6,"Partly scored ("&amp;COUNTA(Q437:V437)&amp;"/6)",IF(W437&gt;=Settings!$S$8,"Hot",IF(W437&gt;=Settings!$S$9,"Warm","Cold")))))</f>
        <v/>
      </c>
      <c r="Y437" s="44" t="str">
        <f aca="false">IF(E437="","",IF(AND(Q437="No",S437="No"),"🚩 Budget  ·  🚩 No one on camera",IF(Q437="No","🚩 Budget under AED 5k",IF(S437="No","🚩 No one on camera",""))))</f>
        <v/>
      </c>
      <c r="Z437" s="17"/>
      <c r="AA437" s="17"/>
      <c r="AB437" s="40"/>
      <c r="AC437" s="17"/>
      <c r="AD437" s="45" t="str">
        <f aca="false">IF(OR(E437="",AB437="",OR(AA437="Contract signed + paid",AA437="Closed – No response",AA437="Lost"),N(AC437)&gt;=Settings!$S$3),"",AB437+Settings!$S$2)</f>
        <v/>
      </c>
      <c r="AE437" s="40"/>
      <c r="AF437" s="41"/>
      <c r="AG437" s="17"/>
      <c r="AH437" s="17"/>
      <c r="AI437" s="17"/>
      <c r="AJ437" s="46" t="str">
        <f aca="true">IF(OR(E437="",B437=""),"",INT(TODAY()-B437))</f>
        <v/>
      </c>
      <c r="AK437" s="44" t="str">
        <f aca="true">IF(E437="","",IF(OR(COUNTIFS(Clients!$C$2:$C$501,E437,Clients!$S$2:$S$501,"Paid")&gt;0,AND(I437&lt;&gt;"",COUNTIFS(Clients!$E$2:$E$501,I437,Clients!$S$2:$S$501,"Paid")&gt;0)),"⚠ Refunded before – no free video",IF(OR(AA437="Contract signed + paid",AA437="Closed – No response",AA437="Lost"),"",IF(AA437="","Set a stage",IF(AND(AA437="Proposal sent",COUNTA(Q437:V437)&lt;6),"Score this lead – proposal sent unscored",IF(N(AC437)&gt;=Settings!$S$3,"Close – 4 follow-ups sent",IF(AD437="",IF(AB437="","Make first contact",""),IF(TODAY()&gt;AD437,"OVERDUE follow-up",IF(TODAY()=AD437,"Follow up today","")))))))))</f>
        <v/>
      </c>
    </row>
    <row r="438" customFormat="false" ht="15" hidden="false" customHeight="false" outlineLevel="0" collapsed="false">
      <c r="A438" s="17"/>
      <c r="B438" s="40"/>
      <c r="C438" s="41"/>
      <c r="D438" s="17"/>
      <c r="E438" s="17"/>
      <c r="F438" s="17"/>
      <c r="G438" s="17"/>
      <c r="H438" s="17"/>
      <c r="I438" s="42"/>
      <c r="J438" s="17"/>
      <c r="K438" s="17"/>
      <c r="L438" s="17"/>
      <c r="M438" s="17"/>
      <c r="N438" s="40"/>
      <c r="O438" s="41"/>
      <c r="P438" s="43" t="str">
        <f aca="false">IF(OR(B438="",N438=""),"",ROUND(((N438+N(O438))-(B438+N(C438)))*24,1))</f>
        <v/>
      </c>
      <c r="Q438" s="17"/>
      <c r="R438" s="17"/>
      <c r="S438" s="17"/>
      <c r="T438" s="17"/>
      <c r="U438" s="17"/>
      <c r="V438" s="17"/>
      <c r="W438" s="44" t="str">
        <f aca="false">IF(OR(E438="",COUNTA(Q438:V438)=0),"",SUMIFS(Settings!$AA$2:$AA$21,Settings!$Y$2:$Y$21,"Budget AED 5k+/mo?",Settings!$Z$2:$Z$21,Q438)+SUMIFS(Settings!$AA$2:$AA$21,Settings!$Y$2:$Y$21,"Decision-maker?",Settings!$Z$2:$Z$21,R438)+SUMIFS(Settings!$AA$2:$AA$21,Settings!$Y$2:$Y$21,"Someone on camera?",Settings!$Z$2:$Z$21,S438)+SUMIFS(Settings!$AA$2:$AA$21,Settings!$Y$2:$Y$21,"OK with 3-month term?",Settings!$Z$2:$Z$21,T438)+SUMIFS(Settings!$AA$2:$AA$21,Settings!$Y$2:$Y$21,"Start timeline",Settings!$Z$2:$Z$21,U438)+SUMIFS(Settings!$AA$2:$AA$21,Settings!$Y$2:$Y$21,"Social media gap",Settings!$Z$2:$Z$21,V438)+IF(F438="",0,IF(COUNTIF(Settings!$AC$2:$AC$6,F438)&gt;0,Settings!$AA$20,Settings!$AA$21)))</f>
        <v/>
      </c>
      <c r="X438" s="44" t="str">
        <f aca="false">IF(E438="","",IF(COUNTA(Q438:V438)=0,"Not scored",IF(COUNTA(Q438:V438)&lt;6,"Partly scored ("&amp;COUNTA(Q438:V438)&amp;"/6)",IF(W438&gt;=Settings!$S$8,"Hot",IF(W438&gt;=Settings!$S$9,"Warm","Cold")))))</f>
        <v/>
      </c>
      <c r="Y438" s="44" t="str">
        <f aca="false">IF(E438="","",IF(AND(Q438="No",S438="No"),"🚩 Budget  ·  🚩 No one on camera",IF(Q438="No","🚩 Budget under AED 5k",IF(S438="No","🚩 No one on camera",""))))</f>
        <v/>
      </c>
      <c r="Z438" s="17"/>
      <c r="AA438" s="17"/>
      <c r="AB438" s="40"/>
      <c r="AC438" s="17"/>
      <c r="AD438" s="45" t="str">
        <f aca="false">IF(OR(E438="",AB438="",OR(AA438="Contract signed + paid",AA438="Closed – No response",AA438="Lost"),N(AC438)&gt;=Settings!$S$3),"",AB438+Settings!$S$2)</f>
        <v/>
      </c>
      <c r="AE438" s="40"/>
      <c r="AF438" s="41"/>
      <c r="AG438" s="17"/>
      <c r="AH438" s="17"/>
      <c r="AI438" s="17"/>
      <c r="AJ438" s="46" t="str">
        <f aca="true">IF(OR(E438="",B438=""),"",INT(TODAY()-B438))</f>
        <v/>
      </c>
      <c r="AK438" s="44" t="str">
        <f aca="true">IF(E438="","",IF(OR(COUNTIFS(Clients!$C$2:$C$501,E438,Clients!$S$2:$S$501,"Paid")&gt;0,AND(I438&lt;&gt;"",COUNTIFS(Clients!$E$2:$E$501,I438,Clients!$S$2:$S$501,"Paid")&gt;0)),"⚠ Refunded before – no free video",IF(OR(AA438="Contract signed + paid",AA438="Closed – No response",AA438="Lost"),"",IF(AA438="","Set a stage",IF(AND(AA438="Proposal sent",COUNTA(Q438:V438)&lt;6),"Score this lead – proposal sent unscored",IF(N(AC438)&gt;=Settings!$S$3,"Close – 4 follow-ups sent",IF(AD438="",IF(AB438="","Make first contact",""),IF(TODAY()&gt;AD438,"OVERDUE follow-up",IF(TODAY()=AD438,"Follow up today","")))))))))</f>
        <v/>
      </c>
    </row>
    <row r="439" customFormat="false" ht="15" hidden="false" customHeight="false" outlineLevel="0" collapsed="false">
      <c r="A439" s="17"/>
      <c r="B439" s="40"/>
      <c r="C439" s="41"/>
      <c r="D439" s="17"/>
      <c r="E439" s="17"/>
      <c r="F439" s="17"/>
      <c r="G439" s="17"/>
      <c r="H439" s="17"/>
      <c r="I439" s="42"/>
      <c r="J439" s="17"/>
      <c r="K439" s="17"/>
      <c r="L439" s="17"/>
      <c r="M439" s="17"/>
      <c r="N439" s="40"/>
      <c r="O439" s="41"/>
      <c r="P439" s="43" t="str">
        <f aca="false">IF(OR(B439="",N439=""),"",ROUND(((N439+N(O439))-(B439+N(C439)))*24,1))</f>
        <v/>
      </c>
      <c r="Q439" s="17"/>
      <c r="R439" s="17"/>
      <c r="S439" s="17"/>
      <c r="T439" s="17"/>
      <c r="U439" s="17"/>
      <c r="V439" s="17"/>
      <c r="W439" s="44" t="str">
        <f aca="false">IF(OR(E439="",COUNTA(Q439:V439)=0),"",SUMIFS(Settings!$AA$2:$AA$21,Settings!$Y$2:$Y$21,"Budget AED 5k+/mo?",Settings!$Z$2:$Z$21,Q439)+SUMIFS(Settings!$AA$2:$AA$21,Settings!$Y$2:$Y$21,"Decision-maker?",Settings!$Z$2:$Z$21,R439)+SUMIFS(Settings!$AA$2:$AA$21,Settings!$Y$2:$Y$21,"Someone on camera?",Settings!$Z$2:$Z$21,S439)+SUMIFS(Settings!$AA$2:$AA$21,Settings!$Y$2:$Y$21,"OK with 3-month term?",Settings!$Z$2:$Z$21,T439)+SUMIFS(Settings!$AA$2:$AA$21,Settings!$Y$2:$Y$21,"Start timeline",Settings!$Z$2:$Z$21,U439)+SUMIFS(Settings!$AA$2:$AA$21,Settings!$Y$2:$Y$21,"Social media gap",Settings!$Z$2:$Z$21,V439)+IF(F439="",0,IF(COUNTIF(Settings!$AC$2:$AC$6,F439)&gt;0,Settings!$AA$20,Settings!$AA$21)))</f>
        <v/>
      </c>
      <c r="X439" s="44" t="str">
        <f aca="false">IF(E439="","",IF(COUNTA(Q439:V439)=0,"Not scored",IF(COUNTA(Q439:V439)&lt;6,"Partly scored ("&amp;COUNTA(Q439:V439)&amp;"/6)",IF(W439&gt;=Settings!$S$8,"Hot",IF(W439&gt;=Settings!$S$9,"Warm","Cold")))))</f>
        <v/>
      </c>
      <c r="Y439" s="44" t="str">
        <f aca="false">IF(E439="","",IF(AND(Q439="No",S439="No"),"🚩 Budget  ·  🚩 No one on camera",IF(Q439="No","🚩 Budget under AED 5k",IF(S439="No","🚩 No one on camera",""))))</f>
        <v/>
      </c>
      <c r="Z439" s="17"/>
      <c r="AA439" s="17"/>
      <c r="AB439" s="40"/>
      <c r="AC439" s="17"/>
      <c r="AD439" s="45" t="str">
        <f aca="false">IF(OR(E439="",AB439="",OR(AA439="Contract signed + paid",AA439="Closed – No response",AA439="Lost"),N(AC439)&gt;=Settings!$S$3),"",AB439+Settings!$S$2)</f>
        <v/>
      </c>
      <c r="AE439" s="40"/>
      <c r="AF439" s="41"/>
      <c r="AG439" s="17"/>
      <c r="AH439" s="17"/>
      <c r="AI439" s="17"/>
      <c r="AJ439" s="46" t="str">
        <f aca="true">IF(OR(E439="",B439=""),"",INT(TODAY()-B439))</f>
        <v/>
      </c>
      <c r="AK439" s="44" t="str">
        <f aca="true">IF(E439="","",IF(OR(COUNTIFS(Clients!$C$2:$C$501,E439,Clients!$S$2:$S$501,"Paid")&gt;0,AND(I439&lt;&gt;"",COUNTIFS(Clients!$E$2:$E$501,I439,Clients!$S$2:$S$501,"Paid")&gt;0)),"⚠ Refunded before – no free video",IF(OR(AA439="Contract signed + paid",AA439="Closed – No response",AA439="Lost"),"",IF(AA439="","Set a stage",IF(AND(AA439="Proposal sent",COUNTA(Q439:V439)&lt;6),"Score this lead – proposal sent unscored",IF(N(AC439)&gt;=Settings!$S$3,"Close – 4 follow-ups sent",IF(AD439="",IF(AB439="","Make first contact",""),IF(TODAY()&gt;AD439,"OVERDUE follow-up",IF(TODAY()=AD439,"Follow up today","")))))))))</f>
        <v/>
      </c>
    </row>
    <row r="440" customFormat="false" ht="15" hidden="false" customHeight="false" outlineLevel="0" collapsed="false">
      <c r="A440" s="17"/>
      <c r="B440" s="40"/>
      <c r="C440" s="41"/>
      <c r="D440" s="17"/>
      <c r="E440" s="17"/>
      <c r="F440" s="17"/>
      <c r="G440" s="17"/>
      <c r="H440" s="17"/>
      <c r="I440" s="42"/>
      <c r="J440" s="17"/>
      <c r="K440" s="17"/>
      <c r="L440" s="17"/>
      <c r="M440" s="17"/>
      <c r="N440" s="40"/>
      <c r="O440" s="41"/>
      <c r="P440" s="43" t="str">
        <f aca="false">IF(OR(B440="",N440=""),"",ROUND(((N440+N(O440))-(B440+N(C440)))*24,1))</f>
        <v/>
      </c>
      <c r="Q440" s="17"/>
      <c r="R440" s="17"/>
      <c r="S440" s="17"/>
      <c r="T440" s="17"/>
      <c r="U440" s="17"/>
      <c r="V440" s="17"/>
      <c r="W440" s="44" t="str">
        <f aca="false">IF(OR(E440="",COUNTA(Q440:V440)=0),"",SUMIFS(Settings!$AA$2:$AA$21,Settings!$Y$2:$Y$21,"Budget AED 5k+/mo?",Settings!$Z$2:$Z$21,Q440)+SUMIFS(Settings!$AA$2:$AA$21,Settings!$Y$2:$Y$21,"Decision-maker?",Settings!$Z$2:$Z$21,R440)+SUMIFS(Settings!$AA$2:$AA$21,Settings!$Y$2:$Y$21,"Someone on camera?",Settings!$Z$2:$Z$21,S440)+SUMIFS(Settings!$AA$2:$AA$21,Settings!$Y$2:$Y$21,"OK with 3-month term?",Settings!$Z$2:$Z$21,T440)+SUMIFS(Settings!$AA$2:$AA$21,Settings!$Y$2:$Y$21,"Start timeline",Settings!$Z$2:$Z$21,U440)+SUMIFS(Settings!$AA$2:$AA$21,Settings!$Y$2:$Y$21,"Social media gap",Settings!$Z$2:$Z$21,V440)+IF(F440="",0,IF(COUNTIF(Settings!$AC$2:$AC$6,F440)&gt;0,Settings!$AA$20,Settings!$AA$21)))</f>
        <v/>
      </c>
      <c r="X440" s="44" t="str">
        <f aca="false">IF(E440="","",IF(COUNTA(Q440:V440)=0,"Not scored",IF(COUNTA(Q440:V440)&lt;6,"Partly scored ("&amp;COUNTA(Q440:V440)&amp;"/6)",IF(W440&gt;=Settings!$S$8,"Hot",IF(W440&gt;=Settings!$S$9,"Warm","Cold")))))</f>
        <v/>
      </c>
      <c r="Y440" s="44" t="str">
        <f aca="false">IF(E440="","",IF(AND(Q440="No",S440="No"),"🚩 Budget  ·  🚩 No one on camera",IF(Q440="No","🚩 Budget under AED 5k",IF(S440="No","🚩 No one on camera",""))))</f>
        <v/>
      </c>
      <c r="Z440" s="17"/>
      <c r="AA440" s="17"/>
      <c r="AB440" s="40"/>
      <c r="AC440" s="17"/>
      <c r="AD440" s="45" t="str">
        <f aca="false">IF(OR(E440="",AB440="",OR(AA440="Contract signed + paid",AA440="Closed – No response",AA440="Lost"),N(AC440)&gt;=Settings!$S$3),"",AB440+Settings!$S$2)</f>
        <v/>
      </c>
      <c r="AE440" s="40"/>
      <c r="AF440" s="41"/>
      <c r="AG440" s="17"/>
      <c r="AH440" s="17"/>
      <c r="AI440" s="17"/>
      <c r="AJ440" s="46" t="str">
        <f aca="true">IF(OR(E440="",B440=""),"",INT(TODAY()-B440))</f>
        <v/>
      </c>
      <c r="AK440" s="44" t="str">
        <f aca="true">IF(E440="","",IF(OR(COUNTIFS(Clients!$C$2:$C$501,E440,Clients!$S$2:$S$501,"Paid")&gt;0,AND(I440&lt;&gt;"",COUNTIFS(Clients!$E$2:$E$501,I440,Clients!$S$2:$S$501,"Paid")&gt;0)),"⚠ Refunded before – no free video",IF(OR(AA440="Contract signed + paid",AA440="Closed – No response",AA440="Lost"),"",IF(AA440="","Set a stage",IF(AND(AA440="Proposal sent",COUNTA(Q440:V440)&lt;6),"Score this lead – proposal sent unscored",IF(N(AC440)&gt;=Settings!$S$3,"Close – 4 follow-ups sent",IF(AD440="",IF(AB440="","Make first contact",""),IF(TODAY()&gt;AD440,"OVERDUE follow-up",IF(TODAY()=AD440,"Follow up today","")))))))))</f>
        <v/>
      </c>
    </row>
    <row r="441" customFormat="false" ht="15" hidden="false" customHeight="false" outlineLevel="0" collapsed="false">
      <c r="A441" s="17"/>
      <c r="B441" s="40"/>
      <c r="C441" s="41"/>
      <c r="D441" s="17"/>
      <c r="E441" s="17"/>
      <c r="F441" s="17"/>
      <c r="G441" s="17"/>
      <c r="H441" s="17"/>
      <c r="I441" s="42"/>
      <c r="J441" s="17"/>
      <c r="K441" s="17"/>
      <c r="L441" s="17"/>
      <c r="M441" s="17"/>
      <c r="N441" s="40"/>
      <c r="O441" s="41"/>
      <c r="P441" s="43" t="str">
        <f aca="false">IF(OR(B441="",N441=""),"",ROUND(((N441+N(O441))-(B441+N(C441)))*24,1))</f>
        <v/>
      </c>
      <c r="Q441" s="17"/>
      <c r="R441" s="17"/>
      <c r="S441" s="17"/>
      <c r="T441" s="17"/>
      <c r="U441" s="17"/>
      <c r="V441" s="17"/>
      <c r="W441" s="44" t="str">
        <f aca="false">IF(OR(E441="",COUNTA(Q441:V441)=0),"",SUMIFS(Settings!$AA$2:$AA$21,Settings!$Y$2:$Y$21,"Budget AED 5k+/mo?",Settings!$Z$2:$Z$21,Q441)+SUMIFS(Settings!$AA$2:$AA$21,Settings!$Y$2:$Y$21,"Decision-maker?",Settings!$Z$2:$Z$21,R441)+SUMIFS(Settings!$AA$2:$AA$21,Settings!$Y$2:$Y$21,"Someone on camera?",Settings!$Z$2:$Z$21,S441)+SUMIFS(Settings!$AA$2:$AA$21,Settings!$Y$2:$Y$21,"OK with 3-month term?",Settings!$Z$2:$Z$21,T441)+SUMIFS(Settings!$AA$2:$AA$21,Settings!$Y$2:$Y$21,"Start timeline",Settings!$Z$2:$Z$21,U441)+SUMIFS(Settings!$AA$2:$AA$21,Settings!$Y$2:$Y$21,"Social media gap",Settings!$Z$2:$Z$21,V441)+IF(F441="",0,IF(COUNTIF(Settings!$AC$2:$AC$6,F441)&gt;0,Settings!$AA$20,Settings!$AA$21)))</f>
        <v/>
      </c>
      <c r="X441" s="44" t="str">
        <f aca="false">IF(E441="","",IF(COUNTA(Q441:V441)=0,"Not scored",IF(COUNTA(Q441:V441)&lt;6,"Partly scored ("&amp;COUNTA(Q441:V441)&amp;"/6)",IF(W441&gt;=Settings!$S$8,"Hot",IF(W441&gt;=Settings!$S$9,"Warm","Cold")))))</f>
        <v/>
      </c>
      <c r="Y441" s="44" t="str">
        <f aca="false">IF(E441="","",IF(AND(Q441="No",S441="No"),"🚩 Budget  ·  🚩 No one on camera",IF(Q441="No","🚩 Budget under AED 5k",IF(S441="No","🚩 No one on camera",""))))</f>
        <v/>
      </c>
      <c r="Z441" s="17"/>
      <c r="AA441" s="17"/>
      <c r="AB441" s="40"/>
      <c r="AC441" s="17"/>
      <c r="AD441" s="45" t="str">
        <f aca="false">IF(OR(E441="",AB441="",OR(AA441="Contract signed + paid",AA441="Closed – No response",AA441="Lost"),N(AC441)&gt;=Settings!$S$3),"",AB441+Settings!$S$2)</f>
        <v/>
      </c>
      <c r="AE441" s="40"/>
      <c r="AF441" s="41"/>
      <c r="AG441" s="17"/>
      <c r="AH441" s="17"/>
      <c r="AI441" s="17"/>
      <c r="AJ441" s="46" t="str">
        <f aca="true">IF(OR(E441="",B441=""),"",INT(TODAY()-B441))</f>
        <v/>
      </c>
      <c r="AK441" s="44" t="str">
        <f aca="true">IF(E441="","",IF(OR(COUNTIFS(Clients!$C$2:$C$501,E441,Clients!$S$2:$S$501,"Paid")&gt;0,AND(I441&lt;&gt;"",COUNTIFS(Clients!$E$2:$E$501,I441,Clients!$S$2:$S$501,"Paid")&gt;0)),"⚠ Refunded before – no free video",IF(OR(AA441="Contract signed + paid",AA441="Closed – No response",AA441="Lost"),"",IF(AA441="","Set a stage",IF(AND(AA441="Proposal sent",COUNTA(Q441:V441)&lt;6),"Score this lead – proposal sent unscored",IF(N(AC441)&gt;=Settings!$S$3,"Close – 4 follow-ups sent",IF(AD441="",IF(AB441="","Make first contact",""),IF(TODAY()&gt;AD441,"OVERDUE follow-up",IF(TODAY()=AD441,"Follow up today","")))))))))</f>
        <v/>
      </c>
    </row>
    <row r="442" customFormat="false" ht="15" hidden="false" customHeight="false" outlineLevel="0" collapsed="false">
      <c r="A442" s="17"/>
      <c r="B442" s="40"/>
      <c r="C442" s="41"/>
      <c r="D442" s="17"/>
      <c r="E442" s="17"/>
      <c r="F442" s="17"/>
      <c r="G442" s="17"/>
      <c r="H442" s="17"/>
      <c r="I442" s="42"/>
      <c r="J442" s="17"/>
      <c r="K442" s="17"/>
      <c r="L442" s="17"/>
      <c r="M442" s="17"/>
      <c r="N442" s="40"/>
      <c r="O442" s="41"/>
      <c r="P442" s="43" t="str">
        <f aca="false">IF(OR(B442="",N442=""),"",ROUND(((N442+N(O442))-(B442+N(C442)))*24,1))</f>
        <v/>
      </c>
      <c r="Q442" s="17"/>
      <c r="R442" s="17"/>
      <c r="S442" s="17"/>
      <c r="T442" s="17"/>
      <c r="U442" s="17"/>
      <c r="V442" s="17"/>
      <c r="W442" s="44" t="str">
        <f aca="false">IF(OR(E442="",COUNTA(Q442:V442)=0),"",SUMIFS(Settings!$AA$2:$AA$21,Settings!$Y$2:$Y$21,"Budget AED 5k+/mo?",Settings!$Z$2:$Z$21,Q442)+SUMIFS(Settings!$AA$2:$AA$21,Settings!$Y$2:$Y$21,"Decision-maker?",Settings!$Z$2:$Z$21,R442)+SUMIFS(Settings!$AA$2:$AA$21,Settings!$Y$2:$Y$21,"Someone on camera?",Settings!$Z$2:$Z$21,S442)+SUMIFS(Settings!$AA$2:$AA$21,Settings!$Y$2:$Y$21,"OK with 3-month term?",Settings!$Z$2:$Z$21,T442)+SUMIFS(Settings!$AA$2:$AA$21,Settings!$Y$2:$Y$21,"Start timeline",Settings!$Z$2:$Z$21,U442)+SUMIFS(Settings!$AA$2:$AA$21,Settings!$Y$2:$Y$21,"Social media gap",Settings!$Z$2:$Z$21,V442)+IF(F442="",0,IF(COUNTIF(Settings!$AC$2:$AC$6,F442)&gt;0,Settings!$AA$20,Settings!$AA$21)))</f>
        <v/>
      </c>
      <c r="X442" s="44" t="str">
        <f aca="false">IF(E442="","",IF(COUNTA(Q442:V442)=0,"Not scored",IF(COUNTA(Q442:V442)&lt;6,"Partly scored ("&amp;COUNTA(Q442:V442)&amp;"/6)",IF(W442&gt;=Settings!$S$8,"Hot",IF(W442&gt;=Settings!$S$9,"Warm","Cold")))))</f>
        <v/>
      </c>
      <c r="Y442" s="44" t="str">
        <f aca="false">IF(E442="","",IF(AND(Q442="No",S442="No"),"🚩 Budget  ·  🚩 No one on camera",IF(Q442="No","🚩 Budget under AED 5k",IF(S442="No","🚩 No one on camera",""))))</f>
        <v/>
      </c>
      <c r="Z442" s="17"/>
      <c r="AA442" s="17"/>
      <c r="AB442" s="40"/>
      <c r="AC442" s="17"/>
      <c r="AD442" s="45" t="str">
        <f aca="false">IF(OR(E442="",AB442="",OR(AA442="Contract signed + paid",AA442="Closed – No response",AA442="Lost"),N(AC442)&gt;=Settings!$S$3),"",AB442+Settings!$S$2)</f>
        <v/>
      </c>
      <c r="AE442" s="40"/>
      <c r="AF442" s="41"/>
      <c r="AG442" s="17"/>
      <c r="AH442" s="17"/>
      <c r="AI442" s="17"/>
      <c r="AJ442" s="46" t="str">
        <f aca="true">IF(OR(E442="",B442=""),"",INT(TODAY()-B442))</f>
        <v/>
      </c>
      <c r="AK442" s="44" t="str">
        <f aca="true">IF(E442="","",IF(OR(COUNTIFS(Clients!$C$2:$C$501,E442,Clients!$S$2:$S$501,"Paid")&gt;0,AND(I442&lt;&gt;"",COUNTIFS(Clients!$E$2:$E$501,I442,Clients!$S$2:$S$501,"Paid")&gt;0)),"⚠ Refunded before – no free video",IF(OR(AA442="Contract signed + paid",AA442="Closed – No response",AA442="Lost"),"",IF(AA442="","Set a stage",IF(AND(AA442="Proposal sent",COUNTA(Q442:V442)&lt;6),"Score this lead – proposal sent unscored",IF(N(AC442)&gt;=Settings!$S$3,"Close – 4 follow-ups sent",IF(AD442="",IF(AB442="","Make first contact",""),IF(TODAY()&gt;AD442,"OVERDUE follow-up",IF(TODAY()=AD442,"Follow up today","")))))))))</f>
        <v/>
      </c>
    </row>
    <row r="443" customFormat="false" ht="15" hidden="false" customHeight="false" outlineLevel="0" collapsed="false">
      <c r="A443" s="17"/>
      <c r="B443" s="40"/>
      <c r="C443" s="41"/>
      <c r="D443" s="17"/>
      <c r="E443" s="17"/>
      <c r="F443" s="17"/>
      <c r="G443" s="17"/>
      <c r="H443" s="17"/>
      <c r="I443" s="42"/>
      <c r="J443" s="17"/>
      <c r="K443" s="17"/>
      <c r="L443" s="17"/>
      <c r="M443" s="17"/>
      <c r="N443" s="40"/>
      <c r="O443" s="41"/>
      <c r="P443" s="43" t="str">
        <f aca="false">IF(OR(B443="",N443=""),"",ROUND(((N443+N(O443))-(B443+N(C443)))*24,1))</f>
        <v/>
      </c>
      <c r="Q443" s="17"/>
      <c r="R443" s="17"/>
      <c r="S443" s="17"/>
      <c r="T443" s="17"/>
      <c r="U443" s="17"/>
      <c r="V443" s="17"/>
      <c r="W443" s="44" t="str">
        <f aca="false">IF(OR(E443="",COUNTA(Q443:V443)=0),"",SUMIFS(Settings!$AA$2:$AA$21,Settings!$Y$2:$Y$21,"Budget AED 5k+/mo?",Settings!$Z$2:$Z$21,Q443)+SUMIFS(Settings!$AA$2:$AA$21,Settings!$Y$2:$Y$21,"Decision-maker?",Settings!$Z$2:$Z$21,R443)+SUMIFS(Settings!$AA$2:$AA$21,Settings!$Y$2:$Y$21,"Someone on camera?",Settings!$Z$2:$Z$21,S443)+SUMIFS(Settings!$AA$2:$AA$21,Settings!$Y$2:$Y$21,"OK with 3-month term?",Settings!$Z$2:$Z$21,T443)+SUMIFS(Settings!$AA$2:$AA$21,Settings!$Y$2:$Y$21,"Start timeline",Settings!$Z$2:$Z$21,U443)+SUMIFS(Settings!$AA$2:$AA$21,Settings!$Y$2:$Y$21,"Social media gap",Settings!$Z$2:$Z$21,V443)+IF(F443="",0,IF(COUNTIF(Settings!$AC$2:$AC$6,F443)&gt;0,Settings!$AA$20,Settings!$AA$21)))</f>
        <v/>
      </c>
      <c r="X443" s="44" t="str">
        <f aca="false">IF(E443="","",IF(COUNTA(Q443:V443)=0,"Not scored",IF(COUNTA(Q443:V443)&lt;6,"Partly scored ("&amp;COUNTA(Q443:V443)&amp;"/6)",IF(W443&gt;=Settings!$S$8,"Hot",IF(W443&gt;=Settings!$S$9,"Warm","Cold")))))</f>
        <v/>
      </c>
      <c r="Y443" s="44" t="str">
        <f aca="false">IF(E443="","",IF(AND(Q443="No",S443="No"),"🚩 Budget  ·  🚩 No one on camera",IF(Q443="No","🚩 Budget under AED 5k",IF(S443="No","🚩 No one on camera",""))))</f>
        <v/>
      </c>
      <c r="Z443" s="17"/>
      <c r="AA443" s="17"/>
      <c r="AB443" s="40"/>
      <c r="AC443" s="17"/>
      <c r="AD443" s="45" t="str">
        <f aca="false">IF(OR(E443="",AB443="",OR(AA443="Contract signed + paid",AA443="Closed – No response",AA443="Lost"),N(AC443)&gt;=Settings!$S$3),"",AB443+Settings!$S$2)</f>
        <v/>
      </c>
      <c r="AE443" s="40"/>
      <c r="AF443" s="41"/>
      <c r="AG443" s="17"/>
      <c r="AH443" s="17"/>
      <c r="AI443" s="17"/>
      <c r="AJ443" s="46" t="str">
        <f aca="true">IF(OR(E443="",B443=""),"",INT(TODAY()-B443))</f>
        <v/>
      </c>
      <c r="AK443" s="44" t="str">
        <f aca="true">IF(E443="","",IF(OR(COUNTIFS(Clients!$C$2:$C$501,E443,Clients!$S$2:$S$501,"Paid")&gt;0,AND(I443&lt;&gt;"",COUNTIFS(Clients!$E$2:$E$501,I443,Clients!$S$2:$S$501,"Paid")&gt;0)),"⚠ Refunded before – no free video",IF(OR(AA443="Contract signed + paid",AA443="Closed – No response",AA443="Lost"),"",IF(AA443="","Set a stage",IF(AND(AA443="Proposal sent",COUNTA(Q443:V443)&lt;6),"Score this lead – proposal sent unscored",IF(N(AC443)&gt;=Settings!$S$3,"Close – 4 follow-ups sent",IF(AD443="",IF(AB443="","Make first contact",""),IF(TODAY()&gt;AD443,"OVERDUE follow-up",IF(TODAY()=AD443,"Follow up today","")))))))))</f>
        <v/>
      </c>
    </row>
    <row r="444" customFormat="false" ht="15" hidden="false" customHeight="false" outlineLevel="0" collapsed="false">
      <c r="A444" s="17"/>
      <c r="B444" s="40"/>
      <c r="C444" s="41"/>
      <c r="D444" s="17"/>
      <c r="E444" s="17"/>
      <c r="F444" s="17"/>
      <c r="G444" s="17"/>
      <c r="H444" s="17"/>
      <c r="I444" s="42"/>
      <c r="J444" s="17"/>
      <c r="K444" s="17"/>
      <c r="L444" s="17"/>
      <c r="M444" s="17"/>
      <c r="N444" s="40"/>
      <c r="O444" s="41"/>
      <c r="P444" s="43" t="str">
        <f aca="false">IF(OR(B444="",N444=""),"",ROUND(((N444+N(O444))-(B444+N(C444)))*24,1))</f>
        <v/>
      </c>
      <c r="Q444" s="17"/>
      <c r="R444" s="17"/>
      <c r="S444" s="17"/>
      <c r="T444" s="17"/>
      <c r="U444" s="17"/>
      <c r="V444" s="17"/>
      <c r="W444" s="44" t="str">
        <f aca="false">IF(OR(E444="",COUNTA(Q444:V444)=0),"",SUMIFS(Settings!$AA$2:$AA$21,Settings!$Y$2:$Y$21,"Budget AED 5k+/mo?",Settings!$Z$2:$Z$21,Q444)+SUMIFS(Settings!$AA$2:$AA$21,Settings!$Y$2:$Y$21,"Decision-maker?",Settings!$Z$2:$Z$21,R444)+SUMIFS(Settings!$AA$2:$AA$21,Settings!$Y$2:$Y$21,"Someone on camera?",Settings!$Z$2:$Z$21,S444)+SUMIFS(Settings!$AA$2:$AA$21,Settings!$Y$2:$Y$21,"OK with 3-month term?",Settings!$Z$2:$Z$21,T444)+SUMIFS(Settings!$AA$2:$AA$21,Settings!$Y$2:$Y$21,"Start timeline",Settings!$Z$2:$Z$21,U444)+SUMIFS(Settings!$AA$2:$AA$21,Settings!$Y$2:$Y$21,"Social media gap",Settings!$Z$2:$Z$21,V444)+IF(F444="",0,IF(COUNTIF(Settings!$AC$2:$AC$6,F444)&gt;0,Settings!$AA$20,Settings!$AA$21)))</f>
        <v/>
      </c>
      <c r="X444" s="44" t="str">
        <f aca="false">IF(E444="","",IF(COUNTA(Q444:V444)=0,"Not scored",IF(COUNTA(Q444:V444)&lt;6,"Partly scored ("&amp;COUNTA(Q444:V444)&amp;"/6)",IF(W444&gt;=Settings!$S$8,"Hot",IF(W444&gt;=Settings!$S$9,"Warm","Cold")))))</f>
        <v/>
      </c>
      <c r="Y444" s="44" t="str">
        <f aca="false">IF(E444="","",IF(AND(Q444="No",S444="No"),"🚩 Budget  ·  🚩 No one on camera",IF(Q444="No","🚩 Budget under AED 5k",IF(S444="No","🚩 No one on camera",""))))</f>
        <v/>
      </c>
      <c r="Z444" s="17"/>
      <c r="AA444" s="17"/>
      <c r="AB444" s="40"/>
      <c r="AC444" s="17"/>
      <c r="AD444" s="45" t="str">
        <f aca="false">IF(OR(E444="",AB444="",OR(AA444="Contract signed + paid",AA444="Closed – No response",AA444="Lost"),N(AC444)&gt;=Settings!$S$3),"",AB444+Settings!$S$2)</f>
        <v/>
      </c>
      <c r="AE444" s="40"/>
      <c r="AF444" s="41"/>
      <c r="AG444" s="17"/>
      <c r="AH444" s="17"/>
      <c r="AI444" s="17"/>
      <c r="AJ444" s="46" t="str">
        <f aca="true">IF(OR(E444="",B444=""),"",INT(TODAY()-B444))</f>
        <v/>
      </c>
      <c r="AK444" s="44" t="str">
        <f aca="true">IF(E444="","",IF(OR(COUNTIFS(Clients!$C$2:$C$501,E444,Clients!$S$2:$S$501,"Paid")&gt;0,AND(I444&lt;&gt;"",COUNTIFS(Clients!$E$2:$E$501,I444,Clients!$S$2:$S$501,"Paid")&gt;0)),"⚠ Refunded before – no free video",IF(OR(AA444="Contract signed + paid",AA444="Closed – No response",AA444="Lost"),"",IF(AA444="","Set a stage",IF(AND(AA444="Proposal sent",COUNTA(Q444:V444)&lt;6),"Score this lead – proposal sent unscored",IF(N(AC444)&gt;=Settings!$S$3,"Close – 4 follow-ups sent",IF(AD444="",IF(AB444="","Make first contact",""),IF(TODAY()&gt;AD444,"OVERDUE follow-up",IF(TODAY()=AD444,"Follow up today","")))))))))</f>
        <v/>
      </c>
    </row>
    <row r="445" customFormat="false" ht="15" hidden="false" customHeight="false" outlineLevel="0" collapsed="false">
      <c r="A445" s="17"/>
      <c r="B445" s="40"/>
      <c r="C445" s="41"/>
      <c r="D445" s="17"/>
      <c r="E445" s="17"/>
      <c r="F445" s="17"/>
      <c r="G445" s="17"/>
      <c r="H445" s="17"/>
      <c r="I445" s="42"/>
      <c r="J445" s="17"/>
      <c r="K445" s="17"/>
      <c r="L445" s="17"/>
      <c r="M445" s="17"/>
      <c r="N445" s="40"/>
      <c r="O445" s="41"/>
      <c r="P445" s="43" t="str">
        <f aca="false">IF(OR(B445="",N445=""),"",ROUND(((N445+N(O445))-(B445+N(C445)))*24,1))</f>
        <v/>
      </c>
      <c r="Q445" s="17"/>
      <c r="R445" s="17"/>
      <c r="S445" s="17"/>
      <c r="T445" s="17"/>
      <c r="U445" s="17"/>
      <c r="V445" s="17"/>
      <c r="W445" s="44" t="str">
        <f aca="false">IF(OR(E445="",COUNTA(Q445:V445)=0),"",SUMIFS(Settings!$AA$2:$AA$21,Settings!$Y$2:$Y$21,"Budget AED 5k+/mo?",Settings!$Z$2:$Z$21,Q445)+SUMIFS(Settings!$AA$2:$AA$21,Settings!$Y$2:$Y$21,"Decision-maker?",Settings!$Z$2:$Z$21,R445)+SUMIFS(Settings!$AA$2:$AA$21,Settings!$Y$2:$Y$21,"Someone on camera?",Settings!$Z$2:$Z$21,S445)+SUMIFS(Settings!$AA$2:$AA$21,Settings!$Y$2:$Y$21,"OK with 3-month term?",Settings!$Z$2:$Z$21,T445)+SUMIFS(Settings!$AA$2:$AA$21,Settings!$Y$2:$Y$21,"Start timeline",Settings!$Z$2:$Z$21,U445)+SUMIFS(Settings!$AA$2:$AA$21,Settings!$Y$2:$Y$21,"Social media gap",Settings!$Z$2:$Z$21,V445)+IF(F445="",0,IF(COUNTIF(Settings!$AC$2:$AC$6,F445)&gt;0,Settings!$AA$20,Settings!$AA$21)))</f>
        <v/>
      </c>
      <c r="X445" s="44" t="str">
        <f aca="false">IF(E445="","",IF(COUNTA(Q445:V445)=0,"Not scored",IF(COUNTA(Q445:V445)&lt;6,"Partly scored ("&amp;COUNTA(Q445:V445)&amp;"/6)",IF(W445&gt;=Settings!$S$8,"Hot",IF(W445&gt;=Settings!$S$9,"Warm","Cold")))))</f>
        <v/>
      </c>
      <c r="Y445" s="44" t="str">
        <f aca="false">IF(E445="","",IF(AND(Q445="No",S445="No"),"🚩 Budget  ·  🚩 No one on camera",IF(Q445="No","🚩 Budget under AED 5k",IF(S445="No","🚩 No one on camera",""))))</f>
        <v/>
      </c>
      <c r="Z445" s="17"/>
      <c r="AA445" s="17"/>
      <c r="AB445" s="40"/>
      <c r="AC445" s="17"/>
      <c r="AD445" s="45" t="str">
        <f aca="false">IF(OR(E445="",AB445="",OR(AA445="Contract signed + paid",AA445="Closed – No response",AA445="Lost"),N(AC445)&gt;=Settings!$S$3),"",AB445+Settings!$S$2)</f>
        <v/>
      </c>
      <c r="AE445" s="40"/>
      <c r="AF445" s="41"/>
      <c r="AG445" s="17"/>
      <c r="AH445" s="17"/>
      <c r="AI445" s="17"/>
      <c r="AJ445" s="46" t="str">
        <f aca="true">IF(OR(E445="",B445=""),"",INT(TODAY()-B445))</f>
        <v/>
      </c>
      <c r="AK445" s="44" t="str">
        <f aca="true">IF(E445="","",IF(OR(COUNTIFS(Clients!$C$2:$C$501,E445,Clients!$S$2:$S$501,"Paid")&gt;0,AND(I445&lt;&gt;"",COUNTIFS(Clients!$E$2:$E$501,I445,Clients!$S$2:$S$501,"Paid")&gt;0)),"⚠ Refunded before – no free video",IF(OR(AA445="Contract signed + paid",AA445="Closed – No response",AA445="Lost"),"",IF(AA445="","Set a stage",IF(AND(AA445="Proposal sent",COUNTA(Q445:V445)&lt;6),"Score this lead – proposal sent unscored",IF(N(AC445)&gt;=Settings!$S$3,"Close – 4 follow-ups sent",IF(AD445="",IF(AB445="","Make first contact",""),IF(TODAY()&gt;AD445,"OVERDUE follow-up",IF(TODAY()=AD445,"Follow up today","")))))))))</f>
        <v/>
      </c>
    </row>
    <row r="446" customFormat="false" ht="15" hidden="false" customHeight="false" outlineLevel="0" collapsed="false">
      <c r="A446" s="17"/>
      <c r="B446" s="40"/>
      <c r="C446" s="41"/>
      <c r="D446" s="17"/>
      <c r="E446" s="17"/>
      <c r="F446" s="17"/>
      <c r="G446" s="17"/>
      <c r="H446" s="17"/>
      <c r="I446" s="42"/>
      <c r="J446" s="17"/>
      <c r="K446" s="17"/>
      <c r="L446" s="17"/>
      <c r="M446" s="17"/>
      <c r="N446" s="40"/>
      <c r="O446" s="41"/>
      <c r="P446" s="43" t="str">
        <f aca="false">IF(OR(B446="",N446=""),"",ROUND(((N446+N(O446))-(B446+N(C446)))*24,1))</f>
        <v/>
      </c>
      <c r="Q446" s="17"/>
      <c r="R446" s="17"/>
      <c r="S446" s="17"/>
      <c r="T446" s="17"/>
      <c r="U446" s="17"/>
      <c r="V446" s="17"/>
      <c r="W446" s="44" t="str">
        <f aca="false">IF(OR(E446="",COUNTA(Q446:V446)=0),"",SUMIFS(Settings!$AA$2:$AA$21,Settings!$Y$2:$Y$21,"Budget AED 5k+/mo?",Settings!$Z$2:$Z$21,Q446)+SUMIFS(Settings!$AA$2:$AA$21,Settings!$Y$2:$Y$21,"Decision-maker?",Settings!$Z$2:$Z$21,R446)+SUMIFS(Settings!$AA$2:$AA$21,Settings!$Y$2:$Y$21,"Someone on camera?",Settings!$Z$2:$Z$21,S446)+SUMIFS(Settings!$AA$2:$AA$21,Settings!$Y$2:$Y$21,"OK with 3-month term?",Settings!$Z$2:$Z$21,T446)+SUMIFS(Settings!$AA$2:$AA$21,Settings!$Y$2:$Y$21,"Start timeline",Settings!$Z$2:$Z$21,U446)+SUMIFS(Settings!$AA$2:$AA$21,Settings!$Y$2:$Y$21,"Social media gap",Settings!$Z$2:$Z$21,V446)+IF(F446="",0,IF(COUNTIF(Settings!$AC$2:$AC$6,F446)&gt;0,Settings!$AA$20,Settings!$AA$21)))</f>
        <v/>
      </c>
      <c r="X446" s="44" t="str">
        <f aca="false">IF(E446="","",IF(COUNTA(Q446:V446)=0,"Not scored",IF(COUNTA(Q446:V446)&lt;6,"Partly scored ("&amp;COUNTA(Q446:V446)&amp;"/6)",IF(W446&gt;=Settings!$S$8,"Hot",IF(W446&gt;=Settings!$S$9,"Warm","Cold")))))</f>
        <v/>
      </c>
      <c r="Y446" s="44" t="str">
        <f aca="false">IF(E446="","",IF(AND(Q446="No",S446="No"),"🚩 Budget  ·  🚩 No one on camera",IF(Q446="No","🚩 Budget under AED 5k",IF(S446="No","🚩 No one on camera",""))))</f>
        <v/>
      </c>
      <c r="Z446" s="17"/>
      <c r="AA446" s="17"/>
      <c r="AB446" s="40"/>
      <c r="AC446" s="17"/>
      <c r="AD446" s="45" t="str">
        <f aca="false">IF(OR(E446="",AB446="",OR(AA446="Contract signed + paid",AA446="Closed – No response",AA446="Lost"),N(AC446)&gt;=Settings!$S$3),"",AB446+Settings!$S$2)</f>
        <v/>
      </c>
      <c r="AE446" s="40"/>
      <c r="AF446" s="41"/>
      <c r="AG446" s="17"/>
      <c r="AH446" s="17"/>
      <c r="AI446" s="17"/>
      <c r="AJ446" s="46" t="str">
        <f aca="true">IF(OR(E446="",B446=""),"",INT(TODAY()-B446))</f>
        <v/>
      </c>
      <c r="AK446" s="44" t="str">
        <f aca="true">IF(E446="","",IF(OR(COUNTIFS(Clients!$C$2:$C$501,E446,Clients!$S$2:$S$501,"Paid")&gt;0,AND(I446&lt;&gt;"",COUNTIFS(Clients!$E$2:$E$501,I446,Clients!$S$2:$S$501,"Paid")&gt;0)),"⚠ Refunded before – no free video",IF(OR(AA446="Contract signed + paid",AA446="Closed – No response",AA446="Lost"),"",IF(AA446="","Set a stage",IF(AND(AA446="Proposal sent",COUNTA(Q446:V446)&lt;6),"Score this lead – proposal sent unscored",IF(N(AC446)&gt;=Settings!$S$3,"Close – 4 follow-ups sent",IF(AD446="",IF(AB446="","Make first contact",""),IF(TODAY()&gt;AD446,"OVERDUE follow-up",IF(TODAY()=AD446,"Follow up today","")))))))))</f>
        <v/>
      </c>
    </row>
    <row r="447" customFormat="false" ht="15" hidden="false" customHeight="false" outlineLevel="0" collapsed="false">
      <c r="A447" s="17"/>
      <c r="B447" s="40"/>
      <c r="C447" s="41"/>
      <c r="D447" s="17"/>
      <c r="E447" s="17"/>
      <c r="F447" s="17"/>
      <c r="G447" s="17"/>
      <c r="H447" s="17"/>
      <c r="I447" s="42"/>
      <c r="J447" s="17"/>
      <c r="K447" s="17"/>
      <c r="L447" s="17"/>
      <c r="M447" s="17"/>
      <c r="N447" s="40"/>
      <c r="O447" s="41"/>
      <c r="P447" s="43" t="str">
        <f aca="false">IF(OR(B447="",N447=""),"",ROUND(((N447+N(O447))-(B447+N(C447)))*24,1))</f>
        <v/>
      </c>
      <c r="Q447" s="17"/>
      <c r="R447" s="17"/>
      <c r="S447" s="17"/>
      <c r="T447" s="17"/>
      <c r="U447" s="17"/>
      <c r="V447" s="17"/>
      <c r="W447" s="44" t="str">
        <f aca="false">IF(OR(E447="",COUNTA(Q447:V447)=0),"",SUMIFS(Settings!$AA$2:$AA$21,Settings!$Y$2:$Y$21,"Budget AED 5k+/mo?",Settings!$Z$2:$Z$21,Q447)+SUMIFS(Settings!$AA$2:$AA$21,Settings!$Y$2:$Y$21,"Decision-maker?",Settings!$Z$2:$Z$21,R447)+SUMIFS(Settings!$AA$2:$AA$21,Settings!$Y$2:$Y$21,"Someone on camera?",Settings!$Z$2:$Z$21,S447)+SUMIFS(Settings!$AA$2:$AA$21,Settings!$Y$2:$Y$21,"OK with 3-month term?",Settings!$Z$2:$Z$21,T447)+SUMIFS(Settings!$AA$2:$AA$21,Settings!$Y$2:$Y$21,"Start timeline",Settings!$Z$2:$Z$21,U447)+SUMIFS(Settings!$AA$2:$AA$21,Settings!$Y$2:$Y$21,"Social media gap",Settings!$Z$2:$Z$21,V447)+IF(F447="",0,IF(COUNTIF(Settings!$AC$2:$AC$6,F447)&gt;0,Settings!$AA$20,Settings!$AA$21)))</f>
        <v/>
      </c>
      <c r="X447" s="44" t="str">
        <f aca="false">IF(E447="","",IF(COUNTA(Q447:V447)=0,"Not scored",IF(COUNTA(Q447:V447)&lt;6,"Partly scored ("&amp;COUNTA(Q447:V447)&amp;"/6)",IF(W447&gt;=Settings!$S$8,"Hot",IF(W447&gt;=Settings!$S$9,"Warm","Cold")))))</f>
        <v/>
      </c>
      <c r="Y447" s="44" t="str">
        <f aca="false">IF(E447="","",IF(AND(Q447="No",S447="No"),"🚩 Budget  ·  🚩 No one on camera",IF(Q447="No","🚩 Budget under AED 5k",IF(S447="No","🚩 No one on camera",""))))</f>
        <v/>
      </c>
      <c r="Z447" s="17"/>
      <c r="AA447" s="17"/>
      <c r="AB447" s="40"/>
      <c r="AC447" s="17"/>
      <c r="AD447" s="45" t="str">
        <f aca="false">IF(OR(E447="",AB447="",OR(AA447="Contract signed + paid",AA447="Closed – No response",AA447="Lost"),N(AC447)&gt;=Settings!$S$3),"",AB447+Settings!$S$2)</f>
        <v/>
      </c>
      <c r="AE447" s="40"/>
      <c r="AF447" s="41"/>
      <c r="AG447" s="17"/>
      <c r="AH447" s="17"/>
      <c r="AI447" s="17"/>
      <c r="AJ447" s="46" t="str">
        <f aca="true">IF(OR(E447="",B447=""),"",INT(TODAY()-B447))</f>
        <v/>
      </c>
      <c r="AK447" s="44" t="str">
        <f aca="true">IF(E447="","",IF(OR(COUNTIFS(Clients!$C$2:$C$501,E447,Clients!$S$2:$S$501,"Paid")&gt;0,AND(I447&lt;&gt;"",COUNTIFS(Clients!$E$2:$E$501,I447,Clients!$S$2:$S$501,"Paid")&gt;0)),"⚠ Refunded before – no free video",IF(OR(AA447="Contract signed + paid",AA447="Closed – No response",AA447="Lost"),"",IF(AA447="","Set a stage",IF(AND(AA447="Proposal sent",COUNTA(Q447:V447)&lt;6),"Score this lead – proposal sent unscored",IF(N(AC447)&gt;=Settings!$S$3,"Close – 4 follow-ups sent",IF(AD447="",IF(AB447="","Make first contact",""),IF(TODAY()&gt;AD447,"OVERDUE follow-up",IF(TODAY()=AD447,"Follow up today","")))))))))</f>
        <v/>
      </c>
    </row>
    <row r="448" customFormat="false" ht="15" hidden="false" customHeight="false" outlineLevel="0" collapsed="false">
      <c r="A448" s="17"/>
      <c r="B448" s="40"/>
      <c r="C448" s="41"/>
      <c r="D448" s="17"/>
      <c r="E448" s="17"/>
      <c r="F448" s="17"/>
      <c r="G448" s="17"/>
      <c r="H448" s="17"/>
      <c r="I448" s="42"/>
      <c r="J448" s="17"/>
      <c r="K448" s="17"/>
      <c r="L448" s="17"/>
      <c r="M448" s="17"/>
      <c r="N448" s="40"/>
      <c r="O448" s="41"/>
      <c r="P448" s="43" t="str">
        <f aca="false">IF(OR(B448="",N448=""),"",ROUND(((N448+N(O448))-(B448+N(C448)))*24,1))</f>
        <v/>
      </c>
      <c r="Q448" s="17"/>
      <c r="R448" s="17"/>
      <c r="S448" s="17"/>
      <c r="T448" s="17"/>
      <c r="U448" s="17"/>
      <c r="V448" s="17"/>
      <c r="W448" s="44" t="str">
        <f aca="false">IF(OR(E448="",COUNTA(Q448:V448)=0),"",SUMIFS(Settings!$AA$2:$AA$21,Settings!$Y$2:$Y$21,"Budget AED 5k+/mo?",Settings!$Z$2:$Z$21,Q448)+SUMIFS(Settings!$AA$2:$AA$21,Settings!$Y$2:$Y$21,"Decision-maker?",Settings!$Z$2:$Z$21,R448)+SUMIFS(Settings!$AA$2:$AA$21,Settings!$Y$2:$Y$21,"Someone on camera?",Settings!$Z$2:$Z$21,S448)+SUMIFS(Settings!$AA$2:$AA$21,Settings!$Y$2:$Y$21,"OK with 3-month term?",Settings!$Z$2:$Z$21,T448)+SUMIFS(Settings!$AA$2:$AA$21,Settings!$Y$2:$Y$21,"Start timeline",Settings!$Z$2:$Z$21,U448)+SUMIFS(Settings!$AA$2:$AA$21,Settings!$Y$2:$Y$21,"Social media gap",Settings!$Z$2:$Z$21,V448)+IF(F448="",0,IF(COUNTIF(Settings!$AC$2:$AC$6,F448)&gt;0,Settings!$AA$20,Settings!$AA$21)))</f>
        <v/>
      </c>
      <c r="X448" s="44" t="str">
        <f aca="false">IF(E448="","",IF(COUNTA(Q448:V448)=0,"Not scored",IF(COUNTA(Q448:V448)&lt;6,"Partly scored ("&amp;COUNTA(Q448:V448)&amp;"/6)",IF(W448&gt;=Settings!$S$8,"Hot",IF(W448&gt;=Settings!$S$9,"Warm","Cold")))))</f>
        <v/>
      </c>
      <c r="Y448" s="44" t="str">
        <f aca="false">IF(E448="","",IF(AND(Q448="No",S448="No"),"🚩 Budget  ·  🚩 No one on camera",IF(Q448="No","🚩 Budget under AED 5k",IF(S448="No","🚩 No one on camera",""))))</f>
        <v/>
      </c>
      <c r="Z448" s="17"/>
      <c r="AA448" s="17"/>
      <c r="AB448" s="40"/>
      <c r="AC448" s="17"/>
      <c r="AD448" s="45" t="str">
        <f aca="false">IF(OR(E448="",AB448="",OR(AA448="Contract signed + paid",AA448="Closed – No response",AA448="Lost"),N(AC448)&gt;=Settings!$S$3),"",AB448+Settings!$S$2)</f>
        <v/>
      </c>
      <c r="AE448" s="40"/>
      <c r="AF448" s="41"/>
      <c r="AG448" s="17"/>
      <c r="AH448" s="17"/>
      <c r="AI448" s="17"/>
      <c r="AJ448" s="46" t="str">
        <f aca="true">IF(OR(E448="",B448=""),"",INT(TODAY()-B448))</f>
        <v/>
      </c>
      <c r="AK448" s="44" t="str">
        <f aca="true">IF(E448="","",IF(OR(COUNTIFS(Clients!$C$2:$C$501,E448,Clients!$S$2:$S$501,"Paid")&gt;0,AND(I448&lt;&gt;"",COUNTIFS(Clients!$E$2:$E$501,I448,Clients!$S$2:$S$501,"Paid")&gt;0)),"⚠ Refunded before – no free video",IF(OR(AA448="Contract signed + paid",AA448="Closed – No response",AA448="Lost"),"",IF(AA448="","Set a stage",IF(AND(AA448="Proposal sent",COUNTA(Q448:V448)&lt;6),"Score this lead – proposal sent unscored",IF(N(AC448)&gt;=Settings!$S$3,"Close – 4 follow-ups sent",IF(AD448="",IF(AB448="","Make first contact",""),IF(TODAY()&gt;AD448,"OVERDUE follow-up",IF(TODAY()=AD448,"Follow up today","")))))))))</f>
        <v/>
      </c>
    </row>
    <row r="449" customFormat="false" ht="15" hidden="false" customHeight="false" outlineLevel="0" collapsed="false">
      <c r="A449" s="17"/>
      <c r="B449" s="40"/>
      <c r="C449" s="41"/>
      <c r="D449" s="17"/>
      <c r="E449" s="17"/>
      <c r="F449" s="17"/>
      <c r="G449" s="17"/>
      <c r="H449" s="17"/>
      <c r="I449" s="42"/>
      <c r="J449" s="17"/>
      <c r="K449" s="17"/>
      <c r="L449" s="17"/>
      <c r="M449" s="17"/>
      <c r="N449" s="40"/>
      <c r="O449" s="41"/>
      <c r="P449" s="43" t="str">
        <f aca="false">IF(OR(B449="",N449=""),"",ROUND(((N449+N(O449))-(B449+N(C449)))*24,1))</f>
        <v/>
      </c>
      <c r="Q449" s="17"/>
      <c r="R449" s="17"/>
      <c r="S449" s="17"/>
      <c r="T449" s="17"/>
      <c r="U449" s="17"/>
      <c r="V449" s="17"/>
      <c r="W449" s="44" t="str">
        <f aca="false">IF(OR(E449="",COUNTA(Q449:V449)=0),"",SUMIFS(Settings!$AA$2:$AA$21,Settings!$Y$2:$Y$21,"Budget AED 5k+/mo?",Settings!$Z$2:$Z$21,Q449)+SUMIFS(Settings!$AA$2:$AA$21,Settings!$Y$2:$Y$21,"Decision-maker?",Settings!$Z$2:$Z$21,R449)+SUMIFS(Settings!$AA$2:$AA$21,Settings!$Y$2:$Y$21,"Someone on camera?",Settings!$Z$2:$Z$21,S449)+SUMIFS(Settings!$AA$2:$AA$21,Settings!$Y$2:$Y$21,"OK with 3-month term?",Settings!$Z$2:$Z$21,T449)+SUMIFS(Settings!$AA$2:$AA$21,Settings!$Y$2:$Y$21,"Start timeline",Settings!$Z$2:$Z$21,U449)+SUMIFS(Settings!$AA$2:$AA$21,Settings!$Y$2:$Y$21,"Social media gap",Settings!$Z$2:$Z$21,V449)+IF(F449="",0,IF(COUNTIF(Settings!$AC$2:$AC$6,F449)&gt;0,Settings!$AA$20,Settings!$AA$21)))</f>
        <v/>
      </c>
      <c r="X449" s="44" t="str">
        <f aca="false">IF(E449="","",IF(COUNTA(Q449:V449)=0,"Not scored",IF(COUNTA(Q449:V449)&lt;6,"Partly scored ("&amp;COUNTA(Q449:V449)&amp;"/6)",IF(W449&gt;=Settings!$S$8,"Hot",IF(W449&gt;=Settings!$S$9,"Warm","Cold")))))</f>
        <v/>
      </c>
      <c r="Y449" s="44" t="str">
        <f aca="false">IF(E449="","",IF(AND(Q449="No",S449="No"),"🚩 Budget  ·  🚩 No one on camera",IF(Q449="No","🚩 Budget under AED 5k",IF(S449="No","🚩 No one on camera",""))))</f>
        <v/>
      </c>
      <c r="Z449" s="17"/>
      <c r="AA449" s="17"/>
      <c r="AB449" s="40"/>
      <c r="AC449" s="17"/>
      <c r="AD449" s="45" t="str">
        <f aca="false">IF(OR(E449="",AB449="",OR(AA449="Contract signed + paid",AA449="Closed – No response",AA449="Lost"),N(AC449)&gt;=Settings!$S$3),"",AB449+Settings!$S$2)</f>
        <v/>
      </c>
      <c r="AE449" s="40"/>
      <c r="AF449" s="41"/>
      <c r="AG449" s="17"/>
      <c r="AH449" s="17"/>
      <c r="AI449" s="17"/>
      <c r="AJ449" s="46" t="str">
        <f aca="true">IF(OR(E449="",B449=""),"",INT(TODAY()-B449))</f>
        <v/>
      </c>
      <c r="AK449" s="44" t="str">
        <f aca="true">IF(E449="","",IF(OR(COUNTIFS(Clients!$C$2:$C$501,E449,Clients!$S$2:$S$501,"Paid")&gt;0,AND(I449&lt;&gt;"",COUNTIFS(Clients!$E$2:$E$501,I449,Clients!$S$2:$S$501,"Paid")&gt;0)),"⚠ Refunded before – no free video",IF(OR(AA449="Contract signed + paid",AA449="Closed – No response",AA449="Lost"),"",IF(AA449="","Set a stage",IF(AND(AA449="Proposal sent",COUNTA(Q449:V449)&lt;6),"Score this lead – proposal sent unscored",IF(N(AC449)&gt;=Settings!$S$3,"Close – 4 follow-ups sent",IF(AD449="",IF(AB449="","Make first contact",""),IF(TODAY()&gt;AD449,"OVERDUE follow-up",IF(TODAY()=AD449,"Follow up today","")))))))))</f>
        <v/>
      </c>
    </row>
    <row r="450" customFormat="false" ht="15" hidden="false" customHeight="false" outlineLevel="0" collapsed="false">
      <c r="A450" s="17"/>
      <c r="B450" s="40"/>
      <c r="C450" s="41"/>
      <c r="D450" s="17"/>
      <c r="E450" s="17"/>
      <c r="F450" s="17"/>
      <c r="G450" s="17"/>
      <c r="H450" s="17"/>
      <c r="I450" s="42"/>
      <c r="J450" s="17"/>
      <c r="K450" s="17"/>
      <c r="L450" s="17"/>
      <c r="M450" s="17"/>
      <c r="N450" s="40"/>
      <c r="O450" s="41"/>
      <c r="P450" s="43" t="str">
        <f aca="false">IF(OR(B450="",N450=""),"",ROUND(((N450+N(O450))-(B450+N(C450)))*24,1))</f>
        <v/>
      </c>
      <c r="Q450" s="17"/>
      <c r="R450" s="17"/>
      <c r="S450" s="17"/>
      <c r="T450" s="17"/>
      <c r="U450" s="17"/>
      <c r="V450" s="17"/>
      <c r="W450" s="44" t="str">
        <f aca="false">IF(OR(E450="",COUNTA(Q450:V450)=0),"",SUMIFS(Settings!$AA$2:$AA$21,Settings!$Y$2:$Y$21,"Budget AED 5k+/mo?",Settings!$Z$2:$Z$21,Q450)+SUMIFS(Settings!$AA$2:$AA$21,Settings!$Y$2:$Y$21,"Decision-maker?",Settings!$Z$2:$Z$21,R450)+SUMIFS(Settings!$AA$2:$AA$21,Settings!$Y$2:$Y$21,"Someone on camera?",Settings!$Z$2:$Z$21,S450)+SUMIFS(Settings!$AA$2:$AA$21,Settings!$Y$2:$Y$21,"OK with 3-month term?",Settings!$Z$2:$Z$21,T450)+SUMIFS(Settings!$AA$2:$AA$21,Settings!$Y$2:$Y$21,"Start timeline",Settings!$Z$2:$Z$21,U450)+SUMIFS(Settings!$AA$2:$AA$21,Settings!$Y$2:$Y$21,"Social media gap",Settings!$Z$2:$Z$21,V450)+IF(F450="",0,IF(COUNTIF(Settings!$AC$2:$AC$6,F450)&gt;0,Settings!$AA$20,Settings!$AA$21)))</f>
        <v/>
      </c>
      <c r="X450" s="44" t="str">
        <f aca="false">IF(E450="","",IF(COUNTA(Q450:V450)=0,"Not scored",IF(COUNTA(Q450:V450)&lt;6,"Partly scored ("&amp;COUNTA(Q450:V450)&amp;"/6)",IF(W450&gt;=Settings!$S$8,"Hot",IF(W450&gt;=Settings!$S$9,"Warm","Cold")))))</f>
        <v/>
      </c>
      <c r="Y450" s="44" t="str">
        <f aca="false">IF(E450="","",IF(AND(Q450="No",S450="No"),"🚩 Budget  ·  🚩 No one on camera",IF(Q450="No","🚩 Budget under AED 5k",IF(S450="No","🚩 No one on camera",""))))</f>
        <v/>
      </c>
      <c r="Z450" s="17"/>
      <c r="AA450" s="17"/>
      <c r="AB450" s="40"/>
      <c r="AC450" s="17"/>
      <c r="AD450" s="45" t="str">
        <f aca="false">IF(OR(E450="",AB450="",OR(AA450="Contract signed + paid",AA450="Closed – No response",AA450="Lost"),N(AC450)&gt;=Settings!$S$3),"",AB450+Settings!$S$2)</f>
        <v/>
      </c>
      <c r="AE450" s="40"/>
      <c r="AF450" s="41"/>
      <c r="AG450" s="17"/>
      <c r="AH450" s="17"/>
      <c r="AI450" s="17"/>
      <c r="AJ450" s="46" t="str">
        <f aca="true">IF(OR(E450="",B450=""),"",INT(TODAY()-B450))</f>
        <v/>
      </c>
      <c r="AK450" s="44" t="str">
        <f aca="true">IF(E450="","",IF(OR(COUNTIFS(Clients!$C$2:$C$501,E450,Clients!$S$2:$S$501,"Paid")&gt;0,AND(I450&lt;&gt;"",COUNTIFS(Clients!$E$2:$E$501,I450,Clients!$S$2:$S$501,"Paid")&gt;0)),"⚠ Refunded before – no free video",IF(OR(AA450="Contract signed + paid",AA450="Closed – No response",AA450="Lost"),"",IF(AA450="","Set a stage",IF(AND(AA450="Proposal sent",COUNTA(Q450:V450)&lt;6),"Score this lead – proposal sent unscored",IF(N(AC450)&gt;=Settings!$S$3,"Close – 4 follow-ups sent",IF(AD450="",IF(AB450="","Make first contact",""),IF(TODAY()&gt;AD450,"OVERDUE follow-up",IF(TODAY()=AD450,"Follow up today","")))))))))</f>
        <v/>
      </c>
    </row>
    <row r="451" customFormat="false" ht="15" hidden="false" customHeight="false" outlineLevel="0" collapsed="false">
      <c r="A451" s="17"/>
      <c r="B451" s="40"/>
      <c r="C451" s="41"/>
      <c r="D451" s="17"/>
      <c r="E451" s="17"/>
      <c r="F451" s="17"/>
      <c r="G451" s="17"/>
      <c r="H451" s="17"/>
      <c r="I451" s="42"/>
      <c r="J451" s="17"/>
      <c r="K451" s="17"/>
      <c r="L451" s="17"/>
      <c r="M451" s="17"/>
      <c r="N451" s="40"/>
      <c r="O451" s="41"/>
      <c r="P451" s="43" t="str">
        <f aca="false">IF(OR(B451="",N451=""),"",ROUND(((N451+N(O451))-(B451+N(C451)))*24,1))</f>
        <v/>
      </c>
      <c r="Q451" s="17"/>
      <c r="R451" s="17"/>
      <c r="S451" s="17"/>
      <c r="T451" s="17"/>
      <c r="U451" s="17"/>
      <c r="V451" s="17"/>
      <c r="W451" s="44" t="str">
        <f aca="false">IF(OR(E451="",COUNTA(Q451:V451)=0),"",SUMIFS(Settings!$AA$2:$AA$21,Settings!$Y$2:$Y$21,"Budget AED 5k+/mo?",Settings!$Z$2:$Z$21,Q451)+SUMIFS(Settings!$AA$2:$AA$21,Settings!$Y$2:$Y$21,"Decision-maker?",Settings!$Z$2:$Z$21,R451)+SUMIFS(Settings!$AA$2:$AA$21,Settings!$Y$2:$Y$21,"Someone on camera?",Settings!$Z$2:$Z$21,S451)+SUMIFS(Settings!$AA$2:$AA$21,Settings!$Y$2:$Y$21,"OK with 3-month term?",Settings!$Z$2:$Z$21,T451)+SUMIFS(Settings!$AA$2:$AA$21,Settings!$Y$2:$Y$21,"Start timeline",Settings!$Z$2:$Z$21,U451)+SUMIFS(Settings!$AA$2:$AA$21,Settings!$Y$2:$Y$21,"Social media gap",Settings!$Z$2:$Z$21,V451)+IF(F451="",0,IF(COUNTIF(Settings!$AC$2:$AC$6,F451)&gt;0,Settings!$AA$20,Settings!$AA$21)))</f>
        <v/>
      </c>
      <c r="X451" s="44" t="str">
        <f aca="false">IF(E451="","",IF(COUNTA(Q451:V451)=0,"Not scored",IF(COUNTA(Q451:V451)&lt;6,"Partly scored ("&amp;COUNTA(Q451:V451)&amp;"/6)",IF(W451&gt;=Settings!$S$8,"Hot",IF(W451&gt;=Settings!$S$9,"Warm","Cold")))))</f>
        <v/>
      </c>
      <c r="Y451" s="44" t="str">
        <f aca="false">IF(E451="","",IF(AND(Q451="No",S451="No"),"🚩 Budget  ·  🚩 No one on camera",IF(Q451="No","🚩 Budget under AED 5k",IF(S451="No","🚩 No one on camera",""))))</f>
        <v/>
      </c>
      <c r="Z451" s="17"/>
      <c r="AA451" s="17"/>
      <c r="AB451" s="40"/>
      <c r="AC451" s="17"/>
      <c r="AD451" s="45" t="str">
        <f aca="false">IF(OR(E451="",AB451="",OR(AA451="Contract signed + paid",AA451="Closed – No response",AA451="Lost"),N(AC451)&gt;=Settings!$S$3),"",AB451+Settings!$S$2)</f>
        <v/>
      </c>
      <c r="AE451" s="40"/>
      <c r="AF451" s="41"/>
      <c r="AG451" s="17"/>
      <c r="AH451" s="17"/>
      <c r="AI451" s="17"/>
      <c r="AJ451" s="46" t="str">
        <f aca="true">IF(OR(E451="",B451=""),"",INT(TODAY()-B451))</f>
        <v/>
      </c>
      <c r="AK451" s="44" t="str">
        <f aca="true">IF(E451="","",IF(OR(COUNTIFS(Clients!$C$2:$C$501,E451,Clients!$S$2:$S$501,"Paid")&gt;0,AND(I451&lt;&gt;"",COUNTIFS(Clients!$E$2:$E$501,I451,Clients!$S$2:$S$501,"Paid")&gt;0)),"⚠ Refunded before – no free video",IF(OR(AA451="Contract signed + paid",AA451="Closed – No response",AA451="Lost"),"",IF(AA451="","Set a stage",IF(AND(AA451="Proposal sent",COUNTA(Q451:V451)&lt;6),"Score this lead – proposal sent unscored",IF(N(AC451)&gt;=Settings!$S$3,"Close – 4 follow-ups sent",IF(AD451="",IF(AB451="","Make first contact",""),IF(TODAY()&gt;AD451,"OVERDUE follow-up",IF(TODAY()=AD451,"Follow up today","")))))))))</f>
        <v/>
      </c>
    </row>
    <row r="452" customFormat="false" ht="15" hidden="false" customHeight="false" outlineLevel="0" collapsed="false">
      <c r="A452" s="17"/>
      <c r="B452" s="40"/>
      <c r="C452" s="41"/>
      <c r="D452" s="17"/>
      <c r="E452" s="17"/>
      <c r="F452" s="17"/>
      <c r="G452" s="17"/>
      <c r="H452" s="17"/>
      <c r="I452" s="42"/>
      <c r="J452" s="17"/>
      <c r="K452" s="17"/>
      <c r="L452" s="17"/>
      <c r="M452" s="17"/>
      <c r="N452" s="40"/>
      <c r="O452" s="41"/>
      <c r="P452" s="43" t="str">
        <f aca="false">IF(OR(B452="",N452=""),"",ROUND(((N452+N(O452))-(B452+N(C452)))*24,1))</f>
        <v/>
      </c>
      <c r="Q452" s="17"/>
      <c r="R452" s="17"/>
      <c r="S452" s="17"/>
      <c r="T452" s="17"/>
      <c r="U452" s="17"/>
      <c r="V452" s="17"/>
      <c r="W452" s="44" t="str">
        <f aca="false">IF(OR(E452="",COUNTA(Q452:V452)=0),"",SUMIFS(Settings!$AA$2:$AA$21,Settings!$Y$2:$Y$21,"Budget AED 5k+/mo?",Settings!$Z$2:$Z$21,Q452)+SUMIFS(Settings!$AA$2:$AA$21,Settings!$Y$2:$Y$21,"Decision-maker?",Settings!$Z$2:$Z$21,R452)+SUMIFS(Settings!$AA$2:$AA$21,Settings!$Y$2:$Y$21,"Someone on camera?",Settings!$Z$2:$Z$21,S452)+SUMIFS(Settings!$AA$2:$AA$21,Settings!$Y$2:$Y$21,"OK with 3-month term?",Settings!$Z$2:$Z$21,T452)+SUMIFS(Settings!$AA$2:$AA$21,Settings!$Y$2:$Y$21,"Start timeline",Settings!$Z$2:$Z$21,U452)+SUMIFS(Settings!$AA$2:$AA$21,Settings!$Y$2:$Y$21,"Social media gap",Settings!$Z$2:$Z$21,V452)+IF(F452="",0,IF(COUNTIF(Settings!$AC$2:$AC$6,F452)&gt;0,Settings!$AA$20,Settings!$AA$21)))</f>
        <v/>
      </c>
      <c r="X452" s="44" t="str">
        <f aca="false">IF(E452="","",IF(COUNTA(Q452:V452)=0,"Not scored",IF(COUNTA(Q452:V452)&lt;6,"Partly scored ("&amp;COUNTA(Q452:V452)&amp;"/6)",IF(W452&gt;=Settings!$S$8,"Hot",IF(W452&gt;=Settings!$S$9,"Warm","Cold")))))</f>
        <v/>
      </c>
      <c r="Y452" s="44" t="str">
        <f aca="false">IF(E452="","",IF(AND(Q452="No",S452="No"),"🚩 Budget  ·  🚩 No one on camera",IF(Q452="No","🚩 Budget under AED 5k",IF(S452="No","🚩 No one on camera",""))))</f>
        <v/>
      </c>
      <c r="Z452" s="17"/>
      <c r="AA452" s="17"/>
      <c r="AB452" s="40"/>
      <c r="AC452" s="17"/>
      <c r="AD452" s="45" t="str">
        <f aca="false">IF(OR(E452="",AB452="",OR(AA452="Contract signed + paid",AA452="Closed – No response",AA452="Lost"),N(AC452)&gt;=Settings!$S$3),"",AB452+Settings!$S$2)</f>
        <v/>
      </c>
      <c r="AE452" s="40"/>
      <c r="AF452" s="41"/>
      <c r="AG452" s="17"/>
      <c r="AH452" s="17"/>
      <c r="AI452" s="17"/>
      <c r="AJ452" s="46" t="str">
        <f aca="true">IF(OR(E452="",B452=""),"",INT(TODAY()-B452))</f>
        <v/>
      </c>
      <c r="AK452" s="44" t="str">
        <f aca="true">IF(E452="","",IF(OR(COUNTIFS(Clients!$C$2:$C$501,E452,Clients!$S$2:$S$501,"Paid")&gt;0,AND(I452&lt;&gt;"",COUNTIFS(Clients!$E$2:$E$501,I452,Clients!$S$2:$S$501,"Paid")&gt;0)),"⚠ Refunded before – no free video",IF(OR(AA452="Contract signed + paid",AA452="Closed – No response",AA452="Lost"),"",IF(AA452="","Set a stage",IF(AND(AA452="Proposal sent",COUNTA(Q452:V452)&lt;6),"Score this lead – proposal sent unscored",IF(N(AC452)&gt;=Settings!$S$3,"Close – 4 follow-ups sent",IF(AD452="",IF(AB452="","Make first contact",""),IF(TODAY()&gt;AD452,"OVERDUE follow-up",IF(TODAY()=AD452,"Follow up today","")))))))))</f>
        <v/>
      </c>
    </row>
    <row r="453" customFormat="false" ht="15" hidden="false" customHeight="false" outlineLevel="0" collapsed="false">
      <c r="A453" s="17"/>
      <c r="B453" s="40"/>
      <c r="C453" s="41"/>
      <c r="D453" s="17"/>
      <c r="E453" s="17"/>
      <c r="F453" s="17"/>
      <c r="G453" s="17"/>
      <c r="H453" s="17"/>
      <c r="I453" s="42"/>
      <c r="J453" s="17"/>
      <c r="K453" s="17"/>
      <c r="L453" s="17"/>
      <c r="M453" s="17"/>
      <c r="N453" s="40"/>
      <c r="O453" s="41"/>
      <c r="P453" s="43" t="str">
        <f aca="false">IF(OR(B453="",N453=""),"",ROUND(((N453+N(O453))-(B453+N(C453)))*24,1))</f>
        <v/>
      </c>
      <c r="Q453" s="17"/>
      <c r="R453" s="17"/>
      <c r="S453" s="17"/>
      <c r="T453" s="17"/>
      <c r="U453" s="17"/>
      <c r="V453" s="17"/>
      <c r="W453" s="44" t="str">
        <f aca="false">IF(OR(E453="",COUNTA(Q453:V453)=0),"",SUMIFS(Settings!$AA$2:$AA$21,Settings!$Y$2:$Y$21,"Budget AED 5k+/mo?",Settings!$Z$2:$Z$21,Q453)+SUMIFS(Settings!$AA$2:$AA$21,Settings!$Y$2:$Y$21,"Decision-maker?",Settings!$Z$2:$Z$21,R453)+SUMIFS(Settings!$AA$2:$AA$21,Settings!$Y$2:$Y$21,"Someone on camera?",Settings!$Z$2:$Z$21,S453)+SUMIFS(Settings!$AA$2:$AA$21,Settings!$Y$2:$Y$21,"OK with 3-month term?",Settings!$Z$2:$Z$21,T453)+SUMIFS(Settings!$AA$2:$AA$21,Settings!$Y$2:$Y$21,"Start timeline",Settings!$Z$2:$Z$21,U453)+SUMIFS(Settings!$AA$2:$AA$21,Settings!$Y$2:$Y$21,"Social media gap",Settings!$Z$2:$Z$21,V453)+IF(F453="",0,IF(COUNTIF(Settings!$AC$2:$AC$6,F453)&gt;0,Settings!$AA$20,Settings!$AA$21)))</f>
        <v/>
      </c>
      <c r="X453" s="44" t="str">
        <f aca="false">IF(E453="","",IF(COUNTA(Q453:V453)=0,"Not scored",IF(COUNTA(Q453:V453)&lt;6,"Partly scored ("&amp;COUNTA(Q453:V453)&amp;"/6)",IF(W453&gt;=Settings!$S$8,"Hot",IF(W453&gt;=Settings!$S$9,"Warm","Cold")))))</f>
        <v/>
      </c>
      <c r="Y453" s="44" t="str">
        <f aca="false">IF(E453="","",IF(AND(Q453="No",S453="No"),"🚩 Budget  ·  🚩 No one on camera",IF(Q453="No","🚩 Budget under AED 5k",IF(S453="No","🚩 No one on camera",""))))</f>
        <v/>
      </c>
      <c r="Z453" s="17"/>
      <c r="AA453" s="17"/>
      <c r="AB453" s="40"/>
      <c r="AC453" s="17"/>
      <c r="AD453" s="45" t="str">
        <f aca="false">IF(OR(E453="",AB453="",OR(AA453="Contract signed + paid",AA453="Closed – No response",AA453="Lost"),N(AC453)&gt;=Settings!$S$3),"",AB453+Settings!$S$2)</f>
        <v/>
      </c>
      <c r="AE453" s="40"/>
      <c r="AF453" s="41"/>
      <c r="AG453" s="17"/>
      <c r="AH453" s="17"/>
      <c r="AI453" s="17"/>
      <c r="AJ453" s="46" t="str">
        <f aca="true">IF(OR(E453="",B453=""),"",INT(TODAY()-B453))</f>
        <v/>
      </c>
      <c r="AK453" s="44" t="str">
        <f aca="true">IF(E453="","",IF(OR(COUNTIFS(Clients!$C$2:$C$501,E453,Clients!$S$2:$S$501,"Paid")&gt;0,AND(I453&lt;&gt;"",COUNTIFS(Clients!$E$2:$E$501,I453,Clients!$S$2:$S$501,"Paid")&gt;0)),"⚠ Refunded before – no free video",IF(OR(AA453="Contract signed + paid",AA453="Closed – No response",AA453="Lost"),"",IF(AA453="","Set a stage",IF(AND(AA453="Proposal sent",COUNTA(Q453:V453)&lt;6),"Score this lead – proposal sent unscored",IF(N(AC453)&gt;=Settings!$S$3,"Close – 4 follow-ups sent",IF(AD453="",IF(AB453="","Make first contact",""),IF(TODAY()&gt;AD453,"OVERDUE follow-up",IF(TODAY()=AD453,"Follow up today","")))))))))</f>
        <v/>
      </c>
    </row>
    <row r="454" customFormat="false" ht="15" hidden="false" customHeight="false" outlineLevel="0" collapsed="false">
      <c r="A454" s="17"/>
      <c r="B454" s="40"/>
      <c r="C454" s="41"/>
      <c r="D454" s="17"/>
      <c r="E454" s="17"/>
      <c r="F454" s="17"/>
      <c r="G454" s="17"/>
      <c r="H454" s="17"/>
      <c r="I454" s="42"/>
      <c r="J454" s="17"/>
      <c r="K454" s="17"/>
      <c r="L454" s="17"/>
      <c r="M454" s="17"/>
      <c r="N454" s="40"/>
      <c r="O454" s="41"/>
      <c r="P454" s="43" t="str">
        <f aca="false">IF(OR(B454="",N454=""),"",ROUND(((N454+N(O454))-(B454+N(C454)))*24,1))</f>
        <v/>
      </c>
      <c r="Q454" s="17"/>
      <c r="R454" s="17"/>
      <c r="S454" s="17"/>
      <c r="T454" s="17"/>
      <c r="U454" s="17"/>
      <c r="V454" s="17"/>
      <c r="W454" s="44" t="str">
        <f aca="false">IF(OR(E454="",COUNTA(Q454:V454)=0),"",SUMIFS(Settings!$AA$2:$AA$21,Settings!$Y$2:$Y$21,"Budget AED 5k+/mo?",Settings!$Z$2:$Z$21,Q454)+SUMIFS(Settings!$AA$2:$AA$21,Settings!$Y$2:$Y$21,"Decision-maker?",Settings!$Z$2:$Z$21,R454)+SUMIFS(Settings!$AA$2:$AA$21,Settings!$Y$2:$Y$21,"Someone on camera?",Settings!$Z$2:$Z$21,S454)+SUMIFS(Settings!$AA$2:$AA$21,Settings!$Y$2:$Y$21,"OK with 3-month term?",Settings!$Z$2:$Z$21,T454)+SUMIFS(Settings!$AA$2:$AA$21,Settings!$Y$2:$Y$21,"Start timeline",Settings!$Z$2:$Z$21,U454)+SUMIFS(Settings!$AA$2:$AA$21,Settings!$Y$2:$Y$21,"Social media gap",Settings!$Z$2:$Z$21,V454)+IF(F454="",0,IF(COUNTIF(Settings!$AC$2:$AC$6,F454)&gt;0,Settings!$AA$20,Settings!$AA$21)))</f>
        <v/>
      </c>
      <c r="X454" s="44" t="str">
        <f aca="false">IF(E454="","",IF(COUNTA(Q454:V454)=0,"Not scored",IF(COUNTA(Q454:V454)&lt;6,"Partly scored ("&amp;COUNTA(Q454:V454)&amp;"/6)",IF(W454&gt;=Settings!$S$8,"Hot",IF(W454&gt;=Settings!$S$9,"Warm","Cold")))))</f>
        <v/>
      </c>
      <c r="Y454" s="44" t="str">
        <f aca="false">IF(E454="","",IF(AND(Q454="No",S454="No"),"🚩 Budget  ·  🚩 No one on camera",IF(Q454="No","🚩 Budget under AED 5k",IF(S454="No","🚩 No one on camera",""))))</f>
        <v/>
      </c>
      <c r="Z454" s="17"/>
      <c r="AA454" s="17"/>
      <c r="AB454" s="40"/>
      <c r="AC454" s="17"/>
      <c r="AD454" s="45" t="str">
        <f aca="false">IF(OR(E454="",AB454="",OR(AA454="Contract signed + paid",AA454="Closed – No response",AA454="Lost"),N(AC454)&gt;=Settings!$S$3),"",AB454+Settings!$S$2)</f>
        <v/>
      </c>
      <c r="AE454" s="40"/>
      <c r="AF454" s="41"/>
      <c r="AG454" s="17"/>
      <c r="AH454" s="17"/>
      <c r="AI454" s="17"/>
      <c r="AJ454" s="46" t="str">
        <f aca="true">IF(OR(E454="",B454=""),"",INT(TODAY()-B454))</f>
        <v/>
      </c>
      <c r="AK454" s="44" t="str">
        <f aca="true">IF(E454="","",IF(OR(COUNTIFS(Clients!$C$2:$C$501,E454,Clients!$S$2:$S$501,"Paid")&gt;0,AND(I454&lt;&gt;"",COUNTIFS(Clients!$E$2:$E$501,I454,Clients!$S$2:$S$501,"Paid")&gt;0)),"⚠ Refunded before – no free video",IF(OR(AA454="Contract signed + paid",AA454="Closed – No response",AA454="Lost"),"",IF(AA454="","Set a stage",IF(AND(AA454="Proposal sent",COUNTA(Q454:V454)&lt;6),"Score this lead – proposal sent unscored",IF(N(AC454)&gt;=Settings!$S$3,"Close – 4 follow-ups sent",IF(AD454="",IF(AB454="","Make first contact",""),IF(TODAY()&gt;AD454,"OVERDUE follow-up",IF(TODAY()=AD454,"Follow up today","")))))))))</f>
        <v/>
      </c>
    </row>
    <row r="455" customFormat="false" ht="15" hidden="false" customHeight="false" outlineLevel="0" collapsed="false">
      <c r="A455" s="17"/>
      <c r="B455" s="40"/>
      <c r="C455" s="41"/>
      <c r="D455" s="17"/>
      <c r="E455" s="17"/>
      <c r="F455" s="17"/>
      <c r="G455" s="17"/>
      <c r="H455" s="17"/>
      <c r="I455" s="42"/>
      <c r="J455" s="17"/>
      <c r="K455" s="17"/>
      <c r="L455" s="17"/>
      <c r="M455" s="17"/>
      <c r="N455" s="40"/>
      <c r="O455" s="41"/>
      <c r="P455" s="43" t="str">
        <f aca="false">IF(OR(B455="",N455=""),"",ROUND(((N455+N(O455))-(B455+N(C455)))*24,1))</f>
        <v/>
      </c>
      <c r="Q455" s="17"/>
      <c r="R455" s="17"/>
      <c r="S455" s="17"/>
      <c r="T455" s="17"/>
      <c r="U455" s="17"/>
      <c r="V455" s="17"/>
      <c r="W455" s="44" t="str">
        <f aca="false">IF(OR(E455="",COUNTA(Q455:V455)=0),"",SUMIFS(Settings!$AA$2:$AA$21,Settings!$Y$2:$Y$21,"Budget AED 5k+/mo?",Settings!$Z$2:$Z$21,Q455)+SUMIFS(Settings!$AA$2:$AA$21,Settings!$Y$2:$Y$21,"Decision-maker?",Settings!$Z$2:$Z$21,R455)+SUMIFS(Settings!$AA$2:$AA$21,Settings!$Y$2:$Y$21,"Someone on camera?",Settings!$Z$2:$Z$21,S455)+SUMIFS(Settings!$AA$2:$AA$21,Settings!$Y$2:$Y$21,"OK with 3-month term?",Settings!$Z$2:$Z$21,T455)+SUMIFS(Settings!$AA$2:$AA$21,Settings!$Y$2:$Y$21,"Start timeline",Settings!$Z$2:$Z$21,U455)+SUMIFS(Settings!$AA$2:$AA$21,Settings!$Y$2:$Y$21,"Social media gap",Settings!$Z$2:$Z$21,V455)+IF(F455="",0,IF(COUNTIF(Settings!$AC$2:$AC$6,F455)&gt;0,Settings!$AA$20,Settings!$AA$21)))</f>
        <v/>
      </c>
      <c r="X455" s="44" t="str">
        <f aca="false">IF(E455="","",IF(COUNTA(Q455:V455)=0,"Not scored",IF(COUNTA(Q455:V455)&lt;6,"Partly scored ("&amp;COUNTA(Q455:V455)&amp;"/6)",IF(W455&gt;=Settings!$S$8,"Hot",IF(W455&gt;=Settings!$S$9,"Warm","Cold")))))</f>
        <v/>
      </c>
      <c r="Y455" s="44" t="str">
        <f aca="false">IF(E455="","",IF(AND(Q455="No",S455="No"),"🚩 Budget  ·  🚩 No one on camera",IF(Q455="No","🚩 Budget under AED 5k",IF(S455="No","🚩 No one on camera",""))))</f>
        <v/>
      </c>
      <c r="Z455" s="17"/>
      <c r="AA455" s="17"/>
      <c r="AB455" s="40"/>
      <c r="AC455" s="17"/>
      <c r="AD455" s="45" t="str">
        <f aca="false">IF(OR(E455="",AB455="",OR(AA455="Contract signed + paid",AA455="Closed – No response",AA455="Lost"),N(AC455)&gt;=Settings!$S$3),"",AB455+Settings!$S$2)</f>
        <v/>
      </c>
      <c r="AE455" s="40"/>
      <c r="AF455" s="41"/>
      <c r="AG455" s="17"/>
      <c r="AH455" s="17"/>
      <c r="AI455" s="17"/>
      <c r="AJ455" s="46" t="str">
        <f aca="true">IF(OR(E455="",B455=""),"",INT(TODAY()-B455))</f>
        <v/>
      </c>
      <c r="AK455" s="44" t="str">
        <f aca="true">IF(E455="","",IF(OR(COUNTIFS(Clients!$C$2:$C$501,E455,Clients!$S$2:$S$501,"Paid")&gt;0,AND(I455&lt;&gt;"",COUNTIFS(Clients!$E$2:$E$501,I455,Clients!$S$2:$S$501,"Paid")&gt;0)),"⚠ Refunded before – no free video",IF(OR(AA455="Contract signed + paid",AA455="Closed – No response",AA455="Lost"),"",IF(AA455="","Set a stage",IF(AND(AA455="Proposal sent",COUNTA(Q455:V455)&lt;6),"Score this lead – proposal sent unscored",IF(N(AC455)&gt;=Settings!$S$3,"Close – 4 follow-ups sent",IF(AD455="",IF(AB455="","Make first contact",""),IF(TODAY()&gt;AD455,"OVERDUE follow-up",IF(TODAY()=AD455,"Follow up today","")))))))))</f>
        <v/>
      </c>
    </row>
    <row r="456" customFormat="false" ht="15" hidden="false" customHeight="false" outlineLevel="0" collapsed="false">
      <c r="A456" s="17"/>
      <c r="B456" s="40"/>
      <c r="C456" s="41"/>
      <c r="D456" s="17"/>
      <c r="E456" s="17"/>
      <c r="F456" s="17"/>
      <c r="G456" s="17"/>
      <c r="H456" s="17"/>
      <c r="I456" s="42"/>
      <c r="J456" s="17"/>
      <c r="K456" s="17"/>
      <c r="L456" s="17"/>
      <c r="M456" s="17"/>
      <c r="N456" s="40"/>
      <c r="O456" s="41"/>
      <c r="P456" s="43" t="str">
        <f aca="false">IF(OR(B456="",N456=""),"",ROUND(((N456+N(O456))-(B456+N(C456)))*24,1))</f>
        <v/>
      </c>
      <c r="Q456" s="17"/>
      <c r="R456" s="17"/>
      <c r="S456" s="17"/>
      <c r="T456" s="17"/>
      <c r="U456" s="17"/>
      <c r="V456" s="17"/>
      <c r="W456" s="44" t="str">
        <f aca="false">IF(OR(E456="",COUNTA(Q456:V456)=0),"",SUMIFS(Settings!$AA$2:$AA$21,Settings!$Y$2:$Y$21,"Budget AED 5k+/mo?",Settings!$Z$2:$Z$21,Q456)+SUMIFS(Settings!$AA$2:$AA$21,Settings!$Y$2:$Y$21,"Decision-maker?",Settings!$Z$2:$Z$21,R456)+SUMIFS(Settings!$AA$2:$AA$21,Settings!$Y$2:$Y$21,"Someone on camera?",Settings!$Z$2:$Z$21,S456)+SUMIFS(Settings!$AA$2:$AA$21,Settings!$Y$2:$Y$21,"OK with 3-month term?",Settings!$Z$2:$Z$21,T456)+SUMIFS(Settings!$AA$2:$AA$21,Settings!$Y$2:$Y$21,"Start timeline",Settings!$Z$2:$Z$21,U456)+SUMIFS(Settings!$AA$2:$AA$21,Settings!$Y$2:$Y$21,"Social media gap",Settings!$Z$2:$Z$21,V456)+IF(F456="",0,IF(COUNTIF(Settings!$AC$2:$AC$6,F456)&gt;0,Settings!$AA$20,Settings!$AA$21)))</f>
        <v/>
      </c>
      <c r="X456" s="44" t="str">
        <f aca="false">IF(E456="","",IF(COUNTA(Q456:V456)=0,"Not scored",IF(COUNTA(Q456:V456)&lt;6,"Partly scored ("&amp;COUNTA(Q456:V456)&amp;"/6)",IF(W456&gt;=Settings!$S$8,"Hot",IF(W456&gt;=Settings!$S$9,"Warm","Cold")))))</f>
        <v/>
      </c>
      <c r="Y456" s="44" t="str">
        <f aca="false">IF(E456="","",IF(AND(Q456="No",S456="No"),"🚩 Budget  ·  🚩 No one on camera",IF(Q456="No","🚩 Budget under AED 5k",IF(S456="No","🚩 No one on camera",""))))</f>
        <v/>
      </c>
      <c r="Z456" s="17"/>
      <c r="AA456" s="17"/>
      <c r="AB456" s="40"/>
      <c r="AC456" s="17"/>
      <c r="AD456" s="45" t="str">
        <f aca="false">IF(OR(E456="",AB456="",OR(AA456="Contract signed + paid",AA456="Closed – No response",AA456="Lost"),N(AC456)&gt;=Settings!$S$3),"",AB456+Settings!$S$2)</f>
        <v/>
      </c>
      <c r="AE456" s="40"/>
      <c r="AF456" s="41"/>
      <c r="AG456" s="17"/>
      <c r="AH456" s="17"/>
      <c r="AI456" s="17"/>
      <c r="AJ456" s="46" t="str">
        <f aca="true">IF(OR(E456="",B456=""),"",INT(TODAY()-B456))</f>
        <v/>
      </c>
      <c r="AK456" s="44" t="str">
        <f aca="true">IF(E456="","",IF(OR(COUNTIFS(Clients!$C$2:$C$501,E456,Clients!$S$2:$S$501,"Paid")&gt;0,AND(I456&lt;&gt;"",COUNTIFS(Clients!$E$2:$E$501,I456,Clients!$S$2:$S$501,"Paid")&gt;0)),"⚠ Refunded before – no free video",IF(OR(AA456="Contract signed + paid",AA456="Closed – No response",AA456="Lost"),"",IF(AA456="","Set a stage",IF(AND(AA456="Proposal sent",COUNTA(Q456:V456)&lt;6),"Score this lead – proposal sent unscored",IF(N(AC456)&gt;=Settings!$S$3,"Close – 4 follow-ups sent",IF(AD456="",IF(AB456="","Make first contact",""),IF(TODAY()&gt;AD456,"OVERDUE follow-up",IF(TODAY()=AD456,"Follow up today","")))))))))</f>
        <v/>
      </c>
    </row>
    <row r="457" customFormat="false" ht="15" hidden="false" customHeight="false" outlineLevel="0" collapsed="false">
      <c r="A457" s="17"/>
      <c r="B457" s="40"/>
      <c r="C457" s="41"/>
      <c r="D457" s="17"/>
      <c r="E457" s="17"/>
      <c r="F457" s="17"/>
      <c r="G457" s="17"/>
      <c r="H457" s="17"/>
      <c r="I457" s="42"/>
      <c r="J457" s="17"/>
      <c r="K457" s="17"/>
      <c r="L457" s="17"/>
      <c r="M457" s="17"/>
      <c r="N457" s="40"/>
      <c r="O457" s="41"/>
      <c r="P457" s="43" t="str">
        <f aca="false">IF(OR(B457="",N457=""),"",ROUND(((N457+N(O457))-(B457+N(C457)))*24,1))</f>
        <v/>
      </c>
      <c r="Q457" s="17"/>
      <c r="R457" s="17"/>
      <c r="S457" s="17"/>
      <c r="T457" s="17"/>
      <c r="U457" s="17"/>
      <c r="V457" s="17"/>
      <c r="W457" s="44" t="str">
        <f aca="false">IF(OR(E457="",COUNTA(Q457:V457)=0),"",SUMIFS(Settings!$AA$2:$AA$21,Settings!$Y$2:$Y$21,"Budget AED 5k+/mo?",Settings!$Z$2:$Z$21,Q457)+SUMIFS(Settings!$AA$2:$AA$21,Settings!$Y$2:$Y$21,"Decision-maker?",Settings!$Z$2:$Z$21,R457)+SUMIFS(Settings!$AA$2:$AA$21,Settings!$Y$2:$Y$21,"Someone on camera?",Settings!$Z$2:$Z$21,S457)+SUMIFS(Settings!$AA$2:$AA$21,Settings!$Y$2:$Y$21,"OK with 3-month term?",Settings!$Z$2:$Z$21,T457)+SUMIFS(Settings!$AA$2:$AA$21,Settings!$Y$2:$Y$21,"Start timeline",Settings!$Z$2:$Z$21,U457)+SUMIFS(Settings!$AA$2:$AA$21,Settings!$Y$2:$Y$21,"Social media gap",Settings!$Z$2:$Z$21,V457)+IF(F457="",0,IF(COUNTIF(Settings!$AC$2:$AC$6,F457)&gt;0,Settings!$AA$20,Settings!$AA$21)))</f>
        <v/>
      </c>
      <c r="X457" s="44" t="str">
        <f aca="false">IF(E457="","",IF(COUNTA(Q457:V457)=0,"Not scored",IF(COUNTA(Q457:V457)&lt;6,"Partly scored ("&amp;COUNTA(Q457:V457)&amp;"/6)",IF(W457&gt;=Settings!$S$8,"Hot",IF(W457&gt;=Settings!$S$9,"Warm","Cold")))))</f>
        <v/>
      </c>
      <c r="Y457" s="44" t="str">
        <f aca="false">IF(E457="","",IF(AND(Q457="No",S457="No"),"🚩 Budget  ·  🚩 No one on camera",IF(Q457="No","🚩 Budget under AED 5k",IF(S457="No","🚩 No one on camera",""))))</f>
        <v/>
      </c>
      <c r="Z457" s="17"/>
      <c r="AA457" s="17"/>
      <c r="AB457" s="40"/>
      <c r="AC457" s="17"/>
      <c r="AD457" s="45" t="str">
        <f aca="false">IF(OR(E457="",AB457="",OR(AA457="Contract signed + paid",AA457="Closed – No response",AA457="Lost"),N(AC457)&gt;=Settings!$S$3),"",AB457+Settings!$S$2)</f>
        <v/>
      </c>
      <c r="AE457" s="40"/>
      <c r="AF457" s="41"/>
      <c r="AG457" s="17"/>
      <c r="AH457" s="17"/>
      <c r="AI457" s="17"/>
      <c r="AJ457" s="46" t="str">
        <f aca="true">IF(OR(E457="",B457=""),"",INT(TODAY()-B457))</f>
        <v/>
      </c>
      <c r="AK457" s="44" t="str">
        <f aca="true">IF(E457="","",IF(OR(COUNTIFS(Clients!$C$2:$C$501,E457,Clients!$S$2:$S$501,"Paid")&gt;0,AND(I457&lt;&gt;"",COUNTIFS(Clients!$E$2:$E$501,I457,Clients!$S$2:$S$501,"Paid")&gt;0)),"⚠ Refunded before – no free video",IF(OR(AA457="Contract signed + paid",AA457="Closed – No response",AA457="Lost"),"",IF(AA457="","Set a stage",IF(AND(AA457="Proposal sent",COUNTA(Q457:V457)&lt;6),"Score this lead – proposal sent unscored",IF(N(AC457)&gt;=Settings!$S$3,"Close – 4 follow-ups sent",IF(AD457="",IF(AB457="","Make first contact",""),IF(TODAY()&gt;AD457,"OVERDUE follow-up",IF(TODAY()=AD457,"Follow up today","")))))))))</f>
        <v/>
      </c>
    </row>
    <row r="458" customFormat="false" ht="15" hidden="false" customHeight="false" outlineLevel="0" collapsed="false">
      <c r="A458" s="17"/>
      <c r="B458" s="40"/>
      <c r="C458" s="41"/>
      <c r="D458" s="17"/>
      <c r="E458" s="17"/>
      <c r="F458" s="17"/>
      <c r="G458" s="17"/>
      <c r="H458" s="17"/>
      <c r="I458" s="42"/>
      <c r="J458" s="17"/>
      <c r="K458" s="17"/>
      <c r="L458" s="17"/>
      <c r="M458" s="17"/>
      <c r="N458" s="40"/>
      <c r="O458" s="41"/>
      <c r="P458" s="43" t="str">
        <f aca="false">IF(OR(B458="",N458=""),"",ROUND(((N458+N(O458))-(B458+N(C458)))*24,1))</f>
        <v/>
      </c>
      <c r="Q458" s="17"/>
      <c r="R458" s="17"/>
      <c r="S458" s="17"/>
      <c r="T458" s="17"/>
      <c r="U458" s="17"/>
      <c r="V458" s="17"/>
      <c r="W458" s="44" t="str">
        <f aca="false">IF(OR(E458="",COUNTA(Q458:V458)=0),"",SUMIFS(Settings!$AA$2:$AA$21,Settings!$Y$2:$Y$21,"Budget AED 5k+/mo?",Settings!$Z$2:$Z$21,Q458)+SUMIFS(Settings!$AA$2:$AA$21,Settings!$Y$2:$Y$21,"Decision-maker?",Settings!$Z$2:$Z$21,R458)+SUMIFS(Settings!$AA$2:$AA$21,Settings!$Y$2:$Y$21,"Someone on camera?",Settings!$Z$2:$Z$21,S458)+SUMIFS(Settings!$AA$2:$AA$21,Settings!$Y$2:$Y$21,"OK with 3-month term?",Settings!$Z$2:$Z$21,T458)+SUMIFS(Settings!$AA$2:$AA$21,Settings!$Y$2:$Y$21,"Start timeline",Settings!$Z$2:$Z$21,U458)+SUMIFS(Settings!$AA$2:$AA$21,Settings!$Y$2:$Y$21,"Social media gap",Settings!$Z$2:$Z$21,V458)+IF(F458="",0,IF(COUNTIF(Settings!$AC$2:$AC$6,F458)&gt;0,Settings!$AA$20,Settings!$AA$21)))</f>
        <v/>
      </c>
      <c r="X458" s="44" t="str">
        <f aca="false">IF(E458="","",IF(COUNTA(Q458:V458)=0,"Not scored",IF(COUNTA(Q458:V458)&lt;6,"Partly scored ("&amp;COUNTA(Q458:V458)&amp;"/6)",IF(W458&gt;=Settings!$S$8,"Hot",IF(W458&gt;=Settings!$S$9,"Warm","Cold")))))</f>
        <v/>
      </c>
      <c r="Y458" s="44" t="str">
        <f aca="false">IF(E458="","",IF(AND(Q458="No",S458="No"),"🚩 Budget  ·  🚩 No one on camera",IF(Q458="No","🚩 Budget under AED 5k",IF(S458="No","🚩 No one on camera",""))))</f>
        <v/>
      </c>
      <c r="Z458" s="17"/>
      <c r="AA458" s="17"/>
      <c r="AB458" s="40"/>
      <c r="AC458" s="17"/>
      <c r="AD458" s="45" t="str">
        <f aca="false">IF(OR(E458="",AB458="",OR(AA458="Contract signed + paid",AA458="Closed – No response",AA458="Lost"),N(AC458)&gt;=Settings!$S$3),"",AB458+Settings!$S$2)</f>
        <v/>
      </c>
      <c r="AE458" s="40"/>
      <c r="AF458" s="41"/>
      <c r="AG458" s="17"/>
      <c r="AH458" s="17"/>
      <c r="AI458" s="17"/>
      <c r="AJ458" s="46" t="str">
        <f aca="true">IF(OR(E458="",B458=""),"",INT(TODAY()-B458))</f>
        <v/>
      </c>
      <c r="AK458" s="44" t="str">
        <f aca="true">IF(E458="","",IF(OR(COUNTIFS(Clients!$C$2:$C$501,E458,Clients!$S$2:$S$501,"Paid")&gt;0,AND(I458&lt;&gt;"",COUNTIFS(Clients!$E$2:$E$501,I458,Clients!$S$2:$S$501,"Paid")&gt;0)),"⚠ Refunded before – no free video",IF(OR(AA458="Contract signed + paid",AA458="Closed – No response",AA458="Lost"),"",IF(AA458="","Set a stage",IF(AND(AA458="Proposal sent",COUNTA(Q458:V458)&lt;6),"Score this lead – proposal sent unscored",IF(N(AC458)&gt;=Settings!$S$3,"Close – 4 follow-ups sent",IF(AD458="",IF(AB458="","Make first contact",""),IF(TODAY()&gt;AD458,"OVERDUE follow-up",IF(TODAY()=AD458,"Follow up today","")))))))))</f>
        <v/>
      </c>
    </row>
    <row r="459" customFormat="false" ht="15" hidden="false" customHeight="false" outlineLevel="0" collapsed="false">
      <c r="A459" s="17"/>
      <c r="B459" s="40"/>
      <c r="C459" s="41"/>
      <c r="D459" s="17"/>
      <c r="E459" s="17"/>
      <c r="F459" s="17"/>
      <c r="G459" s="17"/>
      <c r="H459" s="17"/>
      <c r="I459" s="42"/>
      <c r="J459" s="17"/>
      <c r="K459" s="17"/>
      <c r="L459" s="17"/>
      <c r="M459" s="17"/>
      <c r="N459" s="40"/>
      <c r="O459" s="41"/>
      <c r="P459" s="43" t="str">
        <f aca="false">IF(OR(B459="",N459=""),"",ROUND(((N459+N(O459))-(B459+N(C459)))*24,1))</f>
        <v/>
      </c>
      <c r="Q459" s="17"/>
      <c r="R459" s="17"/>
      <c r="S459" s="17"/>
      <c r="T459" s="17"/>
      <c r="U459" s="17"/>
      <c r="V459" s="17"/>
      <c r="W459" s="44" t="str">
        <f aca="false">IF(OR(E459="",COUNTA(Q459:V459)=0),"",SUMIFS(Settings!$AA$2:$AA$21,Settings!$Y$2:$Y$21,"Budget AED 5k+/mo?",Settings!$Z$2:$Z$21,Q459)+SUMIFS(Settings!$AA$2:$AA$21,Settings!$Y$2:$Y$21,"Decision-maker?",Settings!$Z$2:$Z$21,R459)+SUMIFS(Settings!$AA$2:$AA$21,Settings!$Y$2:$Y$21,"Someone on camera?",Settings!$Z$2:$Z$21,S459)+SUMIFS(Settings!$AA$2:$AA$21,Settings!$Y$2:$Y$21,"OK with 3-month term?",Settings!$Z$2:$Z$21,T459)+SUMIFS(Settings!$AA$2:$AA$21,Settings!$Y$2:$Y$21,"Start timeline",Settings!$Z$2:$Z$21,U459)+SUMIFS(Settings!$AA$2:$AA$21,Settings!$Y$2:$Y$21,"Social media gap",Settings!$Z$2:$Z$21,V459)+IF(F459="",0,IF(COUNTIF(Settings!$AC$2:$AC$6,F459)&gt;0,Settings!$AA$20,Settings!$AA$21)))</f>
        <v/>
      </c>
      <c r="X459" s="44" t="str">
        <f aca="false">IF(E459="","",IF(COUNTA(Q459:V459)=0,"Not scored",IF(COUNTA(Q459:V459)&lt;6,"Partly scored ("&amp;COUNTA(Q459:V459)&amp;"/6)",IF(W459&gt;=Settings!$S$8,"Hot",IF(W459&gt;=Settings!$S$9,"Warm","Cold")))))</f>
        <v/>
      </c>
      <c r="Y459" s="44" t="str">
        <f aca="false">IF(E459="","",IF(AND(Q459="No",S459="No"),"🚩 Budget  ·  🚩 No one on camera",IF(Q459="No","🚩 Budget under AED 5k",IF(S459="No","🚩 No one on camera",""))))</f>
        <v/>
      </c>
      <c r="Z459" s="17"/>
      <c r="AA459" s="17"/>
      <c r="AB459" s="40"/>
      <c r="AC459" s="17"/>
      <c r="AD459" s="45" t="str">
        <f aca="false">IF(OR(E459="",AB459="",OR(AA459="Contract signed + paid",AA459="Closed – No response",AA459="Lost"),N(AC459)&gt;=Settings!$S$3),"",AB459+Settings!$S$2)</f>
        <v/>
      </c>
      <c r="AE459" s="40"/>
      <c r="AF459" s="41"/>
      <c r="AG459" s="17"/>
      <c r="AH459" s="17"/>
      <c r="AI459" s="17"/>
      <c r="AJ459" s="46" t="str">
        <f aca="true">IF(OR(E459="",B459=""),"",INT(TODAY()-B459))</f>
        <v/>
      </c>
      <c r="AK459" s="44" t="str">
        <f aca="true">IF(E459="","",IF(OR(COUNTIFS(Clients!$C$2:$C$501,E459,Clients!$S$2:$S$501,"Paid")&gt;0,AND(I459&lt;&gt;"",COUNTIFS(Clients!$E$2:$E$501,I459,Clients!$S$2:$S$501,"Paid")&gt;0)),"⚠ Refunded before – no free video",IF(OR(AA459="Contract signed + paid",AA459="Closed – No response",AA459="Lost"),"",IF(AA459="","Set a stage",IF(AND(AA459="Proposal sent",COUNTA(Q459:V459)&lt;6),"Score this lead – proposal sent unscored",IF(N(AC459)&gt;=Settings!$S$3,"Close – 4 follow-ups sent",IF(AD459="",IF(AB459="","Make first contact",""),IF(TODAY()&gt;AD459,"OVERDUE follow-up",IF(TODAY()=AD459,"Follow up today","")))))))))</f>
        <v/>
      </c>
    </row>
    <row r="460" customFormat="false" ht="15" hidden="false" customHeight="false" outlineLevel="0" collapsed="false">
      <c r="A460" s="17"/>
      <c r="B460" s="40"/>
      <c r="C460" s="41"/>
      <c r="D460" s="17"/>
      <c r="E460" s="17"/>
      <c r="F460" s="17"/>
      <c r="G460" s="17"/>
      <c r="H460" s="17"/>
      <c r="I460" s="42"/>
      <c r="J460" s="17"/>
      <c r="K460" s="17"/>
      <c r="L460" s="17"/>
      <c r="M460" s="17"/>
      <c r="N460" s="40"/>
      <c r="O460" s="41"/>
      <c r="P460" s="43" t="str">
        <f aca="false">IF(OR(B460="",N460=""),"",ROUND(((N460+N(O460))-(B460+N(C460)))*24,1))</f>
        <v/>
      </c>
      <c r="Q460" s="17"/>
      <c r="R460" s="17"/>
      <c r="S460" s="17"/>
      <c r="T460" s="17"/>
      <c r="U460" s="17"/>
      <c r="V460" s="17"/>
      <c r="W460" s="44" t="str">
        <f aca="false">IF(OR(E460="",COUNTA(Q460:V460)=0),"",SUMIFS(Settings!$AA$2:$AA$21,Settings!$Y$2:$Y$21,"Budget AED 5k+/mo?",Settings!$Z$2:$Z$21,Q460)+SUMIFS(Settings!$AA$2:$AA$21,Settings!$Y$2:$Y$21,"Decision-maker?",Settings!$Z$2:$Z$21,R460)+SUMIFS(Settings!$AA$2:$AA$21,Settings!$Y$2:$Y$21,"Someone on camera?",Settings!$Z$2:$Z$21,S460)+SUMIFS(Settings!$AA$2:$AA$21,Settings!$Y$2:$Y$21,"OK with 3-month term?",Settings!$Z$2:$Z$21,T460)+SUMIFS(Settings!$AA$2:$AA$21,Settings!$Y$2:$Y$21,"Start timeline",Settings!$Z$2:$Z$21,U460)+SUMIFS(Settings!$AA$2:$AA$21,Settings!$Y$2:$Y$21,"Social media gap",Settings!$Z$2:$Z$21,V460)+IF(F460="",0,IF(COUNTIF(Settings!$AC$2:$AC$6,F460)&gt;0,Settings!$AA$20,Settings!$AA$21)))</f>
        <v/>
      </c>
      <c r="X460" s="44" t="str">
        <f aca="false">IF(E460="","",IF(COUNTA(Q460:V460)=0,"Not scored",IF(COUNTA(Q460:V460)&lt;6,"Partly scored ("&amp;COUNTA(Q460:V460)&amp;"/6)",IF(W460&gt;=Settings!$S$8,"Hot",IF(W460&gt;=Settings!$S$9,"Warm","Cold")))))</f>
        <v/>
      </c>
      <c r="Y460" s="44" t="str">
        <f aca="false">IF(E460="","",IF(AND(Q460="No",S460="No"),"🚩 Budget  ·  🚩 No one on camera",IF(Q460="No","🚩 Budget under AED 5k",IF(S460="No","🚩 No one on camera",""))))</f>
        <v/>
      </c>
      <c r="Z460" s="17"/>
      <c r="AA460" s="17"/>
      <c r="AB460" s="40"/>
      <c r="AC460" s="17"/>
      <c r="AD460" s="45" t="str">
        <f aca="false">IF(OR(E460="",AB460="",OR(AA460="Contract signed + paid",AA460="Closed – No response",AA460="Lost"),N(AC460)&gt;=Settings!$S$3),"",AB460+Settings!$S$2)</f>
        <v/>
      </c>
      <c r="AE460" s="40"/>
      <c r="AF460" s="41"/>
      <c r="AG460" s="17"/>
      <c r="AH460" s="17"/>
      <c r="AI460" s="17"/>
      <c r="AJ460" s="46" t="str">
        <f aca="true">IF(OR(E460="",B460=""),"",INT(TODAY()-B460))</f>
        <v/>
      </c>
      <c r="AK460" s="44" t="str">
        <f aca="true">IF(E460="","",IF(OR(COUNTIFS(Clients!$C$2:$C$501,E460,Clients!$S$2:$S$501,"Paid")&gt;0,AND(I460&lt;&gt;"",COUNTIFS(Clients!$E$2:$E$501,I460,Clients!$S$2:$S$501,"Paid")&gt;0)),"⚠ Refunded before – no free video",IF(OR(AA460="Contract signed + paid",AA460="Closed – No response",AA460="Lost"),"",IF(AA460="","Set a stage",IF(AND(AA460="Proposal sent",COUNTA(Q460:V460)&lt;6),"Score this lead – proposal sent unscored",IF(N(AC460)&gt;=Settings!$S$3,"Close – 4 follow-ups sent",IF(AD460="",IF(AB460="","Make first contact",""),IF(TODAY()&gt;AD460,"OVERDUE follow-up",IF(TODAY()=AD460,"Follow up today","")))))))))</f>
        <v/>
      </c>
    </row>
    <row r="461" customFormat="false" ht="15" hidden="false" customHeight="false" outlineLevel="0" collapsed="false">
      <c r="A461" s="17"/>
      <c r="B461" s="40"/>
      <c r="C461" s="41"/>
      <c r="D461" s="17"/>
      <c r="E461" s="17"/>
      <c r="F461" s="17"/>
      <c r="G461" s="17"/>
      <c r="H461" s="17"/>
      <c r="I461" s="42"/>
      <c r="J461" s="17"/>
      <c r="K461" s="17"/>
      <c r="L461" s="17"/>
      <c r="M461" s="17"/>
      <c r="N461" s="40"/>
      <c r="O461" s="41"/>
      <c r="P461" s="43" t="str">
        <f aca="false">IF(OR(B461="",N461=""),"",ROUND(((N461+N(O461))-(B461+N(C461)))*24,1))</f>
        <v/>
      </c>
      <c r="Q461" s="17"/>
      <c r="R461" s="17"/>
      <c r="S461" s="17"/>
      <c r="T461" s="17"/>
      <c r="U461" s="17"/>
      <c r="V461" s="17"/>
      <c r="W461" s="44" t="str">
        <f aca="false">IF(OR(E461="",COUNTA(Q461:V461)=0),"",SUMIFS(Settings!$AA$2:$AA$21,Settings!$Y$2:$Y$21,"Budget AED 5k+/mo?",Settings!$Z$2:$Z$21,Q461)+SUMIFS(Settings!$AA$2:$AA$21,Settings!$Y$2:$Y$21,"Decision-maker?",Settings!$Z$2:$Z$21,R461)+SUMIFS(Settings!$AA$2:$AA$21,Settings!$Y$2:$Y$21,"Someone on camera?",Settings!$Z$2:$Z$21,S461)+SUMIFS(Settings!$AA$2:$AA$21,Settings!$Y$2:$Y$21,"OK with 3-month term?",Settings!$Z$2:$Z$21,T461)+SUMIFS(Settings!$AA$2:$AA$21,Settings!$Y$2:$Y$21,"Start timeline",Settings!$Z$2:$Z$21,U461)+SUMIFS(Settings!$AA$2:$AA$21,Settings!$Y$2:$Y$21,"Social media gap",Settings!$Z$2:$Z$21,V461)+IF(F461="",0,IF(COUNTIF(Settings!$AC$2:$AC$6,F461)&gt;0,Settings!$AA$20,Settings!$AA$21)))</f>
        <v/>
      </c>
      <c r="X461" s="44" t="str">
        <f aca="false">IF(E461="","",IF(COUNTA(Q461:V461)=0,"Not scored",IF(COUNTA(Q461:V461)&lt;6,"Partly scored ("&amp;COUNTA(Q461:V461)&amp;"/6)",IF(W461&gt;=Settings!$S$8,"Hot",IF(W461&gt;=Settings!$S$9,"Warm","Cold")))))</f>
        <v/>
      </c>
      <c r="Y461" s="44" t="str">
        <f aca="false">IF(E461="","",IF(AND(Q461="No",S461="No"),"🚩 Budget  ·  🚩 No one on camera",IF(Q461="No","🚩 Budget under AED 5k",IF(S461="No","🚩 No one on camera",""))))</f>
        <v/>
      </c>
      <c r="Z461" s="17"/>
      <c r="AA461" s="17"/>
      <c r="AB461" s="40"/>
      <c r="AC461" s="17"/>
      <c r="AD461" s="45" t="str">
        <f aca="false">IF(OR(E461="",AB461="",OR(AA461="Contract signed + paid",AA461="Closed – No response",AA461="Lost"),N(AC461)&gt;=Settings!$S$3),"",AB461+Settings!$S$2)</f>
        <v/>
      </c>
      <c r="AE461" s="40"/>
      <c r="AF461" s="41"/>
      <c r="AG461" s="17"/>
      <c r="AH461" s="17"/>
      <c r="AI461" s="17"/>
      <c r="AJ461" s="46" t="str">
        <f aca="true">IF(OR(E461="",B461=""),"",INT(TODAY()-B461))</f>
        <v/>
      </c>
      <c r="AK461" s="44" t="str">
        <f aca="true">IF(E461="","",IF(OR(COUNTIFS(Clients!$C$2:$C$501,E461,Clients!$S$2:$S$501,"Paid")&gt;0,AND(I461&lt;&gt;"",COUNTIFS(Clients!$E$2:$E$501,I461,Clients!$S$2:$S$501,"Paid")&gt;0)),"⚠ Refunded before – no free video",IF(OR(AA461="Contract signed + paid",AA461="Closed – No response",AA461="Lost"),"",IF(AA461="","Set a stage",IF(AND(AA461="Proposal sent",COUNTA(Q461:V461)&lt;6),"Score this lead – proposal sent unscored",IF(N(AC461)&gt;=Settings!$S$3,"Close – 4 follow-ups sent",IF(AD461="",IF(AB461="","Make first contact",""),IF(TODAY()&gt;AD461,"OVERDUE follow-up",IF(TODAY()=AD461,"Follow up today","")))))))))</f>
        <v/>
      </c>
    </row>
    <row r="462" customFormat="false" ht="15" hidden="false" customHeight="false" outlineLevel="0" collapsed="false">
      <c r="A462" s="17"/>
      <c r="B462" s="40"/>
      <c r="C462" s="41"/>
      <c r="D462" s="17"/>
      <c r="E462" s="17"/>
      <c r="F462" s="17"/>
      <c r="G462" s="17"/>
      <c r="H462" s="17"/>
      <c r="I462" s="42"/>
      <c r="J462" s="17"/>
      <c r="K462" s="17"/>
      <c r="L462" s="17"/>
      <c r="M462" s="17"/>
      <c r="N462" s="40"/>
      <c r="O462" s="41"/>
      <c r="P462" s="43" t="str">
        <f aca="false">IF(OR(B462="",N462=""),"",ROUND(((N462+N(O462))-(B462+N(C462)))*24,1))</f>
        <v/>
      </c>
      <c r="Q462" s="17"/>
      <c r="R462" s="17"/>
      <c r="S462" s="17"/>
      <c r="T462" s="17"/>
      <c r="U462" s="17"/>
      <c r="V462" s="17"/>
      <c r="W462" s="44" t="str">
        <f aca="false">IF(OR(E462="",COUNTA(Q462:V462)=0),"",SUMIFS(Settings!$AA$2:$AA$21,Settings!$Y$2:$Y$21,"Budget AED 5k+/mo?",Settings!$Z$2:$Z$21,Q462)+SUMIFS(Settings!$AA$2:$AA$21,Settings!$Y$2:$Y$21,"Decision-maker?",Settings!$Z$2:$Z$21,R462)+SUMIFS(Settings!$AA$2:$AA$21,Settings!$Y$2:$Y$21,"Someone on camera?",Settings!$Z$2:$Z$21,S462)+SUMIFS(Settings!$AA$2:$AA$21,Settings!$Y$2:$Y$21,"OK with 3-month term?",Settings!$Z$2:$Z$21,T462)+SUMIFS(Settings!$AA$2:$AA$21,Settings!$Y$2:$Y$21,"Start timeline",Settings!$Z$2:$Z$21,U462)+SUMIFS(Settings!$AA$2:$AA$21,Settings!$Y$2:$Y$21,"Social media gap",Settings!$Z$2:$Z$21,V462)+IF(F462="",0,IF(COUNTIF(Settings!$AC$2:$AC$6,F462)&gt;0,Settings!$AA$20,Settings!$AA$21)))</f>
        <v/>
      </c>
      <c r="X462" s="44" t="str">
        <f aca="false">IF(E462="","",IF(COUNTA(Q462:V462)=0,"Not scored",IF(COUNTA(Q462:V462)&lt;6,"Partly scored ("&amp;COUNTA(Q462:V462)&amp;"/6)",IF(W462&gt;=Settings!$S$8,"Hot",IF(W462&gt;=Settings!$S$9,"Warm","Cold")))))</f>
        <v/>
      </c>
      <c r="Y462" s="44" t="str">
        <f aca="false">IF(E462="","",IF(AND(Q462="No",S462="No"),"🚩 Budget  ·  🚩 No one on camera",IF(Q462="No","🚩 Budget under AED 5k",IF(S462="No","🚩 No one on camera",""))))</f>
        <v/>
      </c>
      <c r="Z462" s="17"/>
      <c r="AA462" s="17"/>
      <c r="AB462" s="40"/>
      <c r="AC462" s="17"/>
      <c r="AD462" s="45" t="str">
        <f aca="false">IF(OR(E462="",AB462="",OR(AA462="Contract signed + paid",AA462="Closed – No response",AA462="Lost"),N(AC462)&gt;=Settings!$S$3),"",AB462+Settings!$S$2)</f>
        <v/>
      </c>
      <c r="AE462" s="40"/>
      <c r="AF462" s="41"/>
      <c r="AG462" s="17"/>
      <c r="AH462" s="17"/>
      <c r="AI462" s="17"/>
      <c r="AJ462" s="46" t="str">
        <f aca="true">IF(OR(E462="",B462=""),"",INT(TODAY()-B462))</f>
        <v/>
      </c>
      <c r="AK462" s="44" t="str">
        <f aca="true">IF(E462="","",IF(OR(COUNTIFS(Clients!$C$2:$C$501,E462,Clients!$S$2:$S$501,"Paid")&gt;0,AND(I462&lt;&gt;"",COUNTIFS(Clients!$E$2:$E$501,I462,Clients!$S$2:$S$501,"Paid")&gt;0)),"⚠ Refunded before – no free video",IF(OR(AA462="Contract signed + paid",AA462="Closed – No response",AA462="Lost"),"",IF(AA462="","Set a stage",IF(AND(AA462="Proposal sent",COUNTA(Q462:V462)&lt;6),"Score this lead – proposal sent unscored",IF(N(AC462)&gt;=Settings!$S$3,"Close – 4 follow-ups sent",IF(AD462="",IF(AB462="","Make first contact",""),IF(TODAY()&gt;AD462,"OVERDUE follow-up",IF(TODAY()=AD462,"Follow up today","")))))))))</f>
        <v/>
      </c>
    </row>
    <row r="463" customFormat="false" ht="15" hidden="false" customHeight="false" outlineLevel="0" collapsed="false">
      <c r="A463" s="17"/>
      <c r="B463" s="40"/>
      <c r="C463" s="41"/>
      <c r="D463" s="17"/>
      <c r="E463" s="17"/>
      <c r="F463" s="17"/>
      <c r="G463" s="17"/>
      <c r="H463" s="17"/>
      <c r="I463" s="42"/>
      <c r="J463" s="17"/>
      <c r="K463" s="17"/>
      <c r="L463" s="17"/>
      <c r="M463" s="17"/>
      <c r="N463" s="40"/>
      <c r="O463" s="41"/>
      <c r="P463" s="43" t="str">
        <f aca="false">IF(OR(B463="",N463=""),"",ROUND(((N463+N(O463))-(B463+N(C463)))*24,1))</f>
        <v/>
      </c>
      <c r="Q463" s="17"/>
      <c r="R463" s="17"/>
      <c r="S463" s="17"/>
      <c r="T463" s="17"/>
      <c r="U463" s="17"/>
      <c r="V463" s="17"/>
      <c r="W463" s="44" t="str">
        <f aca="false">IF(OR(E463="",COUNTA(Q463:V463)=0),"",SUMIFS(Settings!$AA$2:$AA$21,Settings!$Y$2:$Y$21,"Budget AED 5k+/mo?",Settings!$Z$2:$Z$21,Q463)+SUMIFS(Settings!$AA$2:$AA$21,Settings!$Y$2:$Y$21,"Decision-maker?",Settings!$Z$2:$Z$21,R463)+SUMIFS(Settings!$AA$2:$AA$21,Settings!$Y$2:$Y$21,"Someone on camera?",Settings!$Z$2:$Z$21,S463)+SUMIFS(Settings!$AA$2:$AA$21,Settings!$Y$2:$Y$21,"OK with 3-month term?",Settings!$Z$2:$Z$21,T463)+SUMIFS(Settings!$AA$2:$AA$21,Settings!$Y$2:$Y$21,"Start timeline",Settings!$Z$2:$Z$21,U463)+SUMIFS(Settings!$AA$2:$AA$21,Settings!$Y$2:$Y$21,"Social media gap",Settings!$Z$2:$Z$21,V463)+IF(F463="",0,IF(COUNTIF(Settings!$AC$2:$AC$6,F463)&gt;0,Settings!$AA$20,Settings!$AA$21)))</f>
        <v/>
      </c>
      <c r="X463" s="44" t="str">
        <f aca="false">IF(E463="","",IF(COUNTA(Q463:V463)=0,"Not scored",IF(COUNTA(Q463:V463)&lt;6,"Partly scored ("&amp;COUNTA(Q463:V463)&amp;"/6)",IF(W463&gt;=Settings!$S$8,"Hot",IF(W463&gt;=Settings!$S$9,"Warm","Cold")))))</f>
        <v/>
      </c>
      <c r="Y463" s="44" t="str">
        <f aca="false">IF(E463="","",IF(AND(Q463="No",S463="No"),"🚩 Budget  ·  🚩 No one on camera",IF(Q463="No","🚩 Budget under AED 5k",IF(S463="No","🚩 No one on camera",""))))</f>
        <v/>
      </c>
      <c r="Z463" s="17"/>
      <c r="AA463" s="17"/>
      <c r="AB463" s="40"/>
      <c r="AC463" s="17"/>
      <c r="AD463" s="45" t="str">
        <f aca="false">IF(OR(E463="",AB463="",OR(AA463="Contract signed + paid",AA463="Closed – No response",AA463="Lost"),N(AC463)&gt;=Settings!$S$3),"",AB463+Settings!$S$2)</f>
        <v/>
      </c>
      <c r="AE463" s="40"/>
      <c r="AF463" s="41"/>
      <c r="AG463" s="17"/>
      <c r="AH463" s="17"/>
      <c r="AI463" s="17"/>
      <c r="AJ463" s="46" t="str">
        <f aca="true">IF(OR(E463="",B463=""),"",INT(TODAY()-B463))</f>
        <v/>
      </c>
      <c r="AK463" s="44" t="str">
        <f aca="true">IF(E463="","",IF(OR(COUNTIFS(Clients!$C$2:$C$501,E463,Clients!$S$2:$S$501,"Paid")&gt;0,AND(I463&lt;&gt;"",COUNTIFS(Clients!$E$2:$E$501,I463,Clients!$S$2:$S$501,"Paid")&gt;0)),"⚠ Refunded before – no free video",IF(OR(AA463="Contract signed + paid",AA463="Closed – No response",AA463="Lost"),"",IF(AA463="","Set a stage",IF(AND(AA463="Proposal sent",COUNTA(Q463:V463)&lt;6),"Score this lead – proposal sent unscored",IF(N(AC463)&gt;=Settings!$S$3,"Close – 4 follow-ups sent",IF(AD463="",IF(AB463="","Make first contact",""),IF(TODAY()&gt;AD463,"OVERDUE follow-up",IF(TODAY()=AD463,"Follow up today","")))))))))</f>
        <v/>
      </c>
    </row>
    <row r="464" customFormat="false" ht="15" hidden="false" customHeight="false" outlineLevel="0" collapsed="false">
      <c r="A464" s="17"/>
      <c r="B464" s="40"/>
      <c r="C464" s="41"/>
      <c r="D464" s="17"/>
      <c r="E464" s="17"/>
      <c r="F464" s="17"/>
      <c r="G464" s="17"/>
      <c r="H464" s="17"/>
      <c r="I464" s="42"/>
      <c r="J464" s="17"/>
      <c r="K464" s="17"/>
      <c r="L464" s="17"/>
      <c r="M464" s="17"/>
      <c r="N464" s="40"/>
      <c r="O464" s="41"/>
      <c r="P464" s="43" t="str">
        <f aca="false">IF(OR(B464="",N464=""),"",ROUND(((N464+N(O464))-(B464+N(C464)))*24,1))</f>
        <v/>
      </c>
      <c r="Q464" s="17"/>
      <c r="R464" s="17"/>
      <c r="S464" s="17"/>
      <c r="T464" s="17"/>
      <c r="U464" s="17"/>
      <c r="V464" s="17"/>
      <c r="W464" s="44" t="str">
        <f aca="false">IF(OR(E464="",COUNTA(Q464:V464)=0),"",SUMIFS(Settings!$AA$2:$AA$21,Settings!$Y$2:$Y$21,"Budget AED 5k+/mo?",Settings!$Z$2:$Z$21,Q464)+SUMIFS(Settings!$AA$2:$AA$21,Settings!$Y$2:$Y$21,"Decision-maker?",Settings!$Z$2:$Z$21,R464)+SUMIFS(Settings!$AA$2:$AA$21,Settings!$Y$2:$Y$21,"Someone on camera?",Settings!$Z$2:$Z$21,S464)+SUMIFS(Settings!$AA$2:$AA$21,Settings!$Y$2:$Y$21,"OK with 3-month term?",Settings!$Z$2:$Z$21,T464)+SUMIFS(Settings!$AA$2:$AA$21,Settings!$Y$2:$Y$21,"Start timeline",Settings!$Z$2:$Z$21,U464)+SUMIFS(Settings!$AA$2:$AA$21,Settings!$Y$2:$Y$21,"Social media gap",Settings!$Z$2:$Z$21,V464)+IF(F464="",0,IF(COUNTIF(Settings!$AC$2:$AC$6,F464)&gt;0,Settings!$AA$20,Settings!$AA$21)))</f>
        <v/>
      </c>
      <c r="X464" s="44" t="str">
        <f aca="false">IF(E464="","",IF(COUNTA(Q464:V464)=0,"Not scored",IF(COUNTA(Q464:V464)&lt;6,"Partly scored ("&amp;COUNTA(Q464:V464)&amp;"/6)",IF(W464&gt;=Settings!$S$8,"Hot",IF(W464&gt;=Settings!$S$9,"Warm","Cold")))))</f>
        <v/>
      </c>
      <c r="Y464" s="44" t="str">
        <f aca="false">IF(E464="","",IF(AND(Q464="No",S464="No"),"🚩 Budget  ·  🚩 No one on camera",IF(Q464="No","🚩 Budget under AED 5k",IF(S464="No","🚩 No one on camera",""))))</f>
        <v/>
      </c>
      <c r="Z464" s="17"/>
      <c r="AA464" s="17"/>
      <c r="AB464" s="40"/>
      <c r="AC464" s="17"/>
      <c r="AD464" s="45" t="str">
        <f aca="false">IF(OR(E464="",AB464="",OR(AA464="Contract signed + paid",AA464="Closed – No response",AA464="Lost"),N(AC464)&gt;=Settings!$S$3),"",AB464+Settings!$S$2)</f>
        <v/>
      </c>
      <c r="AE464" s="40"/>
      <c r="AF464" s="41"/>
      <c r="AG464" s="17"/>
      <c r="AH464" s="17"/>
      <c r="AI464" s="17"/>
      <c r="AJ464" s="46" t="str">
        <f aca="true">IF(OR(E464="",B464=""),"",INT(TODAY()-B464))</f>
        <v/>
      </c>
      <c r="AK464" s="44" t="str">
        <f aca="true">IF(E464="","",IF(OR(COUNTIFS(Clients!$C$2:$C$501,E464,Clients!$S$2:$S$501,"Paid")&gt;0,AND(I464&lt;&gt;"",COUNTIFS(Clients!$E$2:$E$501,I464,Clients!$S$2:$S$501,"Paid")&gt;0)),"⚠ Refunded before – no free video",IF(OR(AA464="Contract signed + paid",AA464="Closed – No response",AA464="Lost"),"",IF(AA464="","Set a stage",IF(AND(AA464="Proposal sent",COUNTA(Q464:V464)&lt;6),"Score this lead – proposal sent unscored",IF(N(AC464)&gt;=Settings!$S$3,"Close – 4 follow-ups sent",IF(AD464="",IF(AB464="","Make first contact",""),IF(TODAY()&gt;AD464,"OVERDUE follow-up",IF(TODAY()=AD464,"Follow up today","")))))))))</f>
        <v/>
      </c>
    </row>
    <row r="465" customFormat="false" ht="15" hidden="false" customHeight="false" outlineLevel="0" collapsed="false">
      <c r="A465" s="17"/>
      <c r="B465" s="40"/>
      <c r="C465" s="41"/>
      <c r="D465" s="17"/>
      <c r="E465" s="17"/>
      <c r="F465" s="17"/>
      <c r="G465" s="17"/>
      <c r="H465" s="17"/>
      <c r="I465" s="42"/>
      <c r="J465" s="17"/>
      <c r="K465" s="17"/>
      <c r="L465" s="17"/>
      <c r="M465" s="17"/>
      <c r="N465" s="40"/>
      <c r="O465" s="41"/>
      <c r="P465" s="43" t="str">
        <f aca="false">IF(OR(B465="",N465=""),"",ROUND(((N465+N(O465))-(B465+N(C465)))*24,1))</f>
        <v/>
      </c>
      <c r="Q465" s="17"/>
      <c r="R465" s="17"/>
      <c r="S465" s="17"/>
      <c r="T465" s="17"/>
      <c r="U465" s="17"/>
      <c r="V465" s="17"/>
      <c r="W465" s="44" t="str">
        <f aca="false">IF(OR(E465="",COUNTA(Q465:V465)=0),"",SUMIFS(Settings!$AA$2:$AA$21,Settings!$Y$2:$Y$21,"Budget AED 5k+/mo?",Settings!$Z$2:$Z$21,Q465)+SUMIFS(Settings!$AA$2:$AA$21,Settings!$Y$2:$Y$21,"Decision-maker?",Settings!$Z$2:$Z$21,R465)+SUMIFS(Settings!$AA$2:$AA$21,Settings!$Y$2:$Y$21,"Someone on camera?",Settings!$Z$2:$Z$21,S465)+SUMIFS(Settings!$AA$2:$AA$21,Settings!$Y$2:$Y$21,"OK with 3-month term?",Settings!$Z$2:$Z$21,T465)+SUMIFS(Settings!$AA$2:$AA$21,Settings!$Y$2:$Y$21,"Start timeline",Settings!$Z$2:$Z$21,U465)+SUMIFS(Settings!$AA$2:$AA$21,Settings!$Y$2:$Y$21,"Social media gap",Settings!$Z$2:$Z$21,V465)+IF(F465="",0,IF(COUNTIF(Settings!$AC$2:$AC$6,F465)&gt;0,Settings!$AA$20,Settings!$AA$21)))</f>
        <v/>
      </c>
      <c r="X465" s="44" t="str">
        <f aca="false">IF(E465="","",IF(COUNTA(Q465:V465)=0,"Not scored",IF(COUNTA(Q465:V465)&lt;6,"Partly scored ("&amp;COUNTA(Q465:V465)&amp;"/6)",IF(W465&gt;=Settings!$S$8,"Hot",IF(W465&gt;=Settings!$S$9,"Warm","Cold")))))</f>
        <v/>
      </c>
      <c r="Y465" s="44" t="str">
        <f aca="false">IF(E465="","",IF(AND(Q465="No",S465="No"),"🚩 Budget  ·  🚩 No one on camera",IF(Q465="No","🚩 Budget under AED 5k",IF(S465="No","🚩 No one on camera",""))))</f>
        <v/>
      </c>
      <c r="Z465" s="17"/>
      <c r="AA465" s="17"/>
      <c r="AB465" s="40"/>
      <c r="AC465" s="17"/>
      <c r="AD465" s="45" t="str">
        <f aca="false">IF(OR(E465="",AB465="",OR(AA465="Contract signed + paid",AA465="Closed – No response",AA465="Lost"),N(AC465)&gt;=Settings!$S$3),"",AB465+Settings!$S$2)</f>
        <v/>
      </c>
      <c r="AE465" s="40"/>
      <c r="AF465" s="41"/>
      <c r="AG465" s="17"/>
      <c r="AH465" s="17"/>
      <c r="AI465" s="17"/>
      <c r="AJ465" s="46" t="str">
        <f aca="true">IF(OR(E465="",B465=""),"",INT(TODAY()-B465))</f>
        <v/>
      </c>
      <c r="AK465" s="44" t="str">
        <f aca="true">IF(E465="","",IF(OR(COUNTIFS(Clients!$C$2:$C$501,E465,Clients!$S$2:$S$501,"Paid")&gt;0,AND(I465&lt;&gt;"",COUNTIFS(Clients!$E$2:$E$501,I465,Clients!$S$2:$S$501,"Paid")&gt;0)),"⚠ Refunded before – no free video",IF(OR(AA465="Contract signed + paid",AA465="Closed – No response",AA465="Lost"),"",IF(AA465="","Set a stage",IF(AND(AA465="Proposal sent",COUNTA(Q465:V465)&lt;6),"Score this lead – proposal sent unscored",IF(N(AC465)&gt;=Settings!$S$3,"Close – 4 follow-ups sent",IF(AD465="",IF(AB465="","Make first contact",""),IF(TODAY()&gt;AD465,"OVERDUE follow-up",IF(TODAY()=AD465,"Follow up today","")))))))))</f>
        <v/>
      </c>
    </row>
    <row r="466" customFormat="false" ht="15" hidden="false" customHeight="false" outlineLevel="0" collapsed="false">
      <c r="A466" s="17"/>
      <c r="B466" s="40"/>
      <c r="C466" s="41"/>
      <c r="D466" s="17"/>
      <c r="E466" s="17"/>
      <c r="F466" s="17"/>
      <c r="G466" s="17"/>
      <c r="H466" s="17"/>
      <c r="I466" s="42"/>
      <c r="J466" s="17"/>
      <c r="K466" s="17"/>
      <c r="L466" s="17"/>
      <c r="M466" s="17"/>
      <c r="N466" s="40"/>
      <c r="O466" s="41"/>
      <c r="P466" s="43" t="str">
        <f aca="false">IF(OR(B466="",N466=""),"",ROUND(((N466+N(O466))-(B466+N(C466)))*24,1))</f>
        <v/>
      </c>
      <c r="Q466" s="17"/>
      <c r="R466" s="17"/>
      <c r="S466" s="17"/>
      <c r="T466" s="17"/>
      <c r="U466" s="17"/>
      <c r="V466" s="17"/>
      <c r="W466" s="44" t="str">
        <f aca="false">IF(OR(E466="",COUNTA(Q466:V466)=0),"",SUMIFS(Settings!$AA$2:$AA$21,Settings!$Y$2:$Y$21,"Budget AED 5k+/mo?",Settings!$Z$2:$Z$21,Q466)+SUMIFS(Settings!$AA$2:$AA$21,Settings!$Y$2:$Y$21,"Decision-maker?",Settings!$Z$2:$Z$21,R466)+SUMIFS(Settings!$AA$2:$AA$21,Settings!$Y$2:$Y$21,"Someone on camera?",Settings!$Z$2:$Z$21,S466)+SUMIFS(Settings!$AA$2:$AA$21,Settings!$Y$2:$Y$21,"OK with 3-month term?",Settings!$Z$2:$Z$21,T466)+SUMIFS(Settings!$AA$2:$AA$21,Settings!$Y$2:$Y$21,"Start timeline",Settings!$Z$2:$Z$21,U466)+SUMIFS(Settings!$AA$2:$AA$21,Settings!$Y$2:$Y$21,"Social media gap",Settings!$Z$2:$Z$21,V466)+IF(F466="",0,IF(COUNTIF(Settings!$AC$2:$AC$6,F466)&gt;0,Settings!$AA$20,Settings!$AA$21)))</f>
        <v/>
      </c>
      <c r="X466" s="44" t="str">
        <f aca="false">IF(E466="","",IF(COUNTA(Q466:V466)=0,"Not scored",IF(COUNTA(Q466:V466)&lt;6,"Partly scored ("&amp;COUNTA(Q466:V466)&amp;"/6)",IF(W466&gt;=Settings!$S$8,"Hot",IF(W466&gt;=Settings!$S$9,"Warm","Cold")))))</f>
        <v/>
      </c>
      <c r="Y466" s="44" t="str">
        <f aca="false">IF(E466="","",IF(AND(Q466="No",S466="No"),"🚩 Budget  ·  🚩 No one on camera",IF(Q466="No","🚩 Budget under AED 5k",IF(S466="No","🚩 No one on camera",""))))</f>
        <v/>
      </c>
      <c r="Z466" s="17"/>
      <c r="AA466" s="17"/>
      <c r="AB466" s="40"/>
      <c r="AC466" s="17"/>
      <c r="AD466" s="45" t="str">
        <f aca="false">IF(OR(E466="",AB466="",OR(AA466="Contract signed + paid",AA466="Closed – No response",AA466="Lost"),N(AC466)&gt;=Settings!$S$3),"",AB466+Settings!$S$2)</f>
        <v/>
      </c>
      <c r="AE466" s="40"/>
      <c r="AF466" s="41"/>
      <c r="AG466" s="17"/>
      <c r="AH466" s="17"/>
      <c r="AI466" s="17"/>
      <c r="AJ466" s="46" t="str">
        <f aca="true">IF(OR(E466="",B466=""),"",INT(TODAY()-B466))</f>
        <v/>
      </c>
      <c r="AK466" s="44" t="str">
        <f aca="true">IF(E466="","",IF(OR(COUNTIFS(Clients!$C$2:$C$501,E466,Clients!$S$2:$S$501,"Paid")&gt;0,AND(I466&lt;&gt;"",COUNTIFS(Clients!$E$2:$E$501,I466,Clients!$S$2:$S$501,"Paid")&gt;0)),"⚠ Refunded before – no free video",IF(OR(AA466="Contract signed + paid",AA466="Closed – No response",AA466="Lost"),"",IF(AA466="","Set a stage",IF(AND(AA466="Proposal sent",COUNTA(Q466:V466)&lt;6),"Score this lead – proposal sent unscored",IF(N(AC466)&gt;=Settings!$S$3,"Close – 4 follow-ups sent",IF(AD466="",IF(AB466="","Make first contact",""),IF(TODAY()&gt;AD466,"OVERDUE follow-up",IF(TODAY()=AD466,"Follow up today","")))))))))</f>
        <v/>
      </c>
    </row>
    <row r="467" customFormat="false" ht="15" hidden="false" customHeight="false" outlineLevel="0" collapsed="false">
      <c r="A467" s="17"/>
      <c r="B467" s="40"/>
      <c r="C467" s="41"/>
      <c r="D467" s="17"/>
      <c r="E467" s="17"/>
      <c r="F467" s="17"/>
      <c r="G467" s="17"/>
      <c r="H467" s="17"/>
      <c r="I467" s="42"/>
      <c r="J467" s="17"/>
      <c r="K467" s="17"/>
      <c r="L467" s="17"/>
      <c r="M467" s="17"/>
      <c r="N467" s="40"/>
      <c r="O467" s="41"/>
      <c r="P467" s="43" t="str">
        <f aca="false">IF(OR(B467="",N467=""),"",ROUND(((N467+N(O467))-(B467+N(C467)))*24,1))</f>
        <v/>
      </c>
      <c r="Q467" s="17"/>
      <c r="R467" s="17"/>
      <c r="S467" s="17"/>
      <c r="T467" s="17"/>
      <c r="U467" s="17"/>
      <c r="V467" s="17"/>
      <c r="W467" s="44" t="str">
        <f aca="false">IF(OR(E467="",COUNTA(Q467:V467)=0),"",SUMIFS(Settings!$AA$2:$AA$21,Settings!$Y$2:$Y$21,"Budget AED 5k+/mo?",Settings!$Z$2:$Z$21,Q467)+SUMIFS(Settings!$AA$2:$AA$21,Settings!$Y$2:$Y$21,"Decision-maker?",Settings!$Z$2:$Z$21,R467)+SUMIFS(Settings!$AA$2:$AA$21,Settings!$Y$2:$Y$21,"Someone on camera?",Settings!$Z$2:$Z$21,S467)+SUMIFS(Settings!$AA$2:$AA$21,Settings!$Y$2:$Y$21,"OK with 3-month term?",Settings!$Z$2:$Z$21,T467)+SUMIFS(Settings!$AA$2:$AA$21,Settings!$Y$2:$Y$21,"Start timeline",Settings!$Z$2:$Z$21,U467)+SUMIFS(Settings!$AA$2:$AA$21,Settings!$Y$2:$Y$21,"Social media gap",Settings!$Z$2:$Z$21,V467)+IF(F467="",0,IF(COUNTIF(Settings!$AC$2:$AC$6,F467)&gt;0,Settings!$AA$20,Settings!$AA$21)))</f>
        <v/>
      </c>
      <c r="X467" s="44" t="str">
        <f aca="false">IF(E467="","",IF(COUNTA(Q467:V467)=0,"Not scored",IF(COUNTA(Q467:V467)&lt;6,"Partly scored ("&amp;COUNTA(Q467:V467)&amp;"/6)",IF(W467&gt;=Settings!$S$8,"Hot",IF(W467&gt;=Settings!$S$9,"Warm","Cold")))))</f>
        <v/>
      </c>
      <c r="Y467" s="44" t="str">
        <f aca="false">IF(E467="","",IF(AND(Q467="No",S467="No"),"🚩 Budget  ·  🚩 No one on camera",IF(Q467="No","🚩 Budget under AED 5k",IF(S467="No","🚩 No one on camera",""))))</f>
        <v/>
      </c>
      <c r="Z467" s="17"/>
      <c r="AA467" s="17"/>
      <c r="AB467" s="40"/>
      <c r="AC467" s="17"/>
      <c r="AD467" s="45" t="str">
        <f aca="false">IF(OR(E467="",AB467="",OR(AA467="Contract signed + paid",AA467="Closed – No response",AA467="Lost"),N(AC467)&gt;=Settings!$S$3),"",AB467+Settings!$S$2)</f>
        <v/>
      </c>
      <c r="AE467" s="40"/>
      <c r="AF467" s="41"/>
      <c r="AG467" s="17"/>
      <c r="AH467" s="17"/>
      <c r="AI467" s="17"/>
      <c r="AJ467" s="46" t="str">
        <f aca="true">IF(OR(E467="",B467=""),"",INT(TODAY()-B467))</f>
        <v/>
      </c>
      <c r="AK467" s="44" t="str">
        <f aca="true">IF(E467="","",IF(OR(COUNTIFS(Clients!$C$2:$C$501,E467,Clients!$S$2:$S$501,"Paid")&gt;0,AND(I467&lt;&gt;"",COUNTIFS(Clients!$E$2:$E$501,I467,Clients!$S$2:$S$501,"Paid")&gt;0)),"⚠ Refunded before – no free video",IF(OR(AA467="Contract signed + paid",AA467="Closed – No response",AA467="Lost"),"",IF(AA467="","Set a stage",IF(AND(AA467="Proposal sent",COUNTA(Q467:V467)&lt;6),"Score this lead – proposal sent unscored",IF(N(AC467)&gt;=Settings!$S$3,"Close – 4 follow-ups sent",IF(AD467="",IF(AB467="","Make first contact",""),IF(TODAY()&gt;AD467,"OVERDUE follow-up",IF(TODAY()=AD467,"Follow up today","")))))))))</f>
        <v/>
      </c>
    </row>
    <row r="468" customFormat="false" ht="15" hidden="false" customHeight="false" outlineLevel="0" collapsed="false">
      <c r="A468" s="17"/>
      <c r="B468" s="40"/>
      <c r="C468" s="41"/>
      <c r="D468" s="17"/>
      <c r="E468" s="17"/>
      <c r="F468" s="17"/>
      <c r="G468" s="17"/>
      <c r="H468" s="17"/>
      <c r="I468" s="42"/>
      <c r="J468" s="17"/>
      <c r="K468" s="17"/>
      <c r="L468" s="17"/>
      <c r="M468" s="17"/>
      <c r="N468" s="40"/>
      <c r="O468" s="41"/>
      <c r="P468" s="43" t="str">
        <f aca="false">IF(OR(B468="",N468=""),"",ROUND(((N468+N(O468))-(B468+N(C468)))*24,1))</f>
        <v/>
      </c>
      <c r="Q468" s="17"/>
      <c r="R468" s="17"/>
      <c r="S468" s="17"/>
      <c r="T468" s="17"/>
      <c r="U468" s="17"/>
      <c r="V468" s="17"/>
      <c r="W468" s="44" t="str">
        <f aca="false">IF(OR(E468="",COUNTA(Q468:V468)=0),"",SUMIFS(Settings!$AA$2:$AA$21,Settings!$Y$2:$Y$21,"Budget AED 5k+/mo?",Settings!$Z$2:$Z$21,Q468)+SUMIFS(Settings!$AA$2:$AA$21,Settings!$Y$2:$Y$21,"Decision-maker?",Settings!$Z$2:$Z$21,R468)+SUMIFS(Settings!$AA$2:$AA$21,Settings!$Y$2:$Y$21,"Someone on camera?",Settings!$Z$2:$Z$21,S468)+SUMIFS(Settings!$AA$2:$AA$21,Settings!$Y$2:$Y$21,"OK with 3-month term?",Settings!$Z$2:$Z$21,T468)+SUMIFS(Settings!$AA$2:$AA$21,Settings!$Y$2:$Y$21,"Start timeline",Settings!$Z$2:$Z$21,U468)+SUMIFS(Settings!$AA$2:$AA$21,Settings!$Y$2:$Y$21,"Social media gap",Settings!$Z$2:$Z$21,V468)+IF(F468="",0,IF(COUNTIF(Settings!$AC$2:$AC$6,F468)&gt;0,Settings!$AA$20,Settings!$AA$21)))</f>
        <v/>
      </c>
      <c r="X468" s="44" t="str">
        <f aca="false">IF(E468="","",IF(COUNTA(Q468:V468)=0,"Not scored",IF(COUNTA(Q468:V468)&lt;6,"Partly scored ("&amp;COUNTA(Q468:V468)&amp;"/6)",IF(W468&gt;=Settings!$S$8,"Hot",IF(W468&gt;=Settings!$S$9,"Warm","Cold")))))</f>
        <v/>
      </c>
      <c r="Y468" s="44" t="str">
        <f aca="false">IF(E468="","",IF(AND(Q468="No",S468="No"),"🚩 Budget  ·  🚩 No one on camera",IF(Q468="No","🚩 Budget under AED 5k",IF(S468="No","🚩 No one on camera",""))))</f>
        <v/>
      </c>
      <c r="Z468" s="17"/>
      <c r="AA468" s="17"/>
      <c r="AB468" s="40"/>
      <c r="AC468" s="17"/>
      <c r="AD468" s="45" t="str">
        <f aca="false">IF(OR(E468="",AB468="",OR(AA468="Contract signed + paid",AA468="Closed – No response",AA468="Lost"),N(AC468)&gt;=Settings!$S$3),"",AB468+Settings!$S$2)</f>
        <v/>
      </c>
      <c r="AE468" s="40"/>
      <c r="AF468" s="41"/>
      <c r="AG468" s="17"/>
      <c r="AH468" s="17"/>
      <c r="AI468" s="17"/>
      <c r="AJ468" s="46" t="str">
        <f aca="true">IF(OR(E468="",B468=""),"",INT(TODAY()-B468))</f>
        <v/>
      </c>
      <c r="AK468" s="44" t="str">
        <f aca="true">IF(E468="","",IF(OR(COUNTIFS(Clients!$C$2:$C$501,E468,Clients!$S$2:$S$501,"Paid")&gt;0,AND(I468&lt;&gt;"",COUNTIFS(Clients!$E$2:$E$501,I468,Clients!$S$2:$S$501,"Paid")&gt;0)),"⚠ Refunded before – no free video",IF(OR(AA468="Contract signed + paid",AA468="Closed – No response",AA468="Lost"),"",IF(AA468="","Set a stage",IF(AND(AA468="Proposal sent",COUNTA(Q468:V468)&lt;6),"Score this lead – proposal sent unscored",IF(N(AC468)&gt;=Settings!$S$3,"Close – 4 follow-ups sent",IF(AD468="",IF(AB468="","Make first contact",""),IF(TODAY()&gt;AD468,"OVERDUE follow-up",IF(TODAY()=AD468,"Follow up today","")))))))))</f>
        <v/>
      </c>
    </row>
    <row r="469" customFormat="false" ht="15" hidden="false" customHeight="false" outlineLevel="0" collapsed="false">
      <c r="A469" s="17"/>
      <c r="B469" s="40"/>
      <c r="C469" s="41"/>
      <c r="D469" s="17"/>
      <c r="E469" s="17"/>
      <c r="F469" s="17"/>
      <c r="G469" s="17"/>
      <c r="H469" s="17"/>
      <c r="I469" s="42"/>
      <c r="J469" s="17"/>
      <c r="K469" s="17"/>
      <c r="L469" s="17"/>
      <c r="M469" s="17"/>
      <c r="N469" s="40"/>
      <c r="O469" s="41"/>
      <c r="P469" s="43" t="str">
        <f aca="false">IF(OR(B469="",N469=""),"",ROUND(((N469+N(O469))-(B469+N(C469)))*24,1))</f>
        <v/>
      </c>
      <c r="Q469" s="17"/>
      <c r="R469" s="17"/>
      <c r="S469" s="17"/>
      <c r="T469" s="17"/>
      <c r="U469" s="17"/>
      <c r="V469" s="17"/>
      <c r="W469" s="44" t="str">
        <f aca="false">IF(OR(E469="",COUNTA(Q469:V469)=0),"",SUMIFS(Settings!$AA$2:$AA$21,Settings!$Y$2:$Y$21,"Budget AED 5k+/mo?",Settings!$Z$2:$Z$21,Q469)+SUMIFS(Settings!$AA$2:$AA$21,Settings!$Y$2:$Y$21,"Decision-maker?",Settings!$Z$2:$Z$21,R469)+SUMIFS(Settings!$AA$2:$AA$21,Settings!$Y$2:$Y$21,"Someone on camera?",Settings!$Z$2:$Z$21,S469)+SUMIFS(Settings!$AA$2:$AA$21,Settings!$Y$2:$Y$21,"OK with 3-month term?",Settings!$Z$2:$Z$21,T469)+SUMIFS(Settings!$AA$2:$AA$21,Settings!$Y$2:$Y$21,"Start timeline",Settings!$Z$2:$Z$21,U469)+SUMIFS(Settings!$AA$2:$AA$21,Settings!$Y$2:$Y$21,"Social media gap",Settings!$Z$2:$Z$21,V469)+IF(F469="",0,IF(COUNTIF(Settings!$AC$2:$AC$6,F469)&gt;0,Settings!$AA$20,Settings!$AA$21)))</f>
        <v/>
      </c>
      <c r="X469" s="44" t="str">
        <f aca="false">IF(E469="","",IF(COUNTA(Q469:V469)=0,"Not scored",IF(COUNTA(Q469:V469)&lt;6,"Partly scored ("&amp;COUNTA(Q469:V469)&amp;"/6)",IF(W469&gt;=Settings!$S$8,"Hot",IF(W469&gt;=Settings!$S$9,"Warm","Cold")))))</f>
        <v/>
      </c>
      <c r="Y469" s="44" t="str">
        <f aca="false">IF(E469="","",IF(AND(Q469="No",S469="No"),"🚩 Budget  ·  🚩 No one on camera",IF(Q469="No","🚩 Budget under AED 5k",IF(S469="No","🚩 No one on camera",""))))</f>
        <v/>
      </c>
      <c r="Z469" s="17"/>
      <c r="AA469" s="17"/>
      <c r="AB469" s="40"/>
      <c r="AC469" s="17"/>
      <c r="AD469" s="45" t="str">
        <f aca="false">IF(OR(E469="",AB469="",OR(AA469="Contract signed + paid",AA469="Closed – No response",AA469="Lost"),N(AC469)&gt;=Settings!$S$3),"",AB469+Settings!$S$2)</f>
        <v/>
      </c>
      <c r="AE469" s="40"/>
      <c r="AF469" s="41"/>
      <c r="AG469" s="17"/>
      <c r="AH469" s="17"/>
      <c r="AI469" s="17"/>
      <c r="AJ469" s="46" t="str">
        <f aca="true">IF(OR(E469="",B469=""),"",INT(TODAY()-B469))</f>
        <v/>
      </c>
      <c r="AK469" s="44" t="str">
        <f aca="true">IF(E469="","",IF(OR(COUNTIFS(Clients!$C$2:$C$501,E469,Clients!$S$2:$S$501,"Paid")&gt;0,AND(I469&lt;&gt;"",COUNTIFS(Clients!$E$2:$E$501,I469,Clients!$S$2:$S$501,"Paid")&gt;0)),"⚠ Refunded before – no free video",IF(OR(AA469="Contract signed + paid",AA469="Closed – No response",AA469="Lost"),"",IF(AA469="","Set a stage",IF(AND(AA469="Proposal sent",COUNTA(Q469:V469)&lt;6),"Score this lead – proposal sent unscored",IF(N(AC469)&gt;=Settings!$S$3,"Close – 4 follow-ups sent",IF(AD469="",IF(AB469="","Make first contact",""),IF(TODAY()&gt;AD469,"OVERDUE follow-up",IF(TODAY()=AD469,"Follow up today","")))))))))</f>
        <v/>
      </c>
    </row>
    <row r="470" customFormat="false" ht="15" hidden="false" customHeight="false" outlineLevel="0" collapsed="false">
      <c r="A470" s="17"/>
      <c r="B470" s="40"/>
      <c r="C470" s="41"/>
      <c r="D470" s="17"/>
      <c r="E470" s="17"/>
      <c r="F470" s="17"/>
      <c r="G470" s="17"/>
      <c r="H470" s="17"/>
      <c r="I470" s="42"/>
      <c r="J470" s="17"/>
      <c r="K470" s="17"/>
      <c r="L470" s="17"/>
      <c r="M470" s="17"/>
      <c r="N470" s="40"/>
      <c r="O470" s="41"/>
      <c r="P470" s="43" t="str">
        <f aca="false">IF(OR(B470="",N470=""),"",ROUND(((N470+N(O470))-(B470+N(C470)))*24,1))</f>
        <v/>
      </c>
      <c r="Q470" s="17"/>
      <c r="R470" s="17"/>
      <c r="S470" s="17"/>
      <c r="T470" s="17"/>
      <c r="U470" s="17"/>
      <c r="V470" s="17"/>
      <c r="W470" s="44" t="str">
        <f aca="false">IF(OR(E470="",COUNTA(Q470:V470)=0),"",SUMIFS(Settings!$AA$2:$AA$21,Settings!$Y$2:$Y$21,"Budget AED 5k+/mo?",Settings!$Z$2:$Z$21,Q470)+SUMIFS(Settings!$AA$2:$AA$21,Settings!$Y$2:$Y$21,"Decision-maker?",Settings!$Z$2:$Z$21,R470)+SUMIFS(Settings!$AA$2:$AA$21,Settings!$Y$2:$Y$21,"Someone on camera?",Settings!$Z$2:$Z$21,S470)+SUMIFS(Settings!$AA$2:$AA$21,Settings!$Y$2:$Y$21,"OK with 3-month term?",Settings!$Z$2:$Z$21,T470)+SUMIFS(Settings!$AA$2:$AA$21,Settings!$Y$2:$Y$21,"Start timeline",Settings!$Z$2:$Z$21,U470)+SUMIFS(Settings!$AA$2:$AA$21,Settings!$Y$2:$Y$21,"Social media gap",Settings!$Z$2:$Z$21,V470)+IF(F470="",0,IF(COUNTIF(Settings!$AC$2:$AC$6,F470)&gt;0,Settings!$AA$20,Settings!$AA$21)))</f>
        <v/>
      </c>
      <c r="X470" s="44" t="str">
        <f aca="false">IF(E470="","",IF(COUNTA(Q470:V470)=0,"Not scored",IF(COUNTA(Q470:V470)&lt;6,"Partly scored ("&amp;COUNTA(Q470:V470)&amp;"/6)",IF(W470&gt;=Settings!$S$8,"Hot",IF(W470&gt;=Settings!$S$9,"Warm","Cold")))))</f>
        <v/>
      </c>
      <c r="Y470" s="44" t="str">
        <f aca="false">IF(E470="","",IF(AND(Q470="No",S470="No"),"🚩 Budget  ·  🚩 No one on camera",IF(Q470="No","🚩 Budget under AED 5k",IF(S470="No","🚩 No one on camera",""))))</f>
        <v/>
      </c>
      <c r="Z470" s="17"/>
      <c r="AA470" s="17"/>
      <c r="AB470" s="40"/>
      <c r="AC470" s="17"/>
      <c r="AD470" s="45" t="str">
        <f aca="false">IF(OR(E470="",AB470="",OR(AA470="Contract signed + paid",AA470="Closed – No response",AA470="Lost"),N(AC470)&gt;=Settings!$S$3),"",AB470+Settings!$S$2)</f>
        <v/>
      </c>
      <c r="AE470" s="40"/>
      <c r="AF470" s="41"/>
      <c r="AG470" s="17"/>
      <c r="AH470" s="17"/>
      <c r="AI470" s="17"/>
      <c r="AJ470" s="46" t="str">
        <f aca="true">IF(OR(E470="",B470=""),"",INT(TODAY()-B470))</f>
        <v/>
      </c>
      <c r="AK470" s="44" t="str">
        <f aca="true">IF(E470="","",IF(OR(COUNTIFS(Clients!$C$2:$C$501,E470,Clients!$S$2:$S$501,"Paid")&gt;0,AND(I470&lt;&gt;"",COUNTIFS(Clients!$E$2:$E$501,I470,Clients!$S$2:$S$501,"Paid")&gt;0)),"⚠ Refunded before – no free video",IF(OR(AA470="Contract signed + paid",AA470="Closed – No response",AA470="Lost"),"",IF(AA470="","Set a stage",IF(AND(AA470="Proposal sent",COUNTA(Q470:V470)&lt;6),"Score this lead – proposal sent unscored",IF(N(AC470)&gt;=Settings!$S$3,"Close – 4 follow-ups sent",IF(AD470="",IF(AB470="","Make first contact",""),IF(TODAY()&gt;AD470,"OVERDUE follow-up",IF(TODAY()=AD470,"Follow up today","")))))))))</f>
        <v/>
      </c>
    </row>
    <row r="471" customFormat="false" ht="15" hidden="false" customHeight="false" outlineLevel="0" collapsed="false">
      <c r="A471" s="17"/>
      <c r="B471" s="40"/>
      <c r="C471" s="41"/>
      <c r="D471" s="17"/>
      <c r="E471" s="17"/>
      <c r="F471" s="17"/>
      <c r="G471" s="17"/>
      <c r="H471" s="17"/>
      <c r="I471" s="42"/>
      <c r="J471" s="17"/>
      <c r="K471" s="17"/>
      <c r="L471" s="17"/>
      <c r="M471" s="17"/>
      <c r="N471" s="40"/>
      <c r="O471" s="41"/>
      <c r="P471" s="43" t="str">
        <f aca="false">IF(OR(B471="",N471=""),"",ROUND(((N471+N(O471))-(B471+N(C471)))*24,1))</f>
        <v/>
      </c>
      <c r="Q471" s="17"/>
      <c r="R471" s="17"/>
      <c r="S471" s="17"/>
      <c r="T471" s="17"/>
      <c r="U471" s="17"/>
      <c r="V471" s="17"/>
      <c r="W471" s="44" t="str">
        <f aca="false">IF(OR(E471="",COUNTA(Q471:V471)=0),"",SUMIFS(Settings!$AA$2:$AA$21,Settings!$Y$2:$Y$21,"Budget AED 5k+/mo?",Settings!$Z$2:$Z$21,Q471)+SUMIFS(Settings!$AA$2:$AA$21,Settings!$Y$2:$Y$21,"Decision-maker?",Settings!$Z$2:$Z$21,R471)+SUMIFS(Settings!$AA$2:$AA$21,Settings!$Y$2:$Y$21,"Someone on camera?",Settings!$Z$2:$Z$21,S471)+SUMIFS(Settings!$AA$2:$AA$21,Settings!$Y$2:$Y$21,"OK with 3-month term?",Settings!$Z$2:$Z$21,T471)+SUMIFS(Settings!$AA$2:$AA$21,Settings!$Y$2:$Y$21,"Start timeline",Settings!$Z$2:$Z$21,U471)+SUMIFS(Settings!$AA$2:$AA$21,Settings!$Y$2:$Y$21,"Social media gap",Settings!$Z$2:$Z$21,V471)+IF(F471="",0,IF(COUNTIF(Settings!$AC$2:$AC$6,F471)&gt;0,Settings!$AA$20,Settings!$AA$21)))</f>
        <v/>
      </c>
      <c r="X471" s="44" t="str">
        <f aca="false">IF(E471="","",IF(COUNTA(Q471:V471)=0,"Not scored",IF(COUNTA(Q471:V471)&lt;6,"Partly scored ("&amp;COUNTA(Q471:V471)&amp;"/6)",IF(W471&gt;=Settings!$S$8,"Hot",IF(W471&gt;=Settings!$S$9,"Warm","Cold")))))</f>
        <v/>
      </c>
      <c r="Y471" s="44" t="str">
        <f aca="false">IF(E471="","",IF(AND(Q471="No",S471="No"),"🚩 Budget  ·  🚩 No one on camera",IF(Q471="No","🚩 Budget under AED 5k",IF(S471="No","🚩 No one on camera",""))))</f>
        <v/>
      </c>
      <c r="Z471" s="17"/>
      <c r="AA471" s="17"/>
      <c r="AB471" s="40"/>
      <c r="AC471" s="17"/>
      <c r="AD471" s="45" t="str">
        <f aca="false">IF(OR(E471="",AB471="",OR(AA471="Contract signed + paid",AA471="Closed – No response",AA471="Lost"),N(AC471)&gt;=Settings!$S$3),"",AB471+Settings!$S$2)</f>
        <v/>
      </c>
      <c r="AE471" s="40"/>
      <c r="AF471" s="41"/>
      <c r="AG471" s="17"/>
      <c r="AH471" s="17"/>
      <c r="AI471" s="17"/>
      <c r="AJ471" s="46" t="str">
        <f aca="true">IF(OR(E471="",B471=""),"",INT(TODAY()-B471))</f>
        <v/>
      </c>
      <c r="AK471" s="44" t="str">
        <f aca="true">IF(E471="","",IF(OR(COUNTIFS(Clients!$C$2:$C$501,E471,Clients!$S$2:$S$501,"Paid")&gt;0,AND(I471&lt;&gt;"",COUNTIFS(Clients!$E$2:$E$501,I471,Clients!$S$2:$S$501,"Paid")&gt;0)),"⚠ Refunded before – no free video",IF(OR(AA471="Contract signed + paid",AA471="Closed – No response",AA471="Lost"),"",IF(AA471="","Set a stage",IF(AND(AA471="Proposal sent",COUNTA(Q471:V471)&lt;6),"Score this lead – proposal sent unscored",IF(N(AC471)&gt;=Settings!$S$3,"Close – 4 follow-ups sent",IF(AD471="",IF(AB471="","Make first contact",""),IF(TODAY()&gt;AD471,"OVERDUE follow-up",IF(TODAY()=AD471,"Follow up today","")))))))))</f>
        <v/>
      </c>
    </row>
    <row r="472" customFormat="false" ht="15" hidden="false" customHeight="false" outlineLevel="0" collapsed="false">
      <c r="A472" s="17"/>
      <c r="B472" s="40"/>
      <c r="C472" s="41"/>
      <c r="D472" s="17"/>
      <c r="E472" s="17"/>
      <c r="F472" s="17"/>
      <c r="G472" s="17"/>
      <c r="H472" s="17"/>
      <c r="I472" s="42"/>
      <c r="J472" s="17"/>
      <c r="K472" s="17"/>
      <c r="L472" s="17"/>
      <c r="M472" s="17"/>
      <c r="N472" s="40"/>
      <c r="O472" s="41"/>
      <c r="P472" s="43" t="str">
        <f aca="false">IF(OR(B472="",N472=""),"",ROUND(((N472+N(O472))-(B472+N(C472)))*24,1))</f>
        <v/>
      </c>
      <c r="Q472" s="17"/>
      <c r="R472" s="17"/>
      <c r="S472" s="17"/>
      <c r="T472" s="17"/>
      <c r="U472" s="17"/>
      <c r="V472" s="17"/>
      <c r="W472" s="44" t="str">
        <f aca="false">IF(OR(E472="",COUNTA(Q472:V472)=0),"",SUMIFS(Settings!$AA$2:$AA$21,Settings!$Y$2:$Y$21,"Budget AED 5k+/mo?",Settings!$Z$2:$Z$21,Q472)+SUMIFS(Settings!$AA$2:$AA$21,Settings!$Y$2:$Y$21,"Decision-maker?",Settings!$Z$2:$Z$21,R472)+SUMIFS(Settings!$AA$2:$AA$21,Settings!$Y$2:$Y$21,"Someone on camera?",Settings!$Z$2:$Z$21,S472)+SUMIFS(Settings!$AA$2:$AA$21,Settings!$Y$2:$Y$21,"OK with 3-month term?",Settings!$Z$2:$Z$21,T472)+SUMIFS(Settings!$AA$2:$AA$21,Settings!$Y$2:$Y$21,"Start timeline",Settings!$Z$2:$Z$21,U472)+SUMIFS(Settings!$AA$2:$AA$21,Settings!$Y$2:$Y$21,"Social media gap",Settings!$Z$2:$Z$21,V472)+IF(F472="",0,IF(COUNTIF(Settings!$AC$2:$AC$6,F472)&gt;0,Settings!$AA$20,Settings!$AA$21)))</f>
        <v/>
      </c>
      <c r="X472" s="44" t="str">
        <f aca="false">IF(E472="","",IF(COUNTA(Q472:V472)=0,"Not scored",IF(COUNTA(Q472:V472)&lt;6,"Partly scored ("&amp;COUNTA(Q472:V472)&amp;"/6)",IF(W472&gt;=Settings!$S$8,"Hot",IF(W472&gt;=Settings!$S$9,"Warm","Cold")))))</f>
        <v/>
      </c>
      <c r="Y472" s="44" t="str">
        <f aca="false">IF(E472="","",IF(AND(Q472="No",S472="No"),"🚩 Budget  ·  🚩 No one on camera",IF(Q472="No","🚩 Budget under AED 5k",IF(S472="No","🚩 No one on camera",""))))</f>
        <v/>
      </c>
      <c r="Z472" s="17"/>
      <c r="AA472" s="17"/>
      <c r="AB472" s="40"/>
      <c r="AC472" s="17"/>
      <c r="AD472" s="45" t="str">
        <f aca="false">IF(OR(E472="",AB472="",OR(AA472="Contract signed + paid",AA472="Closed – No response",AA472="Lost"),N(AC472)&gt;=Settings!$S$3),"",AB472+Settings!$S$2)</f>
        <v/>
      </c>
      <c r="AE472" s="40"/>
      <c r="AF472" s="41"/>
      <c r="AG472" s="17"/>
      <c r="AH472" s="17"/>
      <c r="AI472" s="17"/>
      <c r="AJ472" s="46" t="str">
        <f aca="true">IF(OR(E472="",B472=""),"",INT(TODAY()-B472))</f>
        <v/>
      </c>
      <c r="AK472" s="44" t="str">
        <f aca="true">IF(E472="","",IF(OR(COUNTIFS(Clients!$C$2:$C$501,E472,Clients!$S$2:$S$501,"Paid")&gt;0,AND(I472&lt;&gt;"",COUNTIFS(Clients!$E$2:$E$501,I472,Clients!$S$2:$S$501,"Paid")&gt;0)),"⚠ Refunded before – no free video",IF(OR(AA472="Contract signed + paid",AA472="Closed – No response",AA472="Lost"),"",IF(AA472="","Set a stage",IF(AND(AA472="Proposal sent",COUNTA(Q472:V472)&lt;6),"Score this lead – proposal sent unscored",IF(N(AC472)&gt;=Settings!$S$3,"Close – 4 follow-ups sent",IF(AD472="",IF(AB472="","Make first contact",""),IF(TODAY()&gt;AD472,"OVERDUE follow-up",IF(TODAY()=AD472,"Follow up today","")))))))))</f>
        <v/>
      </c>
    </row>
    <row r="473" customFormat="false" ht="15" hidden="false" customHeight="false" outlineLevel="0" collapsed="false">
      <c r="A473" s="17"/>
      <c r="B473" s="40"/>
      <c r="C473" s="41"/>
      <c r="D473" s="17"/>
      <c r="E473" s="17"/>
      <c r="F473" s="17"/>
      <c r="G473" s="17"/>
      <c r="H473" s="17"/>
      <c r="I473" s="42"/>
      <c r="J473" s="17"/>
      <c r="K473" s="17"/>
      <c r="L473" s="17"/>
      <c r="M473" s="17"/>
      <c r="N473" s="40"/>
      <c r="O473" s="41"/>
      <c r="P473" s="43" t="str">
        <f aca="false">IF(OR(B473="",N473=""),"",ROUND(((N473+N(O473))-(B473+N(C473)))*24,1))</f>
        <v/>
      </c>
      <c r="Q473" s="17"/>
      <c r="R473" s="17"/>
      <c r="S473" s="17"/>
      <c r="T473" s="17"/>
      <c r="U473" s="17"/>
      <c r="V473" s="17"/>
      <c r="W473" s="44" t="str">
        <f aca="false">IF(OR(E473="",COUNTA(Q473:V473)=0),"",SUMIFS(Settings!$AA$2:$AA$21,Settings!$Y$2:$Y$21,"Budget AED 5k+/mo?",Settings!$Z$2:$Z$21,Q473)+SUMIFS(Settings!$AA$2:$AA$21,Settings!$Y$2:$Y$21,"Decision-maker?",Settings!$Z$2:$Z$21,R473)+SUMIFS(Settings!$AA$2:$AA$21,Settings!$Y$2:$Y$21,"Someone on camera?",Settings!$Z$2:$Z$21,S473)+SUMIFS(Settings!$AA$2:$AA$21,Settings!$Y$2:$Y$21,"OK with 3-month term?",Settings!$Z$2:$Z$21,T473)+SUMIFS(Settings!$AA$2:$AA$21,Settings!$Y$2:$Y$21,"Start timeline",Settings!$Z$2:$Z$21,U473)+SUMIFS(Settings!$AA$2:$AA$21,Settings!$Y$2:$Y$21,"Social media gap",Settings!$Z$2:$Z$21,V473)+IF(F473="",0,IF(COUNTIF(Settings!$AC$2:$AC$6,F473)&gt;0,Settings!$AA$20,Settings!$AA$21)))</f>
        <v/>
      </c>
      <c r="X473" s="44" t="str">
        <f aca="false">IF(E473="","",IF(COUNTA(Q473:V473)=0,"Not scored",IF(COUNTA(Q473:V473)&lt;6,"Partly scored ("&amp;COUNTA(Q473:V473)&amp;"/6)",IF(W473&gt;=Settings!$S$8,"Hot",IF(W473&gt;=Settings!$S$9,"Warm","Cold")))))</f>
        <v/>
      </c>
      <c r="Y473" s="44" t="str">
        <f aca="false">IF(E473="","",IF(AND(Q473="No",S473="No"),"🚩 Budget  ·  🚩 No one on camera",IF(Q473="No","🚩 Budget under AED 5k",IF(S473="No","🚩 No one on camera",""))))</f>
        <v/>
      </c>
      <c r="Z473" s="17"/>
      <c r="AA473" s="17"/>
      <c r="AB473" s="40"/>
      <c r="AC473" s="17"/>
      <c r="AD473" s="45" t="str">
        <f aca="false">IF(OR(E473="",AB473="",OR(AA473="Contract signed + paid",AA473="Closed – No response",AA473="Lost"),N(AC473)&gt;=Settings!$S$3),"",AB473+Settings!$S$2)</f>
        <v/>
      </c>
      <c r="AE473" s="40"/>
      <c r="AF473" s="41"/>
      <c r="AG473" s="17"/>
      <c r="AH473" s="17"/>
      <c r="AI473" s="17"/>
      <c r="AJ473" s="46" t="str">
        <f aca="true">IF(OR(E473="",B473=""),"",INT(TODAY()-B473))</f>
        <v/>
      </c>
      <c r="AK473" s="44" t="str">
        <f aca="true">IF(E473="","",IF(OR(COUNTIFS(Clients!$C$2:$C$501,E473,Clients!$S$2:$S$501,"Paid")&gt;0,AND(I473&lt;&gt;"",COUNTIFS(Clients!$E$2:$E$501,I473,Clients!$S$2:$S$501,"Paid")&gt;0)),"⚠ Refunded before – no free video",IF(OR(AA473="Contract signed + paid",AA473="Closed – No response",AA473="Lost"),"",IF(AA473="","Set a stage",IF(AND(AA473="Proposal sent",COUNTA(Q473:V473)&lt;6),"Score this lead – proposal sent unscored",IF(N(AC473)&gt;=Settings!$S$3,"Close – 4 follow-ups sent",IF(AD473="",IF(AB473="","Make first contact",""),IF(TODAY()&gt;AD473,"OVERDUE follow-up",IF(TODAY()=AD473,"Follow up today","")))))))))</f>
        <v/>
      </c>
    </row>
    <row r="474" customFormat="false" ht="15" hidden="false" customHeight="false" outlineLevel="0" collapsed="false">
      <c r="A474" s="17"/>
      <c r="B474" s="40"/>
      <c r="C474" s="41"/>
      <c r="D474" s="17"/>
      <c r="E474" s="17"/>
      <c r="F474" s="17"/>
      <c r="G474" s="17"/>
      <c r="H474" s="17"/>
      <c r="I474" s="42"/>
      <c r="J474" s="17"/>
      <c r="K474" s="17"/>
      <c r="L474" s="17"/>
      <c r="M474" s="17"/>
      <c r="N474" s="40"/>
      <c r="O474" s="41"/>
      <c r="P474" s="43" t="str">
        <f aca="false">IF(OR(B474="",N474=""),"",ROUND(((N474+N(O474))-(B474+N(C474)))*24,1))</f>
        <v/>
      </c>
      <c r="Q474" s="17"/>
      <c r="R474" s="17"/>
      <c r="S474" s="17"/>
      <c r="T474" s="17"/>
      <c r="U474" s="17"/>
      <c r="V474" s="17"/>
      <c r="W474" s="44" t="str">
        <f aca="false">IF(OR(E474="",COUNTA(Q474:V474)=0),"",SUMIFS(Settings!$AA$2:$AA$21,Settings!$Y$2:$Y$21,"Budget AED 5k+/mo?",Settings!$Z$2:$Z$21,Q474)+SUMIFS(Settings!$AA$2:$AA$21,Settings!$Y$2:$Y$21,"Decision-maker?",Settings!$Z$2:$Z$21,R474)+SUMIFS(Settings!$AA$2:$AA$21,Settings!$Y$2:$Y$21,"Someone on camera?",Settings!$Z$2:$Z$21,S474)+SUMIFS(Settings!$AA$2:$AA$21,Settings!$Y$2:$Y$21,"OK with 3-month term?",Settings!$Z$2:$Z$21,T474)+SUMIFS(Settings!$AA$2:$AA$21,Settings!$Y$2:$Y$21,"Start timeline",Settings!$Z$2:$Z$21,U474)+SUMIFS(Settings!$AA$2:$AA$21,Settings!$Y$2:$Y$21,"Social media gap",Settings!$Z$2:$Z$21,V474)+IF(F474="",0,IF(COUNTIF(Settings!$AC$2:$AC$6,F474)&gt;0,Settings!$AA$20,Settings!$AA$21)))</f>
        <v/>
      </c>
      <c r="X474" s="44" t="str">
        <f aca="false">IF(E474="","",IF(COUNTA(Q474:V474)=0,"Not scored",IF(COUNTA(Q474:V474)&lt;6,"Partly scored ("&amp;COUNTA(Q474:V474)&amp;"/6)",IF(W474&gt;=Settings!$S$8,"Hot",IF(W474&gt;=Settings!$S$9,"Warm","Cold")))))</f>
        <v/>
      </c>
      <c r="Y474" s="44" t="str">
        <f aca="false">IF(E474="","",IF(AND(Q474="No",S474="No"),"🚩 Budget  ·  🚩 No one on camera",IF(Q474="No","🚩 Budget under AED 5k",IF(S474="No","🚩 No one on camera",""))))</f>
        <v/>
      </c>
      <c r="Z474" s="17"/>
      <c r="AA474" s="17"/>
      <c r="AB474" s="40"/>
      <c r="AC474" s="17"/>
      <c r="AD474" s="45" t="str">
        <f aca="false">IF(OR(E474="",AB474="",OR(AA474="Contract signed + paid",AA474="Closed – No response",AA474="Lost"),N(AC474)&gt;=Settings!$S$3),"",AB474+Settings!$S$2)</f>
        <v/>
      </c>
      <c r="AE474" s="40"/>
      <c r="AF474" s="41"/>
      <c r="AG474" s="17"/>
      <c r="AH474" s="17"/>
      <c r="AI474" s="17"/>
      <c r="AJ474" s="46" t="str">
        <f aca="true">IF(OR(E474="",B474=""),"",INT(TODAY()-B474))</f>
        <v/>
      </c>
      <c r="AK474" s="44" t="str">
        <f aca="true">IF(E474="","",IF(OR(COUNTIFS(Clients!$C$2:$C$501,E474,Clients!$S$2:$S$501,"Paid")&gt;0,AND(I474&lt;&gt;"",COUNTIFS(Clients!$E$2:$E$501,I474,Clients!$S$2:$S$501,"Paid")&gt;0)),"⚠ Refunded before – no free video",IF(OR(AA474="Contract signed + paid",AA474="Closed – No response",AA474="Lost"),"",IF(AA474="","Set a stage",IF(AND(AA474="Proposal sent",COUNTA(Q474:V474)&lt;6),"Score this lead – proposal sent unscored",IF(N(AC474)&gt;=Settings!$S$3,"Close – 4 follow-ups sent",IF(AD474="",IF(AB474="","Make first contact",""),IF(TODAY()&gt;AD474,"OVERDUE follow-up",IF(TODAY()=AD474,"Follow up today","")))))))))</f>
        <v/>
      </c>
    </row>
    <row r="475" customFormat="false" ht="15" hidden="false" customHeight="false" outlineLevel="0" collapsed="false">
      <c r="A475" s="17"/>
      <c r="B475" s="40"/>
      <c r="C475" s="41"/>
      <c r="D475" s="17"/>
      <c r="E475" s="17"/>
      <c r="F475" s="17"/>
      <c r="G475" s="17"/>
      <c r="H475" s="17"/>
      <c r="I475" s="42"/>
      <c r="J475" s="17"/>
      <c r="K475" s="17"/>
      <c r="L475" s="17"/>
      <c r="M475" s="17"/>
      <c r="N475" s="40"/>
      <c r="O475" s="41"/>
      <c r="P475" s="43" t="str">
        <f aca="false">IF(OR(B475="",N475=""),"",ROUND(((N475+N(O475))-(B475+N(C475)))*24,1))</f>
        <v/>
      </c>
      <c r="Q475" s="17"/>
      <c r="R475" s="17"/>
      <c r="S475" s="17"/>
      <c r="T475" s="17"/>
      <c r="U475" s="17"/>
      <c r="V475" s="17"/>
      <c r="W475" s="44" t="str">
        <f aca="false">IF(OR(E475="",COUNTA(Q475:V475)=0),"",SUMIFS(Settings!$AA$2:$AA$21,Settings!$Y$2:$Y$21,"Budget AED 5k+/mo?",Settings!$Z$2:$Z$21,Q475)+SUMIFS(Settings!$AA$2:$AA$21,Settings!$Y$2:$Y$21,"Decision-maker?",Settings!$Z$2:$Z$21,R475)+SUMIFS(Settings!$AA$2:$AA$21,Settings!$Y$2:$Y$21,"Someone on camera?",Settings!$Z$2:$Z$21,S475)+SUMIFS(Settings!$AA$2:$AA$21,Settings!$Y$2:$Y$21,"OK with 3-month term?",Settings!$Z$2:$Z$21,T475)+SUMIFS(Settings!$AA$2:$AA$21,Settings!$Y$2:$Y$21,"Start timeline",Settings!$Z$2:$Z$21,U475)+SUMIFS(Settings!$AA$2:$AA$21,Settings!$Y$2:$Y$21,"Social media gap",Settings!$Z$2:$Z$21,V475)+IF(F475="",0,IF(COUNTIF(Settings!$AC$2:$AC$6,F475)&gt;0,Settings!$AA$20,Settings!$AA$21)))</f>
        <v/>
      </c>
      <c r="X475" s="44" t="str">
        <f aca="false">IF(E475="","",IF(COUNTA(Q475:V475)=0,"Not scored",IF(COUNTA(Q475:V475)&lt;6,"Partly scored ("&amp;COUNTA(Q475:V475)&amp;"/6)",IF(W475&gt;=Settings!$S$8,"Hot",IF(W475&gt;=Settings!$S$9,"Warm","Cold")))))</f>
        <v/>
      </c>
      <c r="Y475" s="44" t="str">
        <f aca="false">IF(E475="","",IF(AND(Q475="No",S475="No"),"🚩 Budget  ·  🚩 No one on camera",IF(Q475="No","🚩 Budget under AED 5k",IF(S475="No","🚩 No one on camera",""))))</f>
        <v/>
      </c>
      <c r="Z475" s="17"/>
      <c r="AA475" s="17"/>
      <c r="AB475" s="40"/>
      <c r="AC475" s="17"/>
      <c r="AD475" s="45" t="str">
        <f aca="false">IF(OR(E475="",AB475="",OR(AA475="Contract signed + paid",AA475="Closed – No response",AA475="Lost"),N(AC475)&gt;=Settings!$S$3),"",AB475+Settings!$S$2)</f>
        <v/>
      </c>
      <c r="AE475" s="40"/>
      <c r="AF475" s="41"/>
      <c r="AG475" s="17"/>
      <c r="AH475" s="17"/>
      <c r="AI475" s="17"/>
      <c r="AJ475" s="46" t="str">
        <f aca="true">IF(OR(E475="",B475=""),"",INT(TODAY()-B475))</f>
        <v/>
      </c>
      <c r="AK475" s="44" t="str">
        <f aca="true">IF(E475="","",IF(OR(COUNTIFS(Clients!$C$2:$C$501,E475,Clients!$S$2:$S$501,"Paid")&gt;0,AND(I475&lt;&gt;"",COUNTIFS(Clients!$E$2:$E$501,I475,Clients!$S$2:$S$501,"Paid")&gt;0)),"⚠ Refunded before – no free video",IF(OR(AA475="Contract signed + paid",AA475="Closed – No response",AA475="Lost"),"",IF(AA475="","Set a stage",IF(AND(AA475="Proposal sent",COUNTA(Q475:V475)&lt;6),"Score this lead – proposal sent unscored",IF(N(AC475)&gt;=Settings!$S$3,"Close – 4 follow-ups sent",IF(AD475="",IF(AB475="","Make first contact",""),IF(TODAY()&gt;AD475,"OVERDUE follow-up",IF(TODAY()=AD475,"Follow up today","")))))))))</f>
        <v/>
      </c>
    </row>
    <row r="476" customFormat="false" ht="15" hidden="false" customHeight="false" outlineLevel="0" collapsed="false">
      <c r="A476" s="17"/>
      <c r="B476" s="40"/>
      <c r="C476" s="41"/>
      <c r="D476" s="17"/>
      <c r="E476" s="17"/>
      <c r="F476" s="17"/>
      <c r="G476" s="17"/>
      <c r="H476" s="17"/>
      <c r="I476" s="42"/>
      <c r="J476" s="17"/>
      <c r="K476" s="17"/>
      <c r="L476" s="17"/>
      <c r="M476" s="17"/>
      <c r="N476" s="40"/>
      <c r="O476" s="41"/>
      <c r="P476" s="43" t="str">
        <f aca="false">IF(OR(B476="",N476=""),"",ROUND(((N476+N(O476))-(B476+N(C476)))*24,1))</f>
        <v/>
      </c>
      <c r="Q476" s="17"/>
      <c r="R476" s="17"/>
      <c r="S476" s="17"/>
      <c r="T476" s="17"/>
      <c r="U476" s="17"/>
      <c r="V476" s="17"/>
      <c r="W476" s="44" t="str">
        <f aca="false">IF(OR(E476="",COUNTA(Q476:V476)=0),"",SUMIFS(Settings!$AA$2:$AA$21,Settings!$Y$2:$Y$21,"Budget AED 5k+/mo?",Settings!$Z$2:$Z$21,Q476)+SUMIFS(Settings!$AA$2:$AA$21,Settings!$Y$2:$Y$21,"Decision-maker?",Settings!$Z$2:$Z$21,R476)+SUMIFS(Settings!$AA$2:$AA$21,Settings!$Y$2:$Y$21,"Someone on camera?",Settings!$Z$2:$Z$21,S476)+SUMIFS(Settings!$AA$2:$AA$21,Settings!$Y$2:$Y$21,"OK with 3-month term?",Settings!$Z$2:$Z$21,T476)+SUMIFS(Settings!$AA$2:$AA$21,Settings!$Y$2:$Y$21,"Start timeline",Settings!$Z$2:$Z$21,U476)+SUMIFS(Settings!$AA$2:$AA$21,Settings!$Y$2:$Y$21,"Social media gap",Settings!$Z$2:$Z$21,V476)+IF(F476="",0,IF(COUNTIF(Settings!$AC$2:$AC$6,F476)&gt;0,Settings!$AA$20,Settings!$AA$21)))</f>
        <v/>
      </c>
      <c r="X476" s="44" t="str">
        <f aca="false">IF(E476="","",IF(COUNTA(Q476:V476)=0,"Not scored",IF(COUNTA(Q476:V476)&lt;6,"Partly scored ("&amp;COUNTA(Q476:V476)&amp;"/6)",IF(W476&gt;=Settings!$S$8,"Hot",IF(W476&gt;=Settings!$S$9,"Warm","Cold")))))</f>
        <v/>
      </c>
      <c r="Y476" s="44" t="str">
        <f aca="false">IF(E476="","",IF(AND(Q476="No",S476="No"),"🚩 Budget  ·  🚩 No one on camera",IF(Q476="No","🚩 Budget under AED 5k",IF(S476="No","🚩 No one on camera",""))))</f>
        <v/>
      </c>
      <c r="Z476" s="17"/>
      <c r="AA476" s="17"/>
      <c r="AB476" s="40"/>
      <c r="AC476" s="17"/>
      <c r="AD476" s="45" t="str">
        <f aca="false">IF(OR(E476="",AB476="",OR(AA476="Contract signed + paid",AA476="Closed – No response",AA476="Lost"),N(AC476)&gt;=Settings!$S$3),"",AB476+Settings!$S$2)</f>
        <v/>
      </c>
      <c r="AE476" s="40"/>
      <c r="AF476" s="41"/>
      <c r="AG476" s="17"/>
      <c r="AH476" s="17"/>
      <c r="AI476" s="17"/>
      <c r="AJ476" s="46" t="str">
        <f aca="true">IF(OR(E476="",B476=""),"",INT(TODAY()-B476))</f>
        <v/>
      </c>
      <c r="AK476" s="44" t="str">
        <f aca="true">IF(E476="","",IF(OR(COUNTIFS(Clients!$C$2:$C$501,E476,Clients!$S$2:$S$501,"Paid")&gt;0,AND(I476&lt;&gt;"",COUNTIFS(Clients!$E$2:$E$501,I476,Clients!$S$2:$S$501,"Paid")&gt;0)),"⚠ Refunded before – no free video",IF(OR(AA476="Contract signed + paid",AA476="Closed – No response",AA476="Lost"),"",IF(AA476="","Set a stage",IF(AND(AA476="Proposal sent",COUNTA(Q476:V476)&lt;6),"Score this lead – proposal sent unscored",IF(N(AC476)&gt;=Settings!$S$3,"Close – 4 follow-ups sent",IF(AD476="",IF(AB476="","Make first contact",""),IF(TODAY()&gt;AD476,"OVERDUE follow-up",IF(TODAY()=AD476,"Follow up today","")))))))))</f>
        <v/>
      </c>
    </row>
    <row r="477" customFormat="false" ht="15" hidden="false" customHeight="false" outlineLevel="0" collapsed="false">
      <c r="A477" s="17"/>
      <c r="B477" s="40"/>
      <c r="C477" s="41"/>
      <c r="D477" s="17"/>
      <c r="E477" s="17"/>
      <c r="F477" s="17"/>
      <c r="G477" s="17"/>
      <c r="H477" s="17"/>
      <c r="I477" s="42"/>
      <c r="J477" s="17"/>
      <c r="K477" s="17"/>
      <c r="L477" s="17"/>
      <c r="M477" s="17"/>
      <c r="N477" s="40"/>
      <c r="O477" s="41"/>
      <c r="P477" s="43" t="str">
        <f aca="false">IF(OR(B477="",N477=""),"",ROUND(((N477+N(O477))-(B477+N(C477)))*24,1))</f>
        <v/>
      </c>
      <c r="Q477" s="17"/>
      <c r="R477" s="17"/>
      <c r="S477" s="17"/>
      <c r="T477" s="17"/>
      <c r="U477" s="17"/>
      <c r="V477" s="17"/>
      <c r="W477" s="44" t="str">
        <f aca="false">IF(OR(E477="",COUNTA(Q477:V477)=0),"",SUMIFS(Settings!$AA$2:$AA$21,Settings!$Y$2:$Y$21,"Budget AED 5k+/mo?",Settings!$Z$2:$Z$21,Q477)+SUMIFS(Settings!$AA$2:$AA$21,Settings!$Y$2:$Y$21,"Decision-maker?",Settings!$Z$2:$Z$21,R477)+SUMIFS(Settings!$AA$2:$AA$21,Settings!$Y$2:$Y$21,"Someone on camera?",Settings!$Z$2:$Z$21,S477)+SUMIFS(Settings!$AA$2:$AA$21,Settings!$Y$2:$Y$21,"OK with 3-month term?",Settings!$Z$2:$Z$21,T477)+SUMIFS(Settings!$AA$2:$AA$21,Settings!$Y$2:$Y$21,"Start timeline",Settings!$Z$2:$Z$21,U477)+SUMIFS(Settings!$AA$2:$AA$21,Settings!$Y$2:$Y$21,"Social media gap",Settings!$Z$2:$Z$21,V477)+IF(F477="",0,IF(COUNTIF(Settings!$AC$2:$AC$6,F477)&gt;0,Settings!$AA$20,Settings!$AA$21)))</f>
        <v/>
      </c>
      <c r="X477" s="44" t="str">
        <f aca="false">IF(E477="","",IF(COUNTA(Q477:V477)=0,"Not scored",IF(COUNTA(Q477:V477)&lt;6,"Partly scored ("&amp;COUNTA(Q477:V477)&amp;"/6)",IF(W477&gt;=Settings!$S$8,"Hot",IF(W477&gt;=Settings!$S$9,"Warm","Cold")))))</f>
        <v/>
      </c>
      <c r="Y477" s="44" t="str">
        <f aca="false">IF(E477="","",IF(AND(Q477="No",S477="No"),"🚩 Budget  ·  🚩 No one on camera",IF(Q477="No","🚩 Budget under AED 5k",IF(S477="No","🚩 No one on camera",""))))</f>
        <v/>
      </c>
      <c r="Z477" s="17"/>
      <c r="AA477" s="17"/>
      <c r="AB477" s="40"/>
      <c r="AC477" s="17"/>
      <c r="AD477" s="45" t="str">
        <f aca="false">IF(OR(E477="",AB477="",OR(AA477="Contract signed + paid",AA477="Closed – No response",AA477="Lost"),N(AC477)&gt;=Settings!$S$3),"",AB477+Settings!$S$2)</f>
        <v/>
      </c>
      <c r="AE477" s="40"/>
      <c r="AF477" s="41"/>
      <c r="AG477" s="17"/>
      <c r="AH477" s="17"/>
      <c r="AI477" s="17"/>
      <c r="AJ477" s="46" t="str">
        <f aca="true">IF(OR(E477="",B477=""),"",INT(TODAY()-B477))</f>
        <v/>
      </c>
      <c r="AK477" s="44" t="str">
        <f aca="true">IF(E477="","",IF(OR(COUNTIFS(Clients!$C$2:$C$501,E477,Clients!$S$2:$S$501,"Paid")&gt;0,AND(I477&lt;&gt;"",COUNTIFS(Clients!$E$2:$E$501,I477,Clients!$S$2:$S$501,"Paid")&gt;0)),"⚠ Refunded before – no free video",IF(OR(AA477="Contract signed + paid",AA477="Closed – No response",AA477="Lost"),"",IF(AA477="","Set a stage",IF(AND(AA477="Proposal sent",COUNTA(Q477:V477)&lt;6),"Score this lead – proposal sent unscored",IF(N(AC477)&gt;=Settings!$S$3,"Close – 4 follow-ups sent",IF(AD477="",IF(AB477="","Make first contact",""),IF(TODAY()&gt;AD477,"OVERDUE follow-up",IF(TODAY()=AD477,"Follow up today","")))))))))</f>
        <v/>
      </c>
    </row>
    <row r="478" customFormat="false" ht="15" hidden="false" customHeight="false" outlineLevel="0" collapsed="false">
      <c r="A478" s="17"/>
      <c r="B478" s="40"/>
      <c r="C478" s="41"/>
      <c r="D478" s="17"/>
      <c r="E478" s="17"/>
      <c r="F478" s="17"/>
      <c r="G478" s="17"/>
      <c r="H478" s="17"/>
      <c r="I478" s="42"/>
      <c r="J478" s="17"/>
      <c r="K478" s="17"/>
      <c r="L478" s="17"/>
      <c r="M478" s="17"/>
      <c r="N478" s="40"/>
      <c r="O478" s="41"/>
      <c r="P478" s="43" t="str">
        <f aca="false">IF(OR(B478="",N478=""),"",ROUND(((N478+N(O478))-(B478+N(C478)))*24,1))</f>
        <v/>
      </c>
      <c r="Q478" s="17"/>
      <c r="R478" s="17"/>
      <c r="S478" s="17"/>
      <c r="T478" s="17"/>
      <c r="U478" s="17"/>
      <c r="V478" s="17"/>
      <c r="W478" s="44" t="str">
        <f aca="false">IF(OR(E478="",COUNTA(Q478:V478)=0),"",SUMIFS(Settings!$AA$2:$AA$21,Settings!$Y$2:$Y$21,"Budget AED 5k+/mo?",Settings!$Z$2:$Z$21,Q478)+SUMIFS(Settings!$AA$2:$AA$21,Settings!$Y$2:$Y$21,"Decision-maker?",Settings!$Z$2:$Z$21,R478)+SUMIFS(Settings!$AA$2:$AA$21,Settings!$Y$2:$Y$21,"Someone on camera?",Settings!$Z$2:$Z$21,S478)+SUMIFS(Settings!$AA$2:$AA$21,Settings!$Y$2:$Y$21,"OK with 3-month term?",Settings!$Z$2:$Z$21,T478)+SUMIFS(Settings!$AA$2:$AA$21,Settings!$Y$2:$Y$21,"Start timeline",Settings!$Z$2:$Z$21,U478)+SUMIFS(Settings!$AA$2:$AA$21,Settings!$Y$2:$Y$21,"Social media gap",Settings!$Z$2:$Z$21,V478)+IF(F478="",0,IF(COUNTIF(Settings!$AC$2:$AC$6,F478)&gt;0,Settings!$AA$20,Settings!$AA$21)))</f>
        <v/>
      </c>
      <c r="X478" s="44" t="str">
        <f aca="false">IF(E478="","",IF(COUNTA(Q478:V478)=0,"Not scored",IF(COUNTA(Q478:V478)&lt;6,"Partly scored ("&amp;COUNTA(Q478:V478)&amp;"/6)",IF(W478&gt;=Settings!$S$8,"Hot",IF(W478&gt;=Settings!$S$9,"Warm","Cold")))))</f>
        <v/>
      </c>
      <c r="Y478" s="44" t="str">
        <f aca="false">IF(E478="","",IF(AND(Q478="No",S478="No"),"🚩 Budget  ·  🚩 No one on camera",IF(Q478="No","🚩 Budget under AED 5k",IF(S478="No","🚩 No one on camera",""))))</f>
        <v/>
      </c>
      <c r="Z478" s="17"/>
      <c r="AA478" s="17"/>
      <c r="AB478" s="40"/>
      <c r="AC478" s="17"/>
      <c r="AD478" s="45" t="str">
        <f aca="false">IF(OR(E478="",AB478="",OR(AA478="Contract signed + paid",AA478="Closed – No response",AA478="Lost"),N(AC478)&gt;=Settings!$S$3),"",AB478+Settings!$S$2)</f>
        <v/>
      </c>
      <c r="AE478" s="40"/>
      <c r="AF478" s="41"/>
      <c r="AG478" s="17"/>
      <c r="AH478" s="17"/>
      <c r="AI478" s="17"/>
      <c r="AJ478" s="46" t="str">
        <f aca="true">IF(OR(E478="",B478=""),"",INT(TODAY()-B478))</f>
        <v/>
      </c>
      <c r="AK478" s="44" t="str">
        <f aca="true">IF(E478="","",IF(OR(COUNTIFS(Clients!$C$2:$C$501,E478,Clients!$S$2:$S$501,"Paid")&gt;0,AND(I478&lt;&gt;"",COUNTIFS(Clients!$E$2:$E$501,I478,Clients!$S$2:$S$501,"Paid")&gt;0)),"⚠ Refunded before – no free video",IF(OR(AA478="Contract signed + paid",AA478="Closed – No response",AA478="Lost"),"",IF(AA478="","Set a stage",IF(AND(AA478="Proposal sent",COUNTA(Q478:V478)&lt;6),"Score this lead – proposal sent unscored",IF(N(AC478)&gt;=Settings!$S$3,"Close – 4 follow-ups sent",IF(AD478="",IF(AB478="","Make first contact",""),IF(TODAY()&gt;AD478,"OVERDUE follow-up",IF(TODAY()=AD478,"Follow up today","")))))))))</f>
        <v/>
      </c>
    </row>
    <row r="479" customFormat="false" ht="15" hidden="false" customHeight="false" outlineLevel="0" collapsed="false">
      <c r="A479" s="17"/>
      <c r="B479" s="40"/>
      <c r="C479" s="41"/>
      <c r="D479" s="17"/>
      <c r="E479" s="17"/>
      <c r="F479" s="17"/>
      <c r="G479" s="17"/>
      <c r="H479" s="17"/>
      <c r="I479" s="42"/>
      <c r="J479" s="17"/>
      <c r="K479" s="17"/>
      <c r="L479" s="17"/>
      <c r="M479" s="17"/>
      <c r="N479" s="40"/>
      <c r="O479" s="41"/>
      <c r="P479" s="43" t="str">
        <f aca="false">IF(OR(B479="",N479=""),"",ROUND(((N479+N(O479))-(B479+N(C479)))*24,1))</f>
        <v/>
      </c>
      <c r="Q479" s="17"/>
      <c r="R479" s="17"/>
      <c r="S479" s="17"/>
      <c r="T479" s="17"/>
      <c r="U479" s="17"/>
      <c r="V479" s="17"/>
      <c r="W479" s="44" t="str">
        <f aca="false">IF(OR(E479="",COUNTA(Q479:V479)=0),"",SUMIFS(Settings!$AA$2:$AA$21,Settings!$Y$2:$Y$21,"Budget AED 5k+/mo?",Settings!$Z$2:$Z$21,Q479)+SUMIFS(Settings!$AA$2:$AA$21,Settings!$Y$2:$Y$21,"Decision-maker?",Settings!$Z$2:$Z$21,R479)+SUMIFS(Settings!$AA$2:$AA$21,Settings!$Y$2:$Y$21,"Someone on camera?",Settings!$Z$2:$Z$21,S479)+SUMIFS(Settings!$AA$2:$AA$21,Settings!$Y$2:$Y$21,"OK with 3-month term?",Settings!$Z$2:$Z$21,T479)+SUMIFS(Settings!$AA$2:$AA$21,Settings!$Y$2:$Y$21,"Start timeline",Settings!$Z$2:$Z$21,U479)+SUMIFS(Settings!$AA$2:$AA$21,Settings!$Y$2:$Y$21,"Social media gap",Settings!$Z$2:$Z$21,V479)+IF(F479="",0,IF(COUNTIF(Settings!$AC$2:$AC$6,F479)&gt;0,Settings!$AA$20,Settings!$AA$21)))</f>
        <v/>
      </c>
      <c r="X479" s="44" t="str">
        <f aca="false">IF(E479="","",IF(COUNTA(Q479:V479)=0,"Not scored",IF(COUNTA(Q479:V479)&lt;6,"Partly scored ("&amp;COUNTA(Q479:V479)&amp;"/6)",IF(W479&gt;=Settings!$S$8,"Hot",IF(W479&gt;=Settings!$S$9,"Warm","Cold")))))</f>
        <v/>
      </c>
      <c r="Y479" s="44" t="str">
        <f aca="false">IF(E479="","",IF(AND(Q479="No",S479="No"),"🚩 Budget  ·  🚩 No one on camera",IF(Q479="No","🚩 Budget under AED 5k",IF(S479="No","🚩 No one on camera",""))))</f>
        <v/>
      </c>
      <c r="Z479" s="17"/>
      <c r="AA479" s="17"/>
      <c r="AB479" s="40"/>
      <c r="AC479" s="17"/>
      <c r="AD479" s="45" t="str">
        <f aca="false">IF(OR(E479="",AB479="",OR(AA479="Contract signed + paid",AA479="Closed – No response",AA479="Lost"),N(AC479)&gt;=Settings!$S$3),"",AB479+Settings!$S$2)</f>
        <v/>
      </c>
      <c r="AE479" s="40"/>
      <c r="AF479" s="41"/>
      <c r="AG479" s="17"/>
      <c r="AH479" s="17"/>
      <c r="AI479" s="17"/>
      <c r="AJ479" s="46" t="str">
        <f aca="true">IF(OR(E479="",B479=""),"",INT(TODAY()-B479))</f>
        <v/>
      </c>
      <c r="AK479" s="44" t="str">
        <f aca="true">IF(E479="","",IF(OR(COUNTIFS(Clients!$C$2:$C$501,E479,Clients!$S$2:$S$501,"Paid")&gt;0,AND(I479&lt;&gt;"",COUNTIFS(Clients!$E$2:$E$501,I479,Clients!$S$2:$S$501,"Paid")&gt;0)),"⚠ Refunded before – no free video",IF(OR(AA479="Contract signed + paid",AA479="Closed – No response",AA479="Lost"),"",IF(AA479="","Set a stage",IF(AND(AA479="Proposal sent",COUNTA(Q479:V479)&lt;6),"Score this lead – proposal sent unscored",IF(N(AC479)&gt;=Settings!$S$3,"Close – 4 follow-ups sent",IF(AD479="",IF(AB479="","Make first contact",""),IF(TODAY()&gt;AD479,"OVERDUE follow-up",IF(TODAY()=AD479,"Follow up today","")))))))))</f>
        <v/>
      </c>
    </row>
    <row r="480" customFormat="false" ht="15" hidden="false" customHeight="false" outlineLevel="0" collapsed="false">
      <c r="A480" s="17"/>
      <c r="B480" s="40"/>
      <c r="C480" s="41"/>
      <c r="D480" s="17"/>
      <c r="E480" s="17"/>
      <c r="F480" s="17"/>
      <c r="G480" s="17"/>
      <c r="H480" s="17"/>
      <c r="I480" s="42"/>
      <c r="J480" s="17"/>
      <c r="K480" s="17"/>
      <c r="L480" s="17"/>
      <c r="M480" s="17"/>
      <c r="N480" s="40"/>
      <c r="O480" s="41"/>
      <c r="P480" s="43" t="str">
        <f aca="false">IF(OR(B480="",N480=""),"",ROUND(((N480+N(O480))-(B480+N(C480)))*24,1))</f>
        <v/>
      </c>
      <c r="Q480" s="17"/>
      <c r="R480" s="17"/>
      <c r="S480" s="17"/>
      <c r="T480" s="17"/>
      <c r="U480" s="17"/>
      <c r="V480" s="17"/>
      <c r="W480" s="44" t="str">
        <f aca="false">IF(OR(E480="",COUNTA(Q480:V480)=0),"",SUMIFS(Settings!$AA$2:$AA$21,Settings!$Y$2:$Y$21,"Budget AED 5k+/mo?",Settings!$Z$2:$Z$21,Q480)+SUMIFS(Settings!$AA$2:$AA$21,Settings!$Y$2:$Y$21,"Decision-maker?",Settings!$Z$2:$Z$21,R480)+SUMIFS(Settings!$AA$2:$AA$21,Settings!$Y$2:$Y$21,"Someone on camera?",Settings!$Z$2:$Z$21,S480)+SUMIFS(Settings!$AA$2:$AA$21,Settings!$Y$2:$Y$21,"OK with 3-month term?",Settings!$Z$2:$Z$21,T480)+SUMIFS(Settings!$AA$2:$AA$21,Settings!$Y$2:$Y$21,"Start timeline",Settings!$Z$2:$Z$21,U480)+SUMIFS(Settings!$AA$2:$AA$21,Settings!$Y$2:$Y$21,"Social media gap",Settings!$Z$2:$Z$21,V480)+IF(F480="",0,IF(COUNTIF(Settings!$AC$2:$AC$6,F480)&gt;0,Settings!$AA$20,Settings!$AA$21)))</f>
        <v/>
      </c>
      <c r="X480" s="44" t="str">
        <f aca="false">IF(E480="","",IF(COUNTA(Q480:V480)=0,"Not scored",IF(COUNTA(Q480:V480)&lt;6,"Partly scored ("&amp;COUNTA(Q480:V480)&amp;"/6)",IF(W480&gt;=Settings!$S$8,"Hot",IF(W480&gt;=Settings!$S$9,"Warm","Cold")))))</f>
        <v/>
      </c>
      <c r="Y480" s="44" t="str">
        <f aca="false">IF(E480="","",IF(AND(Q480="No",S480="No"),"🚩 Budget  ·  🚩 No one on camera",IF(Q480="No","🚩 Budget under AED 5k",IF(S480="No","🚩 No one on camera",""))))</f>
        <v/>
      </c>
      <c r="Z480" s="17"/>
      <c r="AA480" s="17"/>
      <c r="AB480" s="40"/>
      <c r="AC480" s="17"/>
      <c r="AD480" s="45" t="str">
        <f aca="false">IF(OR(E480="",AB480="",OR(AA480="Contract signed + paid",AA480="Closed – No response",AA480="Lost"),N(AC480)&gt;=Settings!$S$3),"",AB480+Settings!$S$2)</f>
        <v/>
      </c>
      <c r="AE480" s="40"/>
      <c r="AF480" s="41"/>
      <c r="AG480" s="17"/>
      <c r="AH480" s="17"/>
      <c r="AI480" s="17"/>
      <c r="AJ480" s="46" t="str">
        <f aca="true">IF(OR(E480="",B480=""),"",INT(TODAY()-B480))</f>
        <v/>
      </c>
      <c r="AK480" s="44" t="str">
        <f aca="true">IF(E480="","",IF(OR(COUNTIFS(Clients!$C$2:$C$501,E480,Clients!$S$2:$S$501,"Paid")&gt;0,AND(I480&lt;&gt;"",COUNTIFS(Clients!$E$2:$E$501,I480,Clients!$S$2:$S$501,"Paid")&gt;0)),"⚠ Refunded before – no free video",IF(OR(AA480="Contract signed + paid",AA480="Closed – No response",AA480="Lost"),"",IF(AA480="","Set a stage",IF(AND(AA480="Proposal sent",COUNTA(Q480:V480)&lt;6),"Score this lead – proposal sent unscored",IF(N(AC480)&gt;=Settings!$S$3,"Close – 4 follow-ups sent",IF(AD480="",IF(AB480="","Make first contact",""),IF(TODAY()&gt;AD480,"OVERDUE follow-up",IF(TODAY()=AD480,"Follow up today","")))))))))</f>
        <v/>
      </c>
    </row>
    <row r="481" customFormat="false" ht="15" hidden="false" customHeight="false" outlineLevel="0" collapsed="false">
      <c r="A481" s="17"/>
      <c r="B481" s="40"/>
      <c r="C481" s="41"/>
      <c r="D481" s="17"/>
      <c r="E481" s="17"/>
      <c r="F481" s="17"/>
      <c r="G481" s="17"/>
      <c r="H481" s="17"/>
      <c r="I481" s="42"/>
      <c r="J481" s="17"/>
      <c r="K481" s="17"/>
      <c r="L481" s="17"/>
      <c r="M481" s="17"/>
      <c r="N481" s="40"/>
      <c r="O481" s="41"/>
      <c r="P481" s="43" t="str">
        <f aca="false">IF(OR(B481="",N481=""),"",ROUND(((N481+N(O481))-(B481+N(C481)))*24,1))</f>
        <v/>
      </c>
      <c r="Q481" s="17"/>
      <c r="R481" s="17"/>
      <c r="S481" s="17"/>
      <c r="T481" s="17"/>
      <c r="U481" s="17"/>
      <c r="V481" s="17"/>
      <c r="W481" s="44" t="str">
        <f aca="false">IF(OR(E481="",COUNTA(Q481:V481)=0),"",SUMIFS(Settings!$AA$2:$AA$21,Settings!$Y$2:$Y$21,"Budget AED 5k+/mo?",Settings!$Z$2:$Z$21,Q481)+SUMIFS(Settings!$AA$2:$AA$21,Settings!$Y$2:$Y$21,"Decision-maker?",Settings!$Z$2:$Z$21,R481)+SUMIFS(Settings!$AA$2:$AA$21,Settings!$Y$2:$Y$21,"Someone on camera?",Settings!$Z$2:$Z$21,S481)+SUMIFS(Settings!$AA$2:$AA$21,Settings!$Y$2:$Y$21,"OK with 3-month term?",Settings!$Z$2:$Z$21,T481)+SUMIFS(Settings!$AA$2:$AA$21,Settings!$Y$2:$Y$21,"Start timeline",Settings!$Z$2:$Z$21,U481)+SUMIFS(Settings!$AA$2:$AA$21,Settings!$Y$2:$Y$21,"Social media gap",Settings!$Z$2:$Z$21,V481)+IF(F481="",0,IF(COUNTIF(Settings!$AC$2:$AC$6,F481)&gt;0,Settings!$AA$20,Settings!$AA$21)))</f>
        <v/>
      </c>
      <c r="X481" s="44" t="str">
        <f aca="false">IF(E481="","",IF(COUNTA(Q481:V481)=0,"Not scored",IF(COUNTA(Q481:V481)&lt;6,"Partly scored ("&amp;COUNTA(Q481:V481)&amp;"/6)",IF(W481&gt;=Settings!$S$8,"Hot",IF(W481&gt;=Settings!$S$9,"Warm","Cold")))))</f>
        <v/>
      </c>
      <c r="Y481" s="44" t="str">
        <f aca="false">IF(E481="","",IF(AND(Q481="No",S481="No"),"🚩 Budget  ·  🚩 No one on camera",IF(Q481="No","🚩 Budget under AED 5k",IF(S481="No","🚩 No one on camera",""))))</f>
        <v/>
      </c>
      <c r="Z481" s="17"/>
      <c r="AA481" s="17"/>
      <c r="AB481" s="40"/>
      <c r="AC481" s="17"/>
      <c r="AD481" s="45" t="str">
        <f aca="false">IF(OR(E481="",AB481="",OR(AA481="Contract signed + paid",AA481="Closed – No response",AA481="Lost"),N(AC481)&gt;=Settings!$S$3),"",AB481+Settings!$S$2)</f>
        <v/>
      </c>
      <c r="AE481" s="40"/>
      <c r="AF481" s="41"/>
      <c r="AG481" s="17"/>
      <c r="AH481" s="17"/>
      <c r="AI481" s="17"/>
      <c r="AJ481" s="46" t="str">
        <f aca="true">IF(OR(E481="",B481=""),"",INT(TODAY()-B481))</f>
        <v/>
      </c>
      <c r="AK481" s="44" t="str">
        <f aca="true">IF(E481="","",IF(OR(COUNTIFS(Clients!$C$2:$C$501,E481,Clients!$S$2:$S$501,"Paid")&gt;0,AND(I481&lt;&gt;"",COUNTIFS(Clients!$E$2:$E$501,I481,Clients!$S$2:$S$501,"Paid")&gt;0)),"⚠ Refunded before – no free video",IF(OR(AA481="Contract signed + paid",AA481="Closed – No response",AA481="Lost"),"",IF(AA481="","Set a stage",IF(AND(AA481="Proposal sent",COUNTA(Q481:V481)&lt;6),"Score this lead – proposal sent unscored",IF(N(AC481)&gt;=Settings!$S$3,"Close – 4 follow-ups sent",IF(AD481="",IF(AB481="","Make first contact",""),IF(TODAY()&gt;AD481,"OVERDUE follow-up",IF(TODAY()=AD481,"Follow up today","")))))))))</f>
        <v/>
      </c>
    </row>
    <row r="482" customFormat="false" ht="15" hidden="false" customHeight="false" outlineLevel="0" collapsed="false">
      <c r="A482" s="17"/>
      <c r="B482" s="40"/>
      <c r="C482" s="41"/>
      <c r="D482" s="17"/>
      <c r="E482" s="17"/>
      <c r="F482" s="17"/>
      <c r="G482" s="17"/>
      <c r="H482" s="17"/>
      <c r="I482" s="42"/>
      <c r="J482" s="17"/>
      <c r="K482" s="17"/>
      <c r="L482" s="17"/>
      <c r="M482" s="17"/>
      <c r="N482" s="40"/>
      <c r="O482" s="41"/>
      <c r="P482" s="43" t="str">
        <f aca="false">IF(OR(B482="",N482=""),"",ROUND(((N482+N(O482))-(B482+N(C482)))*24,1))</f>
        <v/>
      </c>
      <c r="Q482" s="17"/>
      <c r="R482" s="17"/>
      <c r="S482" s="17"/>
      <c r="T482" s="17"/>
      <c r="U482" s="17"/>
      <c r="V482" s="17"/>
      <c r="W482" s="44" t="str">
        <f aca="false">IF(OR(E482="",COUNTA(Q482:V482)=0),"",SUMIFS(Settings!$AA$2:$AA$21,Settings!$Y$2:$Y$21,"Budget AED 5k+/mo?",Settings!$Z$2:$Z$21,Q482)+SUMIFS(Settings!$AA$2:$AA$21,Settings!$Y$2:$Y$21,"Decision-maker?",Settings!$Z$2:$Z$21,R482)+SUMIFS(Settings!$AA$2:$AA$21,Settings!$Y$2:$Y$21,"Someone on camera?",Settings!$Z$2:$Z$21,S482)+SUMIFS(Settings!$AA$2:$AA$21,Settings!$Y$2:$Y$21,"OK with 3-month term?",Settings!$Z$2:$Z$21,T482)+SUMIFS(Settings!$AA$2:$AA$21,Settings!$Y$2:$Y$21,"Start timeline",Settings!$Z$2:$Z$21,U482)+SUMIFS(Settings!$AA$2:$AA$21,Settings!$Y$2:$Y$21,"Social media gap",Settings!$Z$2:$Z$21,V482)+IF(F482="",0,IF(COUNTIF(Settings!$AC$2:$AC$6,F482)&gt;0,Settings!$AA$20,Settings!$AA$21)))</f>
        <v/>
      </c>
      <c r="X482" s="44" t="str">
        <f aca="false">IF(E482="","",IF(COUNTA(Q482:V482)=0,"Not scored",IF(COUNTA(Q482:V482)&lt;6,"Partly scored ("&amp;COUNTA(Q482:V482)&amp;"/6)",IF(W482&gt;=Settings!$S$8,"Hot",IF(W482&gt;=Settings!$S$9,"Warm","Cold")))))</f>
        <v/>
      </c>
      <c r="Y482" s="44" t="str">
        <f aca="false">IF(E482="","",IF(AND(Q482="No",S482="No"),"🚩 Budget  ·  🚩 No one on camera",IF(Q482="No","🚩 Budget under AED 5k",IF(S482="No","🚩 No one on camera",""))))</f>
        <v/>
      </c>
      <c r="Z482" s="17"/>
      <c r="AA482" s="17"/>
      <c r="AB482" s="40"/>
      <c r="AC482" s="17"/>
      <c r="AD482" s="45" t="str">
        <f aca="false">IF(OR(E482="",AB482="",OR(AA482="Contract signed + paid",AA482="Closed – No response",AA482="Lost"),N(AC482)&gt;=Settings!$S$3),"",AB482+Settings!$S$2)</f>
        <v/>
      </c>
      <c r="AE482" s="40"/>
      <c r="AF482" s="41"/>
      <c r="AG482" s="17"/>
      <c r="AH482" s="17"/>
      <c r="AI482" s="17"/>
      <c r="AJ482" s="46" t="str">
        <f aca="true">IF(OR(E482="",B482=""),"",INT(TODAY()-B482))</f>
        <v/>
      </c>
      <c r="AK482" s="44" t="str">
        <f aca="true">IF(E482="","",IF(OR(COUNTIFS(Clients!$C$2:$C$501,E482,Clients!$S$2:$S$501,"Paid")&gt;0,AND(I482&lt;&gt;"",COUNTIFS(Clients!$E$2:$E$501,I482,Clients!$S$2:$S$501,"Paid")&gt;0)),"⚠ Refunded before – no free video",IF(OR(AA482="Contract signed + paid",AA482="Closed – No response",AA482="Lost"),"",IF(AA482="","Set a stage",IF(AND(AA482="Proposal sent",COUNTA(Q482:V482)&lt;6),"Score this lead – proposal sent unscored",IF(N(AC482)&gt;=Settings!$S$3,"Close – 4 follow-ups sent",IF(AD482="",IF(AB482="","Make first contact",""),IF(TODAY()&gt;AD482,"OVERDUE follow-up",IF(TODAY()=AD482,"Follow up today","")))))))))</f>
        <v/>
      </c>
    </row>
    <row r="483" customFormat="false" ht="15" hidden="false" customHeight="false" outlineLevel="0" collapsed="false">
      <c r="A483" s="17"/>
      <c r="B483" s="40"/>
      <c r="C483" s="41"/>
      <c r="D483" s="17"/>
      <c r="E483" s="17"/>
      <c r="F483" s="17"/>
      <c r="G483" s="17"/>
      <c r="H483" s="17"/>
      <c r="I483" s="42"/>
      <c r="J483" s="17"/>
      <c r="K483" s="17"/>
      <c r="L483" s="17"/>
      <c r="M483" s="17"/>
      <c r="N483" s="40"/>
      <c r="O483" s="41"/>
      <c r="P483" s="43" t="str">
        <f aca="false">IF(OR(B483="",N483=""),"",ROUND(((N483+N(O483))-(B483+N(C483)))*24,1))</f>
        <v/>
      </c>
      <c r="Q483" s="17"/>
      <c r="R483" s="17"/>
      <c r="S483" s="17"/>
      <c r="T483" s="17"/>
      <c r="U483" s="17"/>
      <c r="V483" s="17"/>
      <c r="W483" s="44" t="str">
        <f aca="false">IF(OR(E483="",COUNTA(Q483:V483)=0),"",SUMIFS(Settings!$AA$2:$AA$21,Settings!$Y$2:$Y$21,"Budget AED 5k+/mo?",Settings!$Z$2:$Z$21,Q483)+SUMIFS(Settings!$AA$2:$AA$21,Settings!$Y$2:$Y$21,"Decision-maker?",Settings!$Z$2:$Z$21,R483)+SUMIFS(Settings!$AA$2:$AA$21,Settings!$Y$2:$Y$21,"Someone on camera?",Settings!$Z$2:$Z$21,S483)+SUMIFS(Settings!$AA$2:$AA$21,Settings!$Y$2:$Y$21,"OK with 3-month term?",Settings!$Z$2:$Z$21,T483)+SUMIFS(Settings!$AA$2:$AA$21,Settings!$Y$2:$Y$21,"Start timeline",Settings!$Z$2:$Z$21,U483)+SUMIFS(Settings!$AA$2:$AA$21,Settings!$Y$2:$Y$21,"Social media gap",Settings!$Z$2:$Z$21,V483)+IF(F483="",0,IF(COUNTIF(Settings!$AC$2:$AC$6,F483)&gt;0,Settings!$AA$20,Settings!$AA$21)))</f>
        <v/>
      </c>
      <c r="X483" s="44" t="str">
        <f aca="false">IF(E483="","",IF(COUNTA(Q483:V483)=0,"Not scored",IF(COUNTA(Q483:V483)&lt;6,"Partly scored ("&amp;COUNTA(Q483:V483)&amp;"/6)",IF(W483&gt;=Settings!$S$8,"Hot",IF(W483&gt;=Settings!$S$9,"Warm","Cold")))))</f>
        <v/>
      </c>
      <c r="Y483" s="44" t="str">
        <f aca="false">IF(E483="","",IF(AND(Q483="No",S483="No"),"🚩 Budget  ·  🚩 No one on camera",IF(Q483="No","🚩 Budget under AED 5k",IF(S483="No","🚩 No one on camera",""))))</f>
        <v/>
      </c>
      <c r="Z483" s="17"/>
      <c r="AA483" s="17"/>
      <c r="AB483" s="40"/>
      <c r="AC483" s="17"/>
      <c r="AD483" s="45" t="str">
        <f aca="false">IF(OR(E483="",AB483="",OR(AA483="Contract signed + paid",AA483="Closed – No response",AA483="Lost"),N(AC483)&gt;=Settings!$S$3),"",AB483+Settings!$S$2)</f>
        <v/>
      </c>
      <c r="AE483" s="40"/>
      <c r="AF483" s="41"/>
      <c r="AG483" s="17"/>
      <c r="AH483" s="17"/>
      <c r="AI483" s="17"/>
      <c r="AJ483" s="46" t="str">
        <f aca="true">IF(OR(E483="",B483=""),"",INT(TODAY()-B483))</f>
        <v/>
      </c>
      <c r="AK483" s="44" t="str">
        <f aca="true">IF(E483="","",IF(OR(COUNTIFS(Clients!$C$2:$C$501,E483,Clients!$S$2:$S$501,"Paid")&gt;0,AND(I483&lt;&gt;"",COUNTIFS(Clients!$E$2:$E$501,I483,Clients!$S$2:$S$501,"Paid")&gt;0)),"⚠ Refunded before – no free video",IF(OR(AA483="Contract signed + paid",AA483="Closed – No response",AA483="Lost"),"",IF(AA483="","Set a stage",IF(AND(AA483="Proposal sent",COUNTA(Q483:V483)&lt;6),"Score this lead – proposal sent unscored",IF(N(AC483)&gt;=Settings!$S$3,"Close – 4 follow-ups sent",IF(AD483="",IF(AB483="","Make first contact",""),IF(TODAY()&gt;AD483,"OVERDUE follow-up",IF(TODAY()=AD483,"Follow up today","")))))))))</f>
        <v/>
      </c>
    </row>
    <row r="484" customFormat="false" ht="15" hidden="false" customHeight="false" outlineLevel="0" collapsed="false">
      <c r="A484" s="17"/>
      <c r="B484" s="40"/>
      <c r="C484" s="41"/>
      <c r="D484" s="17"/>
      <c r="E484" s="17"/>
      <c r="F484" s="17"/>
      <c r="G484" s="17"/>
      <c r="H484" s="17"/>
      <c r="I484" s="42"/>
      <c r="J484" s="17"/>
      <c r="K484" s="17"/>
      <c r="L484" s="17"/>
      <c r="M484" s="17"/>
      <c r="N484" s="40"/>
      <c r="O484" s="41"/>
      <c r="P484" s="43" t="str">
        <f aca="false">IF(OR(B484="",N484=""),"",ROUND(((N484+N(O484))-(B484+N(C484)))*24,1))</f>
        <v/>
      </c>
      <c r="Q484" s="17"/>
      <c r="R484" s="17"/>
      <c r="S484" s="17"/>
      <c r="T484" s="17"/>
      <c r="U484" s="17"/>
      <c r="V484" s="17"/>
      <c r="W484" s="44" t="str">
        <f aca="false">IF(OR(E484="",COUNTA(Q484:V484)=0),"",SUMIFS(Settings!$AA$2:$AA$21,Settings!$Y$2:$Y$21,"Budget AED 5k+/mo?",Settings!$Z$2:$Z$21,Q484)+SUMIFS(Settings!$AA$2:$AA$21,Settings!$Y$2:$Y$21,"Decision-maker?",Settings!$Z$2:$Z$21,R484)+SUMIFS(Settings!$AA$2:$AA$21,Settings!$Y$2:$Y$21,"Someone on camera?",Settings!$Z$2:$Z$21,S484)+SUMIFS(Settings!$AA$2:$AA$21,Settings!$Y$2:$Y$21,"OK with 3-month term?",Settings!$Z$2:$Z$21,T484)+SUMIFS(Settings!$AA$2:$AA$21,Settings!$Y$2:$Y$21,"Start timeline",Settings!$Z$2:$Z$21,U484)+SUMIFS(Settings!$AA$2:$AA$21,Settings!$Y$2:$Y$21,"Social media gap",Settings!$Z$2:$Z$21,V484)+IF(F484="",0,IF(COUNTIF(Settings!$AC$2:$AC$6,F484)&gt;0,Settings!$AA$20,Settings!$AA$21)))</f>
        <v/>
      </c>
      <c r="X484" s="44" t="str">
        <f aca="false">IF(E484="","",IF(COUNTA(Q484:V484)=0,"Not scored",IF(COUNTA(Q484:V484)&lt;6,"Partly scored ("&amp;COUNTA(Q484:V484)&amp;"/6)",IF(W484&gt;=Settings!$S$8,"Hot",IF(W484&gt;=Settings!$S$9,"Warm","Cold")))))</f>
        <v/>
      </c>
      <c r="Y484" s="44" t="str">
        <f aca="false">IF(E484="","",IF(AND(Q484="No",S484="No"),"🚩 Budget  ·  🚩 No one on camera",IF(Q484="No","🚩 Budget under AED 5k",IF(S484="No","🚩 No one on camera",""))))</f>
        <v/>
      </c>
      <c r="Z484" s="17"/>
      <c r="AA484" s="17"/>
      <c r="AB484" s="40"/>
      <c r="AC484" s="17"/>
      <c r="AD484" s="45" t="str">
        <f aca="false">IF(OR(E484="",AB484="",OR(AA484="Contract signed + paid",AA484="Closed – No response",AA484="Lost"),N(AC484)&gt;=Settings!$S$3),"",AB484+Settings!$S$2)</f>
        <v/>
      </c>
      <c r="AE484" s="40"/>
      <c r="AF484" s="41"/>
      <c r="AG484" s="17"/>
      <c r="AH484" s="17"/>
      <c r="AI484" s="17"/>
      <c r="AJ484" s="46" t="str">
        <f aca="true">IF(OR(E484="",B484=""),"",INT(TODAY()-B484))</f>
        <v/>
      </c>
      <c r="AK484" s="44" t="str">
        <f aca="true">IF(E484="","",IF(OR(COUNTIFS(Clients!$C$2:$C$501,E484,Clients!$S$2:$S$501,"Paid")&gt;0,AND(I484&lt;&gt;"",COUNTIFS(Clients!$E$2:$E$501,I484,Clients!$S$2:$S$501,"Paid")&gt;0)),"⚠ Refunded before – no free video",IF(OR(AA484="Contract signed + paid",AA484="Closed – No response",AA484="Lost"),"",IF(AA484="","Set a stage",IF(AND(AA484="Proposal sent",COUNTA(Q484:V484)&lt;6),"Score this lead – proposal sent unscored",IF(N(AC484)&gt;=Settings!$S$3,"Close – 4 follow-ups sent",IF(AD484="",IF(AB484="","Make first contact",""),IF(TODAY()&gt;AD484,"OVERDUE follow-up",IF(TODAY()=AD484,"Follow up today","")))))))))</f>
        <v/>
      </c>
    </row>
    <row r="485" customFormat="false" ht="15" hidden="false" customHeight="false" outlineLevel="0" collapsed="false">
      <c r="A485" s="17"/>
      <c r="B485" s="40"/>
      <c r="C485" s="41"/>
      <c r="D485" s="17"/>
      <c r="E485" s="17"/>
      <c r="F485" s="17"/>
      <c r="G485" s="17"/>
      <c r="H485" s="17"/>
      <c r="I485" s="42"/>
      <c r="J485" s="17"/>
      <c r="K485" s="17"/>
      <c r="L485" s="17"/>
      <c r="M485" s="17"/>
      <c r="N485" s="40"/>
      <c r="O485" s="41"/>
      <c r="P485" s="43" t="str">
        <f aca="false">IF(OR(B485="",N485=""),"",ROUND(((N485+N(O485))-(B485+N(C485)))*24,1))</f>
        <v/>
      </c>
      <c r="Q485" s="17"/>
      <c r="R485" s="17"/>
      <c r="S485" s="17"/>
      <c r="T485" s="17"/>
      <c r="U485" s="17"/>
      <c r="V485" s="17"/>
      <c r="W485" s="44" t="str">
        <f aca="false">IF(OR(E485="",COUNTA(Q485:V485)=0),"",SUMIFS(Settings!$AA$2:$AA$21,Settings!$Y$2:$Y$21,"Budget AED 5k+/mo?",Settings!$Z$2:$Z$21,Q485)+SUMIFS(Settings!$AA$2:$AA$21,Settings!$Y$2:$Y$21,"Decision-maker?",Settings!$Z$2:$Z$21,R485)+SUMIFS(Settings!$AA$2:$AA$21,Settings!$Y$2:$Y$21,"Someone on camera?",Settings!$Z$2:$Z$21,S485)+SUMIFS(Settings!$AA$2:$AA$21,Settings!$Y$2:$Y$21,"OK with 3-month term?",Settings!$Z$2:$Z$21,T485)+SUMIFS(Settings!$AA$2:$AA$21,Settings!$Y$2:$Y$21,"Start timeline",Settings!$Z$2:$Z$21,U485)+SUMIFS(Settings!$AA$2:$AA$21,Settings!$Y$2:$Y$21,"Social media gap",Settings!$Z$2:$Z$21,V485)+IF(F485="",0,IF(COUNTIF(Settings!$AC$2:$AC$6,F485)&gt;0,Settings!$AA$20,Settings!$AA$21)))</f>
        <v/>
      </c>
      <c r="X485" s="44" t="str">
        <f aca="false">IF(E485="","",IF(COUNTA(Q485:V485)=0,"Not scored",IF(COUNTA(Q485:V485)&lt;6,"Partly scored ("&amp;COUNTA(Q485:V485)&amp;"/6)",IF(W485&gt;=Settings!$S$8,"Hot",IF(W485&gt;=Settings!$S$9,"Warm","Cold")))))</f>
        <v/>
      </c>
      <c r="Y485" s="44" t="str">
        <f aca="false">IF(E485="","",IF(AND(Q485="No",S485="No"),"🚩 Budget  ·  🚩 No one on camera",IF(Q485="No","🚩 Budget under AED 5k",IF(S485="No","🚩 No one on camera",""))))</f>
        <v/>
      </c>
      <c r="Z485" s="17"/>
      <c r="AA485" s="17"/>
      <c r="AB485" s="40"/>
      <c r="AC485" s="17"/>
      <c r="AD485" s="45" t="str">
        <f aca="false">IF(OR(E485="",AB485="",OR(AA485="Contract signed + paid",AA485="Closed – No response",AA485="Lost"),N(AC485)&gt;=Settings!$S$3),"",AB485+Settings!$S$2)</f>
        <v/>
      </c>
      <c r="AE485" s="40"/>
      <c r="AF485" s="41"/>
      <c r="AG485" s="17"/>
      <c r="AH485" s="17"/>
      <c r="AI485" s="17"/>
      <c r="AJ485" s="46" t="str">
        <f aca="true">IF(OR(E485="",B485=""),"",INT(TODAY()-B485))</f>
        <v/>
      </c>
      <c r="AK485" s="44" t="str">
        <f aca="true">IF(E485="","",IF(OR(COUNTIFS(Clients!$C$2:$C$501,E485,Clients!$S$2:$S$501,"Paid")&gt;0,AND(I485&lt;&gt;"",COUNTIFS(Clients!$E$2:$E$501,I485,Clients!$S$2:$S$501,"Paid")&gt;0)),"⚠ Refunded before – no free video",IF(OR(AA485="Contract signed + paid",AA485="Closed – No response",AA485="Lost"),"",IF(AA485="","Set a stage",IF(AND(AA485="Proposal sent",COUNTA(Q485:V485)&lt;6),"Score this lead – proposal sent unscored",IF(N(AC485)&gt;=Settings!$S$3,"Close – 4 follow-ups sent",IF(AD485="",IF(AB485="","Make first contact",""),IF(TODAY()&gt;AD485,"OVERDUE follow-up",IF(TODAY()=AD485,"Follow up today","")))))))))</f>
        <v/>
      </c>
    </row>
    <row r="486" customFormat="false" ht="15" hidden="false" customHeight="false" outlineLevel="0" collapsed="false">
      <c r="A486" s="17"/>
      <c r="B486" s="40"/>
      <c r="C486" s="41"/>
      <c r="D486" s="17"/>
      <c r="E486" s="17"/>
      <c r="F486" s="17"/>
      <c r="G486" s="17"/>
      <c r="H486" s="17"/>
      <c r="I486" s="42"/>
      <c r="J486" s="17"/>
      <c r="K486" s="17"/>
      <c r="L486" s="17"/>
      <c r="M486" s="17"/>
      <c r="N486" s="40"/>
      <c r="O486" s="41"/>
      <c r="P486" s="43" t="str">
        <f aca="false">IF(OR(B486="",N486=""),"",ROUND(((N486+N(O486))-(B486+N(C486)))*24,1))</f>
        <v/>
      </c>
      <c r="Q486" s="17"/>
      <c r="R486" s="17"/>
      <c r="S486" s="17"/>
      <c r="T486" s="17"/>
      <c r="U486" s="17"/>
      <c r="V486" s="17"/>
      <c r="W486" s="44" t="str">
        <f aca="false">IF(OR(E486="",COUNTA(Q486:V486)=0),"",SUMIFS(Settings!$AA$2:$AA$21,Settings!$Y$2:$Y$21,"Budget AED 5k+/mo?",Settings!$Z$2:$Z$21,Q486)+SUMIFS(Settings!$AA$2:$AA$21,Settings!$Y$2:$Y$21,"Decision-maker?",Settings!$Z$2:$Z$21,R486)+SUMIFS(Settings!$AA$2:$AA$21,Settings!$Y$2:$Y$21,"Someone on camera?",Settings!$Z$2:$Z$21,S486)+SUMIFS(Settings!$AA$2:$AA$21,Settings!$Y$2:$Y$21,"OK with 3-month term?",Settings!$Z$2:$Z$21,T486)+SUMIFS(Settings!$AA$2:$AA$21,Settings!$Y$2:$Y$21,"Start timeline",Settings!$Z$2:$Z$21,U486)+SUMIFS(Settings!$AA$2:$AA$21,Settings!$Y$2:$Y$21,"Social media gap",Settings!$Z$2:$Z$21,V486)+IF(F486="",0,IF(COUNTIF(Settings!$AC$2:$AC$6,F486)&gt;0,Settings!$AA$20,Settings!$AA$21)))</f>
        <v/>
      </c>
      <c r="X486" s="44" t="str">
        <f aca="false">IF(E486="","",IF(COUNTA(Q486:V486)=0,"Not scored",IF(COUNTA(Q486:V486)&lt;6,"Partly scored ("&amp;COUNTA(Q486:V486)&amp;"/6)",IF(W486&gt;=Settings!$S$8,"Hot",IF(W486&gt;=Settings!$S$9,"Warm","Cold")))))</f>
        <v/>
      </c>
      <c r="Y486" s="44" t="str">
        <f aca="false">IF(E486="","",IF(AND(Q486="No",S486="No"),"🚩 Budget  ·  🚩 No one on camera",IF(Q486="No","🚩 Budget under AED 5k",IF(S486="No","🚩 No one on camera",""))))</f>
        <v/>
      </c>
      <c r="Z486" s="17"/>
      <c r="AA486" s="17"/>
      <c r="AB486" s="40"/>
      <c r="AC486" s="17"/>
      <c r="AD486" s="45" t="str">
        <f aca="false">IF(OR(E486="",AB486="",OR(AA486="Contract signed + paid",AA486="Closed – No response",AA486="Lost"),N(AC486)&gt;=Settings!$S$3),"",AB486+Settings!$S$2)</f>
        <v/>
      </c>
      <c r="AE486" s="40"/>
      <c r="AF486" s="41"/>
      <c r="AG486" s="17"/>
      <c r="AH486" s="17"/>
      <c r="AI486" s="17"/>
      <c r="AJ486" s="46" t="str">
        <f aca="true">IF(OR(E486="",B486=""),"",INT(TODAY()-B486))</f>
        <v/>
      </c>
      <c r="AK486" s="44" t="str">
        <f aca="true">IF(E486="","",IF(OR(COUNTIFS(Clients!$C$2:$C$501,E486,Clients!$S$2:$S$501,"Paid")&gt;0,AND(I486&lt;&gt;"",COUNTIFS(Clients!$E$2:$E$501,I486,Clients!$S$2:$S$501,"Paid")&gt;0)),"⚠ Refunded before – no free video",IF(OR(AA486="Contract signed + paid",AA486="Closed – No response",AA486="Lost"),"",IF(AA486="","Set a stage",IF(AND(AA486="Proposal sent",COUNTA(Q486:V486)&lt;6),"Score this lead – proposal sent unscored",IF(N(AC486)&gt;=Settings!$S$3,"Close – 4 follow-ups sent",IF(AD486="",IF(AB486="","Make first contact",""),IF(TODAY()&gt;AD486,"OVERDUE follow-up",IF(TODAY()=AD486,"Follow up today","")))))))))</f>
        <v/>
      </c>
    </row>
    <row r="487" customFormat="false" ht="15" hidden="false" customHeight="false" outlineLevel="0" collapsed="false">
      <c r="A487" s="17"/>
      <c r="B487" s="40"/>
      <c r="C487" s="41"/>
      <c r="D487" s="17"/>
      <c r="E487" s="17"/>
      <c r="F487" s="17"/>
      <c r="G487" s="17"/>
      <c r="H487" s="17"/>
      <c r="I487" s="42"/>
      <c r="J487" s="17"/>
      <c r="K487" s="17"/>
      <c r="L487" s="17"/>
      <c r="M487" s="17"/>
      <c r="N487" s="40"/>
      <c r="O487" s="41"/>
      <c r="P487" s="43" t="str">
        <f aca="false">IF(OR(B487="",N487=""),"",ROUND(((N487+N(O487))-(B487+N(C487)))*24,1))</f>
        <v/>
      </c>
      <c r="Q487" s="17"/>
      <c r="R487" s="17"/>
      <c r="S487" s="17"/>
      <c r="T487" s="17"/>
      <c r="U487" s="17"/>
      <c r="V487" s="17"/>
      <c r="W487" s="44" t="str">
        <f aca="false">IF(OR(E487="",COUNTA(Q487:V487)=0),"",SUMIFS(Settings!$AA$2:$AA$21,Settings!$Y$2:$Y$21,"Budget AED 5k+/mo?",Settings!$Z$2:$Z$21,Q487)+SUMIFS(Settings!$AA$2:$AA$21,Settings!$Y$2:$Y$21,"Decision-maker?",Settings!$Z$2:$Z$21,R487)+SUMIFS(Settings!$AA$2:$AA$21,Settings!$Y$2:$Y$21,"Someone on camera?",Settings!$Z$2:$Z$21,S487)+SUMIFS(Settings!$AA$2:$AA$21,Settings!$Y$2:$Y$21,"OK with 3-month term?",Settings!$Z$2:$Z$21,T487)+SUMIFS(Settings!$AA$2:$AA$21,Settings!$Y$2:$Y$21,"Start timeline",Settings!$Z$2:$Z$21,U487)+SUMIFS(Settings!$AA$2:$AA$21,Settings!$Y$2:$Y$21,"Social media gap",Settings!$Z$2:$Z$21,V487)+IF(F487="",0,IF(COUNTIF(Settings!$AC$2:$AC$6,F487)&gt;0,Settings!$AA$20,Settings!$AA$21)))</f>
        <v/>
      </c>
      <c r="X487" s="44" t="str">
        <f aca="false">IF(E487="","",IF(COUNTA(Q487:V487)=0,"Not scored",IF(COUNTA(Q487:V487)&lt;6,"Partly scored ("&amp;COUNTA(Q487:V487)&amp;"/6)",IF(W487&gt;=Settings!$S$8,"Hot",IF(W487&gt;=Settings!$S$9,"Warm","Cold")))))</f>
        <v/>
      </c>
      <c r="Y487" s="44" t="str">
        <f aca="false">IF(E487="","",IF(AND(Q487="No",S487="No"),"🚩 Budget  ·  🚩 No one on camera",IF(Q487="No","🚩 Budget under AED 5k",IF(S487="No","🚩 No one on camera",""))))</f>
        <v/>
      </c>
      <c r="Z487" s="17"/>
      <c r="AA487" s="17"/>
      <c r="AB487" s="40"/>
      <c r="AC487" s="17"/>
      <c r="AD487" s="45" t="str">
        <f aca="false">IF(OR(E487="",AB487="",OR(AA487="Contract signed + paid",AA487="Closed – No response",AA487="Lost"),N(AC487)&gt;=Settings!$S$3),"",AB487+Settings!$S$2)</f>
        <v/>
      </c>
      <c r="AE487" s="40"/>
      <c r="AF487" s="41"/>
      <c r="AG487" s="17"/>
      <c r="AH487" s="17"/>
      <c r="AI487" s="17"/>
      <c r="AJ487" s="46" t="str">
        <f aca="true">IF(OR(E487="",B487=""),"",INT(TODAY()-B487))</f>
        <v/>
      </c>
      <c r="AK487" s="44" t="str">
        <f aca="true">IF(E487="","",IF(OR(COUNTIFS(Clients!$C$2:$C$501,E487,Clients!$S$2:$S$501,"Paid")&gt;0,AND(I487&lt;&gt;"",COUNTIFS(Clients!$E$2:$E$501,I487,Clients!$S$2:$S$501,"Paid")&gt;0)),"⚠ Refunded before – no free video",IF(OR(AA487="Contract signed + paid",AA487="Closed – No response",AA487="Lost"),"",IF(AA487="","Set a stage",IF(AND(AA487="Proposal sent",COUNTA(Q487:V487)&lt;6),"Score this lead – proposal sent unscored",IF(N(AC487)&gt;=Settings!$S$3,"Close – 4 follow-ups sent",IF(AD487="",IF(AB487="","Make first contact",""),IF(TODAY()&gt;AD487,"OVERDUE follow-up",IF(TODAY()=AD487,"Follow up today","")))))))))</f>
        <v/>
      </c>
    </row>
    <row r="488" customFormat="false" ht="15" hidden="false" customHeight="false" outlineLevel="0" collapsed="false">
      <c r="A488" s="17"/>
      <c r="B488" s="40"/>
      <c r="C488" s="41"/>
      <c r="D488" s="17"/>
      <c r="E488" s="17"/>
      <c r="F488" s="17"/>
      <c r="G488" s="17"/>
      <c r="H488" s="17"/>
      <c r="I488" s="42"/>
      <c r="J488" s="17"/>
      <c r="K488" s="17"/>
      <c r="L488" s="17"/>
      <c r="M488" s="17"/>
      <c r="N488" s="40"/>
      <c r="O488" s="41"/>
      <c r="P488" s="43" t="str">
        <f aca="false">IF(OR(B488="",N488=""),"",ROUND(((N488+N(O488))-(B488+N(C488)))*24,1))</f>
        <v/>
      </c>
      <c r="Q488" s="17"/>
      <c r="R488" s="17"/>
      <c r="S488" s="17"/>
      <c r="T488" s="17"/>
      <c r="U488" s="17"/>
      <c r="V488" s="17"/>
      <c r="W488" s="44" t="str">
        <f aca="false">IF(OR(E488="",COUNTA(Q488:V488)=0),"",SUMIFS(Settings!$AA$2:$AA$21,Settings!$Y$2:$Y$21,"Budget AED 5k+/mo?",Settings!$Z$2:$Z$21,Q488)+SUMIFS(Settings!$AA$2:$AA$21,Settings!$Y$2:$Y$21,"Decision-maker?",Settings!$Z$2:$Z$21,R488)+SUMIFS(Settings!$AA$2:$AA$21,Settings!$Y$2:$Y$21,"Someone on camera?",Settings!$Z$2:$Z$21,S488)+SUMIFS(Settings!$AA$2:$AA$21,Settings!$Y$2:$Y$21,"OK with 3-month term?",Settings!$Z$2:$Z$21,T488)+SUMIFS(Settings!$AA$2:$AA$21,Settings!$Y$2:$Y$21,"Start timeline",Settings!$Z$2:$Z$21,U488)+SUMIFS(Settings!$AA$2:$AA$21,Settings!$Y$2:$Y$21,"Social media gap",Settings!$Z$2:$Z$21,V488)+IF(F488="",0,IF(COUNTIF(Settings!$AC$2:$AC$6,F488)&gt;0,Settings!$AA$20,Settings!$AA$21)))</f>
        <v/>
      </c>
      <c r="X488" s="44" t="str">
        <f aca="false">IF(E488="","",IF(COUNTA(Q488:V488)=0,"Not scored",IF(COUNTA(Q488:V488)&lt;6,"Partly scored ("&amp;COUNTA(Q488:V488)&amp;"/6)",IF(W488&gt;=Settings!$S$8,"Hot",IF(W488&gt;=Settings!$S$9,"Warm","Cold")))))</f>
        <v/>
      </c>
      <c r="Y488" s="44" t="str">
        <f aca="false">IF(E488="","",IF(AND(Q488="No",S488="No"),"🚩 Budget  ·  🚩 No one on camera",IF(Q488="No","🚩 Budget under AED 5k",IF(S488="No","🚩 No one on camera",""))))</f>
        <v/>
      </c>
      <c r="Z488" s="17"/>
      <c r="AA488" s="17"/>
      <c r="AB488" s="40"/>
      <c r="AC488" s="17"/>
      <c r="AD488" s="45" t="str">
        <f aca="false">IF(OR(E488="",AB488="",OR(AA488="Contract signed + paid",AA488="Closed – No response",AA488="Lost"),N(AC488)&gt;=Settings!$S$3),"",AB488+Settings!$S$2)</f>
        <v/>
      </c>
      <c r="AE488" s="40"/>
      <c r="AF488" s="41"/>
      <c r="AG488" s="17"/>
      <c r="AH488" s="17"/>
      <c r="AI488" s="17"/>
      <c r="AJ488" s="46" t="str">
        <f aca="true">IF(OR(E488="",B488=""),"",INT(TODAY()-B488))</f>
        <v/>
      </c>
      <c r="AK488" s="44" t="str">
        <f aca="true">IF(E488="","",IF(OR(COUNTIFS(Clients!$C$2:$C$501,E488,Clients!$S$2:$S$501,"Paid")&gt;0,AND(I488&lt;&gt;"",COUNTIFS(Clients!$E$2:$E$501,I488,Clients!$S$2:$S$501,"Paid")&gt;0)),"⚠ Refunded before – no free video",IF(OR(AA488="Contract signed + paid",AA488="Closed – No response",AA488="Lost"),"",IF(AA488="","Set a stage",IF(AND(AA488="Proposal sent",COUNTA(Q488:V488)&lt;6),"Score this lead – proposal sent unscored",IF(N(AC488)&gt;=Settings!$S$3,"Close – 4 follow-ups sent",IF(AD488="",IF(AB488="","Make first contact",""),IF(TODAY()&gt;AD488,"OVERDUE follow-up",IF(TODAY()=AD488,"Follow up today","")))))))))</f>
        <v/>
      </c>
    </row>
    <row r="489" customFormat="false" ht="15" hidden="false" customHeight="false" outlineLevel="0" collapsed="false">
      <c r="A489" s="17"/>
      <c r="B489" s="40"/>
      <c r="C489" s="41"/>
      <c r="D489" s="17"/>
      <c r="E489" s="17"/>
      <c r="F489" s="17"/>
      <c r="G489" s="17"/>
      <c r="H489" s="17"/>
      <c r="I489" s="42"/>
      <c r="J489" s="17"/>
      <c r="K489" s="17"/>
      <c r="L489" s="17"/>
      <c r="M489" s="17"/>
      <c r="N489" s="40"/>
      <c r="O489" s="41"/>
      <c r="P489" s="43" t="str">
        <f aca="false">IF(OR(B489="",N489=""),"",ROUND(((N489+N(O489))-(B489+N(C489)))*24,1))</f>
        <v/>
      </c>
      <c r="Q489" s="17"/>
      <c r="R489" s="17"/>
      <c r="S489" s="17"/>
      <c r="T489" s="17"/>
      <c r="U489" s="17"/>
      <c r="V489" s="17"/>
      <c r="W489" s="44" t="str">
        <f aca="false">IF(OR(E489="",COUNTA(Q489:V489)=0),"",SUMIFS(Settings!$AA$2:$AA$21,Settings!$Y$2:$Y$21,"Budget AED 5k+/mo?",Settings!$Z$2:$Z$21,Q489)+SUMIFS(Settings!$AA$2:$AA$21,Settings!$Y$2:$Y$21,"Decision-maker?",Settings!$Z$2:$Z$21,R489)+SUMIFS(Settings!$AA$2:$AA$21,Settings!$Y$2:$Y$21,"Someone on camera?",Settings!$Z$2:$Z$21,S489)+SUMIFS(Settings!$AA$2:$AA$21,Settings!$Y$2:$Y$21,"OK with 3-month term?",Settings!$Z$2:$Z$21,T489)+SUMIFS(Settings!$AA$2:$AA$21,Settings!$Y$2:$Y$21,"Start timeline",Settings!$Z$2:$Z$21,U489)+SUMIFS(Settings!$AA$2:$AA$21,Settings!$Y$2:$Y$21,"Social media gap",Settings!$Z$2:$Z$21,V489)+IF(F489="",0,IF(COUNTIF(Settings!$AC$2:$AC$6,F489)&gt;0,Settings!$AA$20,Settings!$AA$21)))</f>
        <v/>
      </c>
      <c r="X489" s="44" t="str">
        <f aca="false">IF(E489="","",IF(COUNTA(Q489:V489)=0,"Not scored",IF(COUNTA(Q489:V489)&lt;6,"Partly scored ("&amp;COUNTA(Q489:V489)&amp;"/6)",IF(W489&gt;=Settings!$S$8,"Hot",IF(W489&gt;=Settings!$S$9,"Warm","Cold")))))</f>
        <v/>
      </c>
      <c r="Y489" s="44" t="str">
        <f aca="false">IF(E489="","",IF(AND(Q489="No",S489="No"),"🚩 Budget  ·  🚩 No one on camera",IF(Q489="No","🚩 Budget under AED 5k",IF(S489="No","🚩 No one on camera",""))))</f>
        <v/>
      </c>
      <c r="Z489" s="17"/>
      <c r="AA489" s="17"/>
      <c r="AB489" s="40"/>
      <c r="AC489" s="17"/>
      <c r="AD489" s="45" t="str">
        <f aca="false">IF(OR(E489="",AB489="",OR(AA489="Contract signed + paid",AA489="Closed – No response",AA489="Lost"),N(AC489)&gt;=Settings!$S$3),"",AB489+Settings!$S$2)</f>
        <v/>
      </c>
      <c r="AE489" s="40"/>
      <c r="AF489" s="41"/>
      <c r="AG489" s="17"/>
      <c r="AH489" s="17"/>
      <c r="AI489" s="17"/>
      <c r="AJ489" s="46" t="str">
        <f aca="true">IF(OR(E489="",B489=""),"",INT(TODAY()-B489))</f>
        <v/>
      </c>
      <c r="AK489" s="44" t="str">
        <f aca="true">IF(E489="","",IF(OR(COUNTIFS(Clients!$C$2:$C$501,E489,Clients!$S$2:$S$501,"Paid")&gt;0,AND(I489&lt;&gt;"",COUNTIFS(Clients!$E$2:$E$501,I489,Clients!$S$2:$S$501,"Paid")&gt;0)),"⚠ Refunded before – no free video",IF(OR(AA489="Contract signed + paid",AA489="Closed – No response",AA489="Lost"),"",IF(AA489="","Set a stage",IF(AND(AA489="Proposal sent",COUNTA(Q489:V489)&lt;6),"Score this lead – proposal sent unscored",IF(N(AC489)&gt;=Settings!$S$3,"Close – 4 follow-ups sent",IF(AD489="",IF(AB489="","Make first contact",""),IF(TODAY()&gt;AD489,"OVERDUE follow-up",IF(TODAY()=AD489,"Follow up today","")))))))))</f>
        <v/>
      </c>
    </row>
    <row r="490" customFormat="false" ht="15" hidden="false" customHeight="false" outlineLevel="0" collapsed="false">
      <c r="A490" s="17"/>
      <c r="B490" s="40"/>
      <c r="C490" s="41"/>
      <c r="D490" s="17"/>
      <c r="E490" s="17"/>
      <c r="F490" s="17"/>
      <c r="G490" s="17"/>
      <c r="H490" s="17"/>
      <c r="I490" s="42"/>
      <c r="J490" s="17"/>
      <c r="K490" s="17"/>
      <c r="L490" s="17"/>
      <c r="M490" s="17"/>
      <c r="N490" s="40"/>
      <c r="O490" s="41"/>
      <c r="P490" s="43" t="str">
        <f aca="false">IF(OR(B490="",N490=""),"",ROUND(((N490+N(O490))-(B490+N(C490)))*24,1))</f>
        <v/>
      </c>
      <c r="Q490" s="17"/>
      <c r="R490" s="17"/>
      <c r="S490" s="17"/>
      <c r="T490" s="17"/>
      <c r="U490" s="17"/>
      <c r="V490" s="17"/>
      <c r="W490" s="44" t="str">
        <f aca="false">IF(OR(E490="",COUNTA(Q490:V490)=0),"",SUMIFS(Settings!$AA$2:$AA$21,Settings!$Y$2:$Y$21,"Budget AED 5k+/mo?",Settings!$Z$2:$Z$21,Q490)+SUMIFS(Settings!$AA$2:$AA$21,Settings!$Y$2:$Y$21,"Decision-maker?",Settings!$Z$2:$Z$21,R490)+SUMIFS(Settings!$AA$2:$AA$21,Settings!$Y$2:$Y$21,"Someone on camera?",Settings!$Z$2:$Z$21,S490)+SUMIFS(Settings!$AA$2:$AA$21,Settings!$Y$2:$Y$21,"OK with 3-month term?",Settings!$Z$2:$Z$21,T490)+SUMIFS(Settings!$AA$2:$AA$21,Settings!$Y$2:$Y$21,"Start timeline",Settings!$Z$2:$Z$21,U490)+SUMIFS(Settings!$AA$2:$AA$21,Settings!$Y$2:$Y$21,"Social media gap",Settings!$Z$2:$Z$21,V490)+IF(F490="",0,IF(COUNTIF(Settings!$AC$2:$AC$6,F490)&gt;0,Settings!$AA$20,Settings!$AA$21)))</f>
        <v/>
      </c>
      <c r="X490" s="44" t="str">
        <f aca="false">IF(E490="","",IF(COUNTA(Q490:V490)=0,"Not scored",IF(COUNTA(Q490:V490)&lt;6,"Partly scored ("&amp;COUNTA(Q490:V490)&amp;"/6)",IF(W490&gt;=Settings!$S$8,"Hot",IF(W490&gt;=Settings!$S$9,"Warm","Cold")))))</f>
        <v/>
      </c>
      <c r="Y490" s="44" t="str">
        <f aca="false">IF(E490="","",IF(AND(Q490="No",S490="No"),"🚩 Budget  ·  🚩 No one on camera",IF(Q490="No","🚩 Budget under AED 5k",IF(S490="No","🚩 No one on camera",""))))</f>
        <v/>
      </c>
      <c r="Z490" s="17"/>
      <c r="AA490" s="17"/>
      <c r="AB490" s="40"/>
      <c r="AC490" s="17"/>
      <c r="AD490" s="45" t="str">
        <f aca="false">IF(OR(E490="",AB490="",OR(AA490="Contract signed + paid",AA490="Closed – No response",AA490="Lost"),N(AC490)&gt;=Settings!$S$3),"",AB490+Settings!$S$2)</f>
        <v/>
      </c>
      <c r="AE490" s="40"/>
      <c r="AF490" s="41"/>
      <c r="AG490" s="17"/>
      <c r="AH490" s="17"/>
      <c r="AI490" s="17"/>
      <c r="AJ490" s="46" t="str">
        <f aca="true">IF(OR(E490="",B490=""),"",INT(TODAY()-B490))</f>
        <v/>
      </c>
      <c r="AK490" s="44" t="str">
        <f aca="true">IF(E490="","",IF(OR(COUNTIFS(Clients!$C$2:$C$501,E490,Clients!$S$2:$S$501,"Paid")&gt;0,AND(I490&lt;&gt;"",COUNTIFS(Clients!$E$2:$E$501,I490,Clients!$S$2:$S$501,"Paid")&gt;0)),"⚠ Refunded before – no free video",IF(OR(AA490="Contract signed + paid",AA490="Closed – No response",AA490="Lost"),"",IF(AA490="","Set a stage",IF(AND(AA490="Proposal sent",COUNTA(Q490:V490)&lt;6),"Score this lead – proposal sent unscored",IF(N(AC490)&gt;=Settings!$S$3,"Close – 4 follow-ups sent",IF(AD490="",IF(AB490="","Make first contact",""),IF(TODAY()&gt;AD490,"OVERDUE follow-up",IF(TODAY()=AD490,"Follow up today","")))))))))</f>
        <v/>
      </c>
    </row>
    <row r="491" customFormat="false" ht="15" hidden="false" customHeight="false" outlineLevel="0" collapsed="false">
      <c r="A491" s="17"/>
      <c r="B491" s="40"/>
      <c r="C491" s="41"/>
      <c r="D491" s="17"/>
      <c r="E491" s="17"/>
      <c r="F491" s="17"/>
      <c r="G491" s="17"/>
      <c r="H491" s="17"/>
      <c r="I491" s="42"/>
      <c r="J491" s="17"/>
      <c r="K491" s="17"/>
      <c r="L491" s="17"/>
      <c r="M491" s="17"/>
      <c r="N491" s="40"/>
      <c r="O491" s="41"/>
      <c r="P491" s="43" t="str">
        <f aca="false">IF(OR(B491="",N491=""),"",ROUND(((N491+N(O491))-(B491+N(C491)))*24,1))</f>
        <v/>
      </c>
      <c r="Q491" s="17"/>
      <c r="R491" s="17"/>
      <c r="S491" s="17"/>
      <c r="T491" s="17"/>
      <c r="U491" s="17"/>
      <c r="V491" s="17"/>
      <c r="W491" s="44" t="str">
        <f aca="false">IF(OR(E491="",COUNTA(Q491:V491)=0),"",SUMIFS(Settings!$AA$2:$AA$21,Settings!$Y$2:$Y$21,"Budget AED 5k+/mo?",Settings!$Z$2:$Z$21,Q491)+SUMIFS(Settings!$AA$2:$AA$21,Settings!$Y$2:$Y$21,"Decision-maker?",Settings!$Z$2:$Z$21,R491)+SUMIFS(Settings!$AA$2:$AA$21,Settings!$Y$2:$Y$21,"Someone on camera?",Settings!$Z$2:$Z$21,S491)+SUMIFS(Settings!$AA$2:$AA$21,Settings!$Y$2:$Y$21,"OK with 3-month term?",Settings!$Z$2:$Z$21,T491)+SUMIFS(Settings!$AA$2:$AA$21,Settings!$Y$2:$Y$21,"Start timeline",Settings!$Z$2:$Z$21,U491)+SUMIFS(Settings!$AA$2:$AA$21,Settings!$Y$2:$Y$21,"Social media gap",Settings!$Z$2:$Z$21,V491)+IF(F491="",0,IF(COUNTIF(Settings!$AC$2:$AC$6,F491)&gt;0,Settings!$AA$20,Settings!$AA$21)))</f>
        <v/>
      </c>
      <c r="X491" s="44" t="str">
        <f aca="false">IF(E491="","",IF(COUNTA(Q491:V491)=0,"Not scored",IF(COUNTA(Q491:V491)&lt;6,"Partly scored ("&amp;COUNTA(Q491:V491)&amp;"/6)",IF(W491&gt;=Settings!$S$8,"Hot",IF(W491&gt;=Settings!$S$9,"Warm","Cold")))))</f>
        <v/>
      </c>
      <c r="Y491" s="44" t="str">
        <f aca="false">IF(E491="","",IF(AND(Q491="No",S491="No"),"🚩 Budget  ·  🚩 No one on camera",IF(Q491="No","🚩 Budget under AED 5k",IF(S491="No","🚩 No one on camera",""))))</f>
        <v/>
      </c>
      <c r="Z491" s="17"/>
      <c r="AA491" s="17"/>
      <c r="AB491" s="40"/>
      <c r="AC491" s="17"/>
      <c r="AD491" s="45" t="str">
        <f aca="false">IF(OR(E491="",AB491="",OR(AA491="Contract signed + paid",AA491="Closed – No response",AA491="Lost"),N(AC491)&gt;=Settings!$S$3),"",AB491+Settings!$S$2)</f>
        <v/>
      </c>
      <c r="AE491" s="40"/>
      <c r="AF491" s="41"/>
      <c r="AG491" s="17"/>
      <c r="AH491" s="17"/>
      <c r="AI491" s="17"/>
      <c r="AJ491" s="46" t="str">
        <f aca="true">IF(OR(E491="",B491=""),"",INT(TODAY()-B491))</f>
        <v/>
      </c>
      <c r="AK491" s="44" t="str">
        <f aca="true">IF(E491="","",IF(OR(COUNTIFS(Clients!$C$2:$C$501,E491,Clients!$S$2:$S$501,"Paid")&gt;0,AND(I491&lt;&gt;"",COUNTIFS(Clients!$E$2:$E$501,I491,Clients!$S$2:$S$501,"Paid")&gt;0)),"⚠ Refunded before – no free video",IF(OR(AA491="Contract signed + paid",AA491="Closed – No response",AA491="Lost"),"",IF(AA491="","Set a stage",IF(AND(AA491="Proposal sent",COUNTA(Q491:V491)&lt;6),"Score this lead – proposal sent unscored",IF(N(AC491)&gt;=Settings!$S$3,"Close – 4 follow-ups sent",IF(AD491="",IF(AB491="","Make first contact",""),IF(TODAY()&gt;AD491,"OVERDUE follow-up",IF(TODAY()=AD491,"Follow up today","")))))))))</f>
        <v/>
      </c>
    </row>
    <row r="492" customFormat="false" ht="15" hidden="false" customHeight="false" outlineLevel="0" collapsed="false">
      <c r="A492" s="17"/>
      <c r="B492" s="40"/>
      <c r="C492" s="41"/>
      <c r="D492" s="17"/>
      <c r="E492" s="17"/>
      <c r="F492" s="17"/>
      <c r="G492" s="17"/>
      <c r="H492" s="17"/>
      <c r="I492" s="42"/>
      <c r="J492" s="17"/>
      <c r="K492" s="17"/>
      <c r="L492" s="17"/>
      <c r="M492" s="17"/>
      <c r="N492" s="40"/>
      <c r="O492" s="41"/>
      <c r="P492" s="43" t="str">
        <f aca="false">IF(OR(B492="",N492=""),"",ROUND(((N492+N(O492))-(B492+N(C492)))*24,1))</f>
        <v/>
      </c>
      <c r="Q492" s="17"/>
      <c r="R492" s="17"/>
      <c r="S492" s="17"/>
      <c r="T492" s="17"/>
      <c r="U492" s="17"/>
      <c r="V492" s="17"/>
      <c r="W492" s="44" t="str">
        <f aca="false">IF(OR(E492="",COUNTA(Q492:V492)=0),"",SUMIFS(Settings!$AA$2:$AA$21,Settings!$Y$2:$Y$21,"Budget AED 5k+/mo?",Settings!$Z$2:$Z$21,Q492)+SUMIFS(Settings!$AA$2:$AA$21,Settings!$Y$2:$Y$21,"Decision-maker?",Settings!$Z$2:$Z$21,R492)+SUMIFS(Settings!$AA$2:$AA$21,Settings!$Y$2:$Y$21,"Someone on camera?",Settings!$Z$2:$Z$21,S492)+SUMIFS(Settings!$AA$2:$AA$21,Settings!$Y$2:$Y$21,"OK with 3-month term?",Settings!$Z$2:$Z$21,T492)+SUMIFS(Settings!$AA$2:$AA$21,Settings!$Y$2:$Y$21,"Start timeline",Settings!$Z$2:$Z$21,U492)+SUMIFS(Settings!$AA$2:$AA$21,Settings!$Y$2:$Y$21,"Social media gap",Settings!$Z$2:$Z$21,V492)+IF(F492="",0,IF(COUNTIF(Settings!$AC$2:$AC$6,F492)&gt;0,Settings!$AA$20,Settings!$AA$21)))</f>
        <v/>
      </c>
      <c r="X492" s="44" t="str">
        <f aca="false">IF(E492="","",IF(COUNTA(Q492:V492)=0,"Not scored",IF(COUNTA(Q492:V492)&lt;6,"Partly scored ("&amp;COUNTA(Q492:V492)&amp;"/6)",IF(W492&gt;=Settings!$S$8,"Hot",IF(W492&gt;=Settings!$S$9,"Warm","Cold")))))</f>
        <v/>
      </c>
      <c r="Y492" s="44" t="str">
        <f aca="false">IF(E492="","",IF(AND(Q492="No",S492="No"),"🚩 Budget  ·  🚩 No one on camera",IF(Q492="No","🚩 Budget under AED 5k",IF(S492="No","🚩 No one on camera",""))))</f>
        <v/>
      </c>
      <c r="Z492" s="17"/>
      <c r="AA492" s="17"/>
      <c r="AB492" s="40"/>
      <c r="AC492" s="17"/>
      <c r="AD492" s="45" t="str">
        <f aca="false">IF(OR(E492="",AB492="",OR(AA492="Contract signed + paid",AA492="Closed – No response",AA492="Lost"),N(AC492)&gt;=Settings!$S$3),"",AB492+Settings!$S$2)</f>
        <v/>
      </c>
      <c r="AE492" s="40"/>
      <c r="AF492" s="41"/>
      <c r="AG492" s="17"/>
      <c r="AH492" s="17"/>
      <c r="AI492" s="17"/>
      <c r="AJ492" s="46" t="str">
        <f aca="true">IF(OR(E492="",B492=""),"",INT(TODAY()-B492))</f>
        <v/>
      </c>
      <c r="AK492" s="44" t="str">
        <f aca="true">IF(E492="","",IF(OR(COUNTIFS(Clients!$C$2:$C$501,E492,Clients!$S$2:$S$501,"Paid")&gt;0,AND(I492&lt;&gt;"",COUNTIFS(Clients!$E$2:$E$501,I492,Clients!$S$2:$S$501,"Paid")&gt;0)),"⚠ Refunded before – no free video",IF(OR(AA492="Contract signed + paid",AA492="Closed – No response",AA492="Lost"),"",IF(AA492="","Set a stage",IF(AND(AA492="Proposal sent",COUNTA(Q492:V492)&lt;6),"Score this lead – proposal sent unscored",IF(N(AC492)&gt;=Settings!$S$3,"Close – 4 follow-ups sent",IF(AD492="",IF(AB492="","Make first contact",""),IF(TODAY()&gt;AD492,"OVERDUE follow-up",IF(TODAY()=AD492,"Follow up today","")))))))))</f>
        <v/>
      </c>
    </row>
    <row r="493" customFormat="false" ht="15" hidden="false" customHeight="false" outlineLevel="0" collapsed="false">
      <c r="A493" s="17"/>
      <c r="B493" s="40"/>
      <c r="C493" s="41"/>
      <c r="D493" s="17"/>
      <c r="E493" s="17"/>
      <c r="F493" s="17"/>
      <c r="G493" s="17"/>
      <c r="H493" s="17"/>
      <c r="I493" s="42"/>
      <c r="J493" s="17"/>
      <c r="K493" s="17"/>
      <c r="L493" s="17"/>
      <c r="M493" s="17"/>
      <c r="N493" s="40"/>
      <c r="O493" s="41"/>
      <c r="P493" s="43" t="str">
        <f aca="false">IF(OR(B493="",N493=""),"",ROUND(((N493+N(O493))-(B493+N(C493)))*24,1))</f>
        <v/>
      </c>
      <c r="Q493" s="17"/>
      <c r="R493" s="17"/>
      <c r="S493" s="17"/>
      <c r="T493" s="17"/>
      <c r="U493" s="17"/>
      <c r="V493" s="17"/>
      <c r="W493" s="44" t="str">
        <f aca="false">IF(OR(E493="",COUNTA(Q493:V493)=0),"",SUMIFS(Settings!$AA$2:$AA$21,Settings!$Y$2:$Y$21,"Budget AED 5k+/mo?",Settings!$Z$2:$Z$21,Q493)+SUMIFS(Settings!$AA$2:$AA$21,Settings!$Y$2:$Y$21,"Decision-maker?",Settings!$Z$2:$Z$21,R493)+SUMIFS(Settings!$AA$2:$AA$21,Settings!$Y$2:$Y$21,"Someone on camera?",Settings!$Z$2:$Z$21,S493)+SUMIFS(Settings!$AA$2:$AA$21,Settings!$Y$2:$Y$21,"OK with 3-month term?",Settings!$Z$2:$Z$21,T493)+SUMIFS(Settings!$AA$2:$AA$21,Settings!$Y$2:$Y$21,"Start timeline",Settings!$Z$2:$Z$21,U493)+SUMIFS(Settings!$AA$2:$AA$21,Settings!$Y$2:$Y$21,"Social media gap",Settings!$Z$2:$Z$21,V493)+IF(F493="",0,IF(COUNTIF(Settings!$AC$2:$AC$6,F493)&gt;0,Settings!$AA$20,Settings!$AA$21)))</f>
        <v/>
      </c>
      <c r="X493" s="44" t="str">
        <f aca="false">IF(E493="","",IF(COUNTA(Q493:V493)=0,"Not scored",IF(COUNTA(Q493:V493)&lt;6,"Partly scored ("&amp;COUNTA(Q493:V493)&amp;"/6)",IF(W493&gt;=Settings!$S$8,"Hot",IF(W493&gt;=Settings!$S$9,"Warm","Cold")))))</f>
        <v/>
      </c>
      <c r="Y493" s="44" t="str">
        <f aca="false">IF(E493="","",IF(AND(Q493="No",S493="No"),"🚩 Budget  ·  🚩 No one on camera",IF(Q493="No","🚩 Budget under AED 5k",IF(S493="No","🚩 No one on camera",""))))</f>
        <v/>
      </c>
      <c r="Z493" s="17"/>
      <c r="AA493" s="17"/>
      <c r="AB493" s="40"/>
      <c r="AC493" s="17"/>
      <c r="AD493" s="45" t="str">
        <f aca="false">IF(OR(E493="",AB493="",OR(AA493="Contract signed + paid",AA493="Closed – No response",AA493="Lost"),N(AC493)&gt;=Settings!$S$3),"",AB493+Settings!$S$2)</f>
        <v/>
      </c>
      <c r="AE493" s="40"/>
      <c r="AF493" s="41"/>
      <c r="AG493" s="17"/>
      <c r="AH493" s="17"/>
      <c r="AI493" s="17"/>
      <c r="AJ493" s="46" t="str">
        <f aca="true">IF(OR(E493="",B493=""),"",INT(TODAY()-B493))</f>
        <v/>
      </c>
      <c r="AK493" s="44" t="str">
        <f aca="true">IF(E493="","",IF(OR(COUNTIFS(Clients!$C$2:$C$501,E493,Clients!$S$2:$S$501,"Paid")&gt;0,AND(I493&lt;&gt;"",COUNTIFS(Clients!$E$2:$E$501,I493,Clients!$S$2:$S$501,"Paid")&gt;0)),"⚠ Refunded before – no free video",IF(OR(AA493="Contract signed + paid",AA493="Closed – No response",AA493="Lost"),"",IF(AA493="","Set a stage",IF(AND(AA493="Proposal sent",COUNTA(Q493:V493)&lt;6),"Score this lead – proposal sent unscored",IF(N(AC493)&gt;=Settings!$S$3,"Close – 4 follow-ups sent",IF(AD493="",IF(AB493="","Make first contact",""),IF(TODAY()&gt;AD493,"OVERDUE follow-up",IF(TODAY()=AD493,"Follow up today","")))))))))</f>
        <v/>
      </c>
    </row>
    <row r="494" customFormat="false" ht="15" hidden="false" customHeight="false" outlineLevel="0" collapsed="false">
      <c r="A494" s="17"/>
      <c r="B494" s="40"/>
      <c r="C494" s="41"/>
      <c r="D494" s="17"/>
      <c r="E494" s="17"/>
      <c r="F494" s="17"/>
      <c r="G494" s="17"/>
      <c r="H494" s="17"/>
      <c r="I494" s="42"/>
      <c r="J494" s="17"/>
      <c r="K494" s="17"/>
      <c r="L494" s="17"/>
      <c r="M494" s="17"/>
      <c r="N494" s="40"/>
      <c r="O494" s="41"/>
      <c r="P494" s="43" t="str">
        <f aca="false">IF(OR(B494="",N494=""),"",ROUND(((N494+N(O494))-(B494+N(C494)))*24,1))</f>
        <v/>
      </c>
      <c r="Q494" s="17"/>
      <c r="R494" s="17"/>
      <c r="S494" s="17"/>
      <c r="T494" s="17"/>
      <c r="U494" s="17"/>
      <c r="V494" s="17"/>
      <c r="W494" s="44" t="str">
        <f aca="false">IF(OR(E494="",COUNTA(Q494:V494)=0),"",SUMIFS(Settings!$AA$2:$AA$21,Settings!$Y$2:$Y$21,"Budget AED 5k+/mo?",Settings!$Z$2:$Z$21,Q494)+SUMIFS(Settings!$AA$2:$AA$21,Settings!$Y$2:$Y$21,"Decision-maker?",Settings!$Z$2:$Z$21,R494)+SUMIFS(Settings!$AA$2:$AA$21,Settings!$Y$2:$Y$21,"Someone on camera?",Settings!$Z$2:$Z$21,S494)+SUMIFS(Settings!$AA$2:$AA$21,Settings!$Y$2:$Y$21,"OK with 3-month term?",Settings!$Z$2:$Z$21,T494)+SUMIFS(Settings!$AA$2:$AA$21,Settings!$Y$2:$Y$21,"Start timeline",Settings!$Z$2:$Z$21,U494)+SUMIFS(Settings!$AA$2:$AA$21,Settings!$Y$2:$Y$21,"Social media gap",Settings!$Z$2:$Z$21,V494)+IF(F494="",0,IF(COUNTIF(Settings!$AC$2:$AC$6,F494)&gt;0,Settings!$AA$20,Settings!$AA$21)))</f>
        <v/>
      </c>
      <c r="X494" s="44" t="str">
        <f aca="false">IF(E494="","",IF(COUNTA(Q494:V494)=0,"Not scored",IF(COUNTA(Q494:V494)&lt;6,"Partly scored ("&amp;COUNTA(Q494:V494)&amp;"/6)",IF(W494&gt;=Settings!$S$8,"Hot",IF(W494&gt;=Settings!$S$9,"Warm","Cold")))))</f>
        <v/>
      </c>
      <c r="Y494" s="44" t="str">
        <f aca="false">IF(E494="","",IF(AND(Q494="No",S494="No"),"🚩 Budget  ·  🚩 No one on camera",IF(Q494="No","🚩 Budget under AED 5k",IF(S494="No","🚩 No one on camera",""))))</f>
        <v/>
      </c>
      <c r="Z494" s="17"/>
      <c r="AA494" s="17"/>
      <c r="AB494" s="40"/>
      <c r="AC494" s="17"/>
      <c r="AD494" s="45" t="str">
        <f aca="false">IF(OR(E494="",AB494="",OR(AA494="Contract signed + paid",AA494="Closed – No response",AA494="Lost"),N(AC494)&gt;=Settings!$S$3),"",AB494+Settings!$S$2)</f>
        <v/>
      </c>
      <c r="AE494" s="40"/>
      <c r="AF494" s="41"/>
      <c r="AG494" s="17"/>
      <c r="AH494" s="17"/>
      <c r="AI494" s="17"/>
      <c r="AJ494" s="46" t="str">
        <f aca="true">IF(OR(E494="",B494=""),"",INT(TODAY()-B494))</f>
        <v/>
      </c>
      <c r="AK494" s="44" t="str">
        <f aca="true">IF(E494="","",IF(OR(COUNTIFS(Clients!$C$2:$C$501,E494,Clients!$S$2:$S$501,"Paid")&gt;0,AND(I494&lt;&gt;"",COUNTIFS(Clients!$E$2:$E$501,I494,Clients!$S$2:$S$501,"Paid")&gt;0)),"⚠ Refunded before – no free video",IF(OR(AA494="Contract signed + paid",AA494="Closed – No response",AA494="Lost"),"",IF(AA494="","Set a stage",IF(AND(AA494="Proposal sent",COUNTA(Q494:V494)&lt;6),"Score this lead – proposal sent unscored",IF(N(AC494)&gt;=Settings!$S$3,"Close – 4 follow-ups sent",IF(AD494="",IF(AB494="","Make first contact",""),IF(TODAY()&gt;AD494,"OVERDUE follow-up",IF(TODAY()=AD494,"Follow up today","")))))))))</f>
        <v/>
      </c>
    </row>
    <row r="495" customFormat="false" ht="15" hidden="false" customHeight="false" outlineLevel="0" collapsed="false">
      <c r="A495" s="17"/>
      <c r="B495" s="40"/>
      <c r="C495" s="41"/>
      <c r="D495" s="17"/>
      <c r="E495" s="17"/>
      <c r="F495" s="17"/>
      <c r="G495" s="17"/>
      <c r="H495" s="17"/>
      <c r="I495" s="42"/>
      <c r="J495" s="17"/>
      <c r="K495" s="17"/>
      <c r="L495" s="17"/>
      <c r="M495" s="17"/>
      <c r="N495" s="40"/>
      <c r="O495" s="41"/>
      <c r="P495" s="43" t="str">
        <f aca="false">IF(OR(B495="",N495=""),"",ROUND(((N495+N(O495))-(B495+N(C495)))*24,1))</f>
        <v/>
      </c>
      <c r="Q495" s="17"/>
      <c r="R495" s="17"/>
      <c r="S495" s="17"/>
      <c r="T495" s="17"/>
      <c r="U495" s="17"/>
      <c r="V495" s="17"/>
      <c r="W495" s="44" t="str">
        <f aca="false">IF(OR(E495="",COUNTA(Q495:V495)=0),"",SUMIFS(Settings!$AA$2:$AA$21,Settings!$Y$2:$Y$21,"Budget AED 5k+/mo?",Settings!$Z$2:$Z$21,Q495)+SUMIFS(Settings!$AA$2:$AA$21,Settings!$Y$2:$Y$21,"Decision-maker?",Settings!$Z$2:$Z$21,R495)+SUMIFS(Settings!$AA$2:$AA$21,Settings!$Y$2:$Y$21,"Someone on camera?",Settings!$Z$2:$Z$21,S495)+SUMIFS(Settings!$AA$2:$AA$21,Settings!$Y$2:$Y$21,"OK with 3-month term?",Settings!$Z$2:$Z$21,T495)+SUMIFS(Settings!$AA$2:$AA$21,Settings!$Y$2:$Y$21,"Start timeline",Settings!$Z$2:$Z$21,U495)+SUMIFS(Settings!$AA$2:$AA$21,Settings!$Y$2:$Y$21,"Social media gap",Settings!$Z$2:$Z$21,V495)+IF(F495="",0,IF(COUNTIF(Settings!$AC$2:$AC$6,F495)&gt;0,Settings!$AA$20,Settings!$AA$21)))</f>
        <v/>
      </c>
      <c r="X495" s="44" t="str">
        <f aca="false">IF(E495="","",IF(COUNTA(Q495:V495)=0,"Not scored",IF(COUNTA(Q495:V495)&lt;6,"Partly scored ("&amp;COUNTA(Q495:V495)&amp;"/6)",IF(W495&gt;=Settings!$S$8,"Hot",IF(W495&gt;=Settings!$S$9,"Warm","Cold")))))</f>
        <v/>
      </c>
      <c r="Y495" s="44" t="str">
        <f aca="false">IF(E495="","",IF(AND(Q495="No",S495="No"),"🚩 Budget  ·  🚩 No one on camera",IF(Q495="No","🚩 Budget under AED 5k",IF(S495="No","🚩 No one on camera",""))))</f>
        <v/>
      </c>
      <c r="Z495" s="17"/>
      <c r="AA495" s="17"/>
      <c r="AB495" s="40"/>
      <c r="AC495" s="17"/>
      <c r="AD495" s="45" t="str">
        <f aca="false">IF(OR(E495="",AB495="",OR(AA495="Contract signed + paid",AA495="Closed – No response",AA495="Lost"),N(AC495)&gt;=Settings!$S$3),"",AB495+Settings!$S$2)</f>
        <v/>
      </c>
      <c r="AE495" s="40"/>
      <c r="AF495" s="41"/>
      <c r="AG495" s="17"/>
      <c r="AH495" s="17"/>
      <c r="AI495" s="17"/>
      <c r="AJ495" s="46" t="str">
        <f aca="true">IF(OR(E495="",B495=""),"",INT(TODAY()-B495))</f>
        <v/>
      </c>
      <c r="AK495" s="44" t="str">
        <f aca="true">IF(E495="","",IF(OR(COUNTIFS(Clients!$C$2:$C$501,E495,Clients!$S$2:$S$501,"Paid")&gt;0,AND(I495&lt;&gt;"",COUNTIFS(Clients!$E$2:$E$501,I495,Clients!$S$2:$S$501,"Paid")&gt;0)),"⚠ Refunded before – no free video",IF(OR(AA495="Contract signed + paid",AA495="Closed – No response",AA495="Lost"),"",IF(AA495="","Set a stage",IF(AND(AA495="Proposal sent",COUNTA(Q495:V495)&lt;6),"Score this lead – proposal sent unscored",IF(N(AC495)&gt;=Settings!$S$3,"Close – 4 follow-ups sent",IF(AD495="",IF(AB495="","Make first contact",""),IF(TODAY()&gt;AD495,"OVERDUE follow-up",IF(TODAY()=AD495,"Follow up today","")))))))))</f>
        <v/>
      </c>
    </row>
    <row r="496" customFormat="false" ht="15" hidden="false" customHeight="false" outlineLevel="0" collapsed="false">
      <c r="A496" s="17"/>
      <c r="B496" s="40"/>
      <c r="C496" s="41"/>
      <c r="D496" s="17"/>
      <c r="E496" s="17"/>
      <c r="F496" s="17"/>
      <c r="G496" s="17"/>
      <c r="H496" s="17"/>
      <c r="I496" s="42"/>
      <c r="J496" s="17"/>
      <c r="K496" s="17"/>
      <c r="L496" s="17"/>
      <c r="M496" s="17"/>
      <c r="N496" s="40"/>
      <c r="O496" s="41"/>
      <c r="P496" s="43" t="str">
        <f aca="false">IF(OR(B496="",N496=""),"",ROUND(((N496+N(O496))-(B496+N(C496)))*24,1))</f>
        <v/>
      </c>
      <c r="Q496" s="17"/>
      <c r="R496" s="17"/>
      <c r="S496" s="17"/>
      <c r="T496" s="17"/>
      <c r="U496" s="17"/>
      <c r="V496" s="17"/>
      <c r="W496" s="44" t="str">
        <f aca="false">IF(OR(E496="",COUNTA(Q496:V496)=0),"",SUMIFS(Settings!$AA$2:$AA$21,Settings!$Y$2:$Y$21,"Budget AED 5k+/mo?",Settings!$Z$2:$Z$21,Q496)+SUMIFS(Settings!$AA$2:$AA$21,Settings!$Y$2:$Y$21,"Decision-maker?",Settings!$Z$2:$Z$21,R496)+SUMIFS(Settings!$AA$2:$AA$21,Settings!$Y$2:$Y$21,"Someone on camera?",Settings!$Z$2:$Z$21,S496)+SUMIFS(Settings!$AA$2:$AA$21,Settings!$Y$2:$Y$21,"OK with 3-month term?",Settings!$Z$2:$Z$21,T496)+SUMIFS(Settings!$AA$2:$AA$21,Settings!$Y$2:$Y$21,"Start timeline",Settings!$Z$2:$Z$21,U496)+SUMIFS(Settings!$AA$2:$AA$21,Settings!$Y$2:$Y$21,"Social media gap",Settings!$Z$2:$Z$21,V496)+IF(F496="",0,IF(COUNTIF(Settings!$AC$2:$AC$6,F496)&gt;0,Settings!$AA$20,Settings!$AA$21)))</f>
        <v/>
      </c>
      <c r="X496" s="44" t="str">
        <f aca="false">IF(E496="","",IF(COUNTA(Q496:V496)=0,"Not scored",IF(COUNTA(Q496:V496)&lt;6,"Partly scored ("&amp;COUNTA(Q496:V496)&amp;"/6)",IF(W496&gt;=Settings!$S$8,"Hot",IF(W496&gt;=Settings!$S$9,"Warm","Cold")))))</f>
        <v/>
      </c>
      <c r="Y496" s="44" t="str">
        <f aca="false">IF(E496="","",IF(AND(Q496="No",S496="No"),"🚩 Budget  ·  🚩 No one on camera",IF(Q496="No","🚩 Budget under AED 5k",IF(S496="No","🚩 No one on camera",""))))</f>
        <v/>
      </c>
      <c r="Z496" s="17"/>
      <c r="AA496" s="17"/>
      <c r="AB496" s="40"/>
      <c r="AC496" s="17"/>
      <c r="AD496" s="45" t="str">
        <f aca="false">IF(OR(E496="",AB496="",OR(AA496="Contract signed + paid",AA496="Closed – No response",AA496="Lost"),N(AC496)&gt;=Settings!$S$3),"",AB496+Settings!$S$2)</f>
        <v/>
      </c>
      <c r="AE496" s="40"/>
      <c r="AF496" s="41"/>
      <c r="AG496" s="17"/>
      <c r="AH496" s="17"/>
      <c r="AI496" s="17"/>
      <c r="AJ496" s="46" t="str">
        <f aca="true">IF(OR(E496="",B496=""),"",INT(TODAY()-B496))</f>
        <v/>
      </c>
      <c r="AK496" s="44" t="str">
        <f aca="true">IF(E496="","",IF(OR(COUNTIFS(Clients!$C$2:$C$501,E496,Clients!$S$2:$S$501,"Paid")&gt;0,AND(I496&lt;&gt;"",COUNTIFS(Clients!$E$2:$E$501,I496,Clients!$S$2:$S$501,"Paid")&gt;0)),"⚠ Refunded before – no free video",IF(OR(AA496="Contract signed + paid",AA496="Closed – No response",AA496="Lost"),"",IF(AA496="","Set a stage",IF(AND(AA496="Proposal sent",COUNTA(Q496:V496)&lt;6),"Score this lead – proposal sent unscored",IF(N(AC496)&gt;=Settings!$S$3,"Close – 4 follow-ups sent",IF(AD496="",IF(AB496="","Make first contact",""),IF(TODAY()&gt;AD496,"OVERDUE follow-up",IF(TODAY()=AD496,"Follow up today","")))))))))</f>
        <v/>
      </c>
    </row>
    <row r="497" customFormat="false" ht="15" hidden="false" customHeight="false" outlineLevel="0" collapsed="false">
      <c r="A497" s="17"/>
      <c r="B497" s="40"/>
      <c r="C497" s="41"/>
      <c r="D497" s="17"/>
      <c r="E497" s="17"/>
      <c r="F497" s="17"/>
      <c r="G497" s="17"/>
      <c r="H497" s="17"/>
      <c r="I497" s="42"/>
      <c r="J497" s="17"/>
      <c r="K497" s="17"/>
      <c r="L497" s="17"/>
      <c r="M497" s="17"/>
      <c r="N497" s="40"/>
      <c r="O497" s="41"/>
      <c r="P497" s="43" t="str">
        <f aca="false">IF(OR(B497="",N497=""),"",ROUND(((N497+N(O497))-(B497+N(C497)))*24,1))</f>
        <v/>
      </c>
      <c r="Q497" s="17"/>
      <c r="R497" s="17"/>
      <c r="S497" s="17"/>
      <c r="T497" s="17"/>
      <c r="U497" s="17"/>
      <c r="V497" s="17"/>
      <c r="W497" s="44" t="str">
        <f aca="false">IF(OR(E497="",COUNTA(Q497:V497)=0),"",SUMIFS(Settings!$AA$2:$AA$21,Settings!$Y$2:$Y$21,"Budget AED 5k+/mo?",Settings!$Z$2:$Z$21,Q497)+SUMIFS(Settings!$AA$2:$AA$21,Settings!$Y$2:$Y$21,"Decision-maker?",Settings!$Z$2:$Z$21,R497)+SUMIFS(Settings!$AA$2:$AA$21,Settings!$Y$2:$Y$21,"Someone on camera?",Settings!$Z$2:$Z$21,S497)+SUMIFS(Settings!$AA$2:$AA$21,Settings!$Y$2:$Y$21,"OK with 3-month term?",Settings!$Z$2:$Z$21,T497)+SUMIFS(Settings!$AA$2:$AA$21,Settings!$Y$2:$Y$21,"Start timeline",Settings!$Z$2:$Z$21,U497)+SUMIFS(Settings!$AA$2:$AA$21,Settings!$Y$2:$Y$21,"Social media gap",Settings!$Z$2:$Z$21,V497)+IF(F497="",0,IF(COUNTIF(Settings!$AC$2:$AC$6,F497)&gt;0,Settings!$AA$20,Settings!$AA$21)))</f>
        <v/>
      </c>
      <c r="X497" s="44" t="str">
        <f aca="false">IF(E497="","",IF(COUNTA(Q497:V497)=0,"Not scored",IF(COUNTA(Q497:V497)&lt;6,"Partly scored ("&amp;COUNTA(Q497:V497)&amp;"/6)",IF(W497&gt;=Settings!$S$8,"Hot",IF(W497&gt;=Settings!$S$9,"Warm","Cold")))))</f>
        <v/>
      </c>
      <c r="Y497" s="44" t="str">
        <f aca="false">IF(E497="","",IF(AND(Q497="No",S497="No"),"🚩 Budget  ·  🚩 No one on camera",IF(Q497="No","🚩 Budget under AED 5k",IF(S497="No","🚩 No one on camera",""))))</f>
        <v/>
      </c>
      <c r="Z497" s="17"/>
      <c r="AA497" s="17"/>
      <c r="AB497" s="40"/>
      <c r="AC497" s="17"/>
      <c r="AD497" s="45" t="str">
        <f aca="false">IF(OR(E497="",AB497="",OR(AA497="Contract signed + paid",AA497="Closed – No response",AA497="Lost"),N(AC497)&gt;=Settings!$S$3),"",AB497+Settings!$S$2)</f>
        <v/>
      </c>
      <c r="AE497" s="40"/>
      <c r="AF497" s="41"/>
      <c r="AG497" s="17"/>
      <c r="AH497" s="17"/>
      <c r="AI497" s="17"/>
      <c r="AJ497" s="46" t="str">
        <f aca="true">IF(OR(E497="",B497=""),"",INT(TODAY()-B497))</f>
        <v/>
      </c>
      <c r="AK497" s="44" t="str">
        <f aca="true">IF(E497="","",IF(OR(COUNTIFS(Clients!$C$2:$C$501,E497,Clients!$S$2:$S$501,"Paid")&gt;0,AND(I497&lt;&gt;"",COUNTIFS(Clients!$E$2:$E$501,I497,Clients!$S$2:$S$501,"Paid")&gt;0)),"⚠ Refunded before – no free video",IF(OR(AA497="Contract signed + paid",AA497="Closed – No response",AA497="Lost"),"",IF(AA497="","Set a stage",IF(AND(AA497="Proposal sent",COUNTA(Q497:V497)&lt;6),"Score this lead – proposal sent unscored",IF(N(AC497)&gt;=Settings!$S$3,"Close – 4 follow-ups sent",IF(AD497="",IF(AB497="","Make first contact",""),IF(TODAY()&gt;AD497,"OVERDUE follow-up",IF(TODAY()=AD497,"Follow up today","")))))))))</f>
        <v/>
      </c>
    </row>
    <row r="498" customFormat="false" ht="15" hidden="false" customHeight="false" outlineLevel="0" collapsed="false">
      <c r="A498" s="17"/>
      <c r="B498" s="40"/>
      <c r="C498" s="41"/>
      <c r="D498" s="17"/>
      <c r="E498" s="17"/>
      <c r="F498" s="17"/>
      <c r="G498" s="17"/>
      <c r="H498" s="17"/>
      <c r="I498" s="42"/>
      <c r="J498" s="17"/>
      <c r="K498" s="17"/>
      <c r="L498" s="17"/>
      <c r="M498" s="17"/>
      <c r="N498" s="40"/>
      <c r="O498" s="41"/>
      <c r="P498" s="43" t="str">
        <f aca="false">IF(OR(B498="",N498=""),"",ROUND(((N498+N(O498))-(B498+N(C498)))*24,1))</f>
        <v/>
      </c>
      <c r="Q498" s="17"/>
      <c r="R498" s="17"/>
      <c r="S498" s="17"/>
      <c r="T498" s="17"/>
      <c r="U498" s="17"/>
      <c r="V498" s="17"/>
      <c r="W498" s="44" t="str">
        <f aca="false">IF(OR(E498="",COUNTA(Q498:V498)=0),"",SUMIFS(Settings!$AA$2:$AA$21,Settings!$Y$2:$Y$21,"Budget AED 5k+/mo?",Settings!$Z$2:$Z$21,Q498)+SUMIFS(Settings!$AA$2:$AA$21,Settings!$Y$2:$Y$21,"Decision-maker?",Settings!$Z$2:$Z$21,R498)+SUMIFS(Settings!$AA$2:$AA$21,Settings!$Y$2:$Y$21,"Someone on camera?",Settings!$Z$2:$Z$21,S498)+SUMIFS(Settings!$AA$2:$AA$21,Settings!$Y$2:$Y$21,"OK with 3-month term?",Settings!$Z$2:$Z$21,T498)+SUMIFS(Settings!$AA$2:$AA$21,Settings!$Y$2:$Y$21,"Start timeline",Settings!$Z$2:$Z$21,U498)+SUMIFS(Settings!$AA$2:$AA$21,Settings!$Y$2:$Y$21,"Social media gap",Settings!$Z$2:$Z$21,V498)+IF(F498="",0,IF(COUNTIF(Settings!$AC$2:$AC$6,F498)&gt;0,Settings!$AA$20,Settings!$AA$21)))</f>
        <v/>
      </c>
      <c r="X498" s="44" t="str">
        <f aca="false">IF(E498="","",IF(COUNTA(Q498:V498)=0,"Not scored",IF(COUNTA(Q498:V498)&lt;6,"Partly scored ("&amp;COUNTA(Q498:V498)&amp;"/6)",IF(W498&gt;=Settings!$S$8,"Hot",IF(W498&gt;=Settings!$S$9,"Warm","Cold")))))</f>
        <v/>
      </c>
      <c r="Y498" s="44" t="str">
        <f aca="false">IF(E498="","",IF(AND(Q498="No",S498="No"),"🚩 Budget  ·  🚩 No one on camera",IF(Q498="No","🚩 Budget under AED 5k",IF(S498="No","🚩 No one on camera",""))))</f>
        <v/>
      </c>
      <c r="Z498" s="17"/>
      <c r="AA498" s="17"/>
      <c r="AB498" s="40"/>
      <c r="AC498" s="17"/>
      <c r="AD498" s="45" t="str">
        <f aca="false">IF(OR(E498="",AB498="",OR(AA498="Contract signed + paid",AA498="Closed – No response",AA498="Lost"),N(AC498)&gt;=Settings!$S$3),"",AB498+Settings!$S$2)</f>
        <v/>
      </c>
      <c r="AE498" s="40"/>
      <c r="AF498" s="41"/>
      <c r="AG498" s="17"/>
      <c r="AH498" s="17"/>
      <c r="AI498" s="17"/>
      <c r="AJ498" s="46" t="str">
        <f aca="true">IF(OR(E498="",B498=""),"",INT(TODAY()-B498))</f>
        <v/>
      </c>
      <c r="AK498" s="44" t="str">
        <f aca="true">IF(E498="","",IF(OR(COUNTIFS(Clients!$C$2:$C$501,E498,Clients!$S$2:$S$501,"Paid")&gt;0,AND(I498&lt;&gt;"",COUNTIFS(Clients!$E$2:$E$501,I498,Clients!$S$2:$S$501,"Paid")&gt;0)),"⚠ Refunded before – no free video",IF(OR(AA498="Contract signed + paid",AA498="Closed – No response",AA498="Lost"),"",IF(AA498="","Set a stage",IF(AND(AA498="Proposal sent",COUNTA(Q498:V498)&lt;6),"Score this lead – proposal sent unscored",IF(N(AC498)&gt;=Settings!$S$3,"Close – 4 follow-ups sent",IF(AD498="",IF(AB498="","Make first contact",""),IF(TODAY()&gt;AD498,"OVERDUE follow-up",IF(TODAY()=AD498,"Follow up today","")))))))))</f>
        <v/>
      </c>
    </row>
    <row r="499" customFormat="false" ht="15" hidden="false" customHeight="false" outlineLevel="0" collapsed="false">
      <c r="A499" s="17"/>
      <c r="B499" s="40"/>
      <c r="C499" s="41"/>
      <c r="D499" s="17"/>
      <c r="E499" s="17"/>
      <c r="F499" s="17"/>
      <c r="G499" s="17"/>
      <c r="H499" s="17"/>
      <c r="I499" s="42"/>
      <c r="J499" s="17"/>
      <c r="K499" s="17"/>
      <c r="L499" s="17"/>
      <c r="M499" s="17"/>
      <c r="N499" s="40"/>
      <c r="O499" s="41"/>
      <c r="P499" s="43" t="str">
        <f aca="false">IF(OR(B499="",N499=""),"",ROUND(((N499+N(O499))-(B499+N(C499)))*24,1))</f>
        <v/>
      </c>
      <c r="Q499" s="17"/>
      <c r="R499" s="17"/>
      <c r="S499" s="17"/>
      <c r="T499" s="17"/>
      <c r="U499" s="17"/>
      <c r="V499" s="17"/>
      <c r="W499" s="44" t="str">
        <f aca="false">IF(OR(E499="",COUNTA(Q499:V499)=0),"",SUMIFS(Settings!$AA$2:$AA$21,Settings!$Y$2:$Y$21,"Budget AED 5k+/mo?",Settings!$Z$2:$Z$21,Q499)+SUMIFS(Settings!$AA$2:$AA$21,Settings!$Y$2:$Y$21,"Decision-maker?",Settings!$Z$2:$Z$21,R499)+SUMIFS(Settings!$AA$2:$AA$21,Settings!$Y$2:$Y$21,"Someone on camera?",Settings!$Z$2:$Z$21,S499)+SUMIFS(Settings!$AA$2:$AA$21,Settings!$Y$2:$Y$21,"OK with 3-month term?",Settings!$Z$2:$Z$21,T499)+SUMIFS(Settings!$AA$2:$AA$21,Settings!$Y$2:$Y$21,"Start timeline",Settings!$Z$2:$Z$21,U499)+SUMIFS(Settings!$AA$2:$AA$21,Settings!$Y$2:$Y$21,"Social media gap",Settings!$Z$2:$Z$21,V499)+IF(F499="",0,IF(COUNTIF(Settings!$AC$2:$AC$6,F499)&gt;0,Settings!$AA$20,Settings!$AA$21)))</f>
        <v/>
      </c>
      <c r="X499" s="44" t="str">
        <f aca="false">IF(E499="","",IF(COUNTA(Q499:V499)=0,"Not scored",IF(COUNTA(Q499:V499)&lt;6,"Partly scored ("&amp;COUNTA(Q499:V499)&amp;"/6)",IF(W499&gt;=Settings!$S$8,"Hot",IF(W499&gt;=Settings!$S$9,"Warm","Cold")))))</f>
        <v/>
      </c>
      <c r="Y499" s="44" t="str">
        <f aca="false">IF(E499="","",IF(AND(Q499="No",S499="No"),"🚩 Budget  ·  🚩 No one on camera",IF(Q499="No","🚩 Budget under AED 5k",IF(S499="No","🚩 No one on camera",""))))</f>
        <v/>
      </c>
      <c r="Z499" s="17"/>
      <c r="AA499" s="17"/>
      <c r="AB499" s="40"/>
      <c r="AC499" s="17"/>
      <c r="AD499" s="45" t="str">
        <f aca="false">IF(OR(E499="",AB499="",OR(AA499="Contract signed + paid",AA499="Closed – No response",AA499="Lost"),N(AC499)&gt;=Settings!$S$3),"",AB499+Settings!$S$2)</f>
        <v/>
      </c>
      <c r="AE499" s="40"/>
      <c r="AF499" s="41"/>
      <c r="AG499" s="17"/>
      <c r="AH499" s="17"/>
      <c r="AI499" s="17"/>
      <c r="AJ499" s="46" t="str">
        <f aca="true">IF(OR(E499="",B499=""),"",INT(TODAY()-B499))</f>
        <v/>
      </c>
      <c r="AK499" s="44" t="str">
        <f aca="true">IF(E499="","",IF(OR(COUNTIFS(Clients!$C$2:$C$501,E499,Clients!$S$2:$S$501,"Paid")&gt;0,AND(I499&lt;&gt;"",COUNTIFS(Clients!$E$2:$E$501,I499,Clients!$S$2:$S$501,"Paid")&gt;0)),"⚠ Refunded before – no free video",IF(OR(AA499="Contract signed + paid",AA499="Closed – No response",AA499="Lost"),"",IF(AA499="","Set a stage",IF(AND(AA499="Proposal sent",COUNTA(Q499:V499)&lt;6),"Score this lead – proposal sent unscored",IF(N(AC499)&gt;=Settings!$S$3,"Close – 4 follow-ups sent",IF(AD499="",IF(AB499="","Make first contact",""),IF(TODAY()&gt;AD499,"OVERDUE follow-up",IF(TODAY()=AD499,"Follow up today","")))))))))</f>
        <v/>
      </c>
    </row>
    <row r="500" customFormat="false" ht="15" hidden="false" customHeight="false" outlineLevel="0" collapsed="false">
      <c r="A500" s="17"/>
      <c r="B500" s="40"/>
      <c r="C500" s="41"/>
      <c r="D500" s="17"/>
      <c r="E500" s="17"/>
      <c r="F500" s="17"/>
      <c r="G500" s="17"/>
      <c r="H500" s="17"/>
      <c r="I500" s="42"/>
      <c r="J500" s="17"/>
      <c r="K500" s="17"/>
      <c r="L500" s="17"/>
      <c r="M500" s="17"/>
      <c r="N500" s="40"/>
      <c r="O500" s="41"/>
      <c r="P500" s="43" t="str">
        <f aca="false">IF(OR(B500="",N500=""),"",ROUND(((N500+N(O500))-(B500+N(C500)))*24,1))</f>
        <v/>
      </c>
      <c r="Q500" s="17"/>
      <c r="R500" s="17"/>
      <c r="S500" s="17"/>
      <c r="T500" s="17"/>
      <c r="U500" s="17"/>
      <c r="V500" s="17"/>
      <c r="W500" s="44" t="str">
        <f aca="false">IF(OR(E500="",COUNTA(Q500:V500)=0),"",SUMIFS(Settings!$AA$2:$AA$21,Settings!$Y$2:$Y$21,"Budget AED 5k+/mo?",Settings!$Z$2:$Z$21,Q500)+SUMIFS(Settings!$AA$2:$AA$21,Settings!$Y$2:$Y$21,"Decision-maker?",Settings!$Z$2:$Z$21,R500)+SUMIFS(Settings!$AA$2:$AA$21,Settings!$Y$2:$Y$21,"Someone on camera?",Settings!$Z$2:$Z$21,S500)+SUMIFS(Settings!$AA$2:$AA$21,Settings!$Y$2:$Y$21,"OK with 3-month term?",Settings!$Z$2:$Z$21,T500)+SUMIFS(Settings!$AA$2:$AA$21,Settings!$Y$2:$Y$21,"Start timeline",Settings!$Z$2:$Z$21,U500)+SUMIFS(Settings!$AA$2:$AA$21,Settings!$Y$2:$Y$21,"Social media gap",Settings!$Z$2:$Z$21,V500)+IF(F500="",0,IF(COUNTIF(Settings!$AC$2:$AC$6,F500)&gt;0,Settings!$AA$20,Settings!$AA$21)))</f>
        <v/>
      </c>
      <c r="X500" s="44" t="str">
        <f aca="false">IF(E500="","",IF(COUNTA(Q500:V500)=0,"Not scored",IF(COUNTA(Q500:V500)&lt;6,"Partly scored ("&amp;COUNTA(Q500:V500)&amp;"/6)",IF(W500&gt;=Settings!$S$8,"Hot",IF(W500&gt;=Settings!$S$9,"Warm","Cold")))))</f>
        <v/>
      </c>
      <c r="Y500" s="44" t="str">
        <f aca="false">IF(E500="","",IF(AND(Q500="No",S500="No"),"🚩 Budget  ·  🚩 No one on camera",IF(Q500="No","🚩 Budget under AED 5k",IF(S500="No","🚩 No one on camera",""))))</f>
        <v/>
      </c>
      <c r="Z500" s="17"/>
      <c r="AA500" s="17"/>
      <c r="AB500" s="40"/>
      <c r="AC500" s="17"/>
      <c r="AD500" s="45" t="str">
        <f aca="false">IF(OR(E500="",AB500="",OR(AA500="Contract signed + paid",AA500="Closed – No response",AA500="Lost"),N(AC500)&gt;=Settings!$S$3),"",AB500+Settings!$S$2)</f>
        <v/>
      </c>
      <c r="AE500" s="40"/>
      <c r="AF500" s="41"/>
      <c r="AG500" s="17"/>
      <c r="AH500" s="17"/>
      <c r="AI500" s="17"/>
      <c r="AJ500" s="46" t="str">
        <f aca="true">IF(OR(E500="",B500=""),"",INT(TODAY()-B500))</f>
        <v/>
      </c>
      <c r="AK500" s="44" t="str">
        <f aca="true">IF(E500="","",IF(OR(COUNTIFS(Clients!$C$2:$C$501,E500,Clients!$S$2:$S$501,"Paid")&gt;0,AND(I500&lt;&gt;"",COUNTIFS(Clients!$E$2:$E$501,I500,Clients!$S$2:$S$501,"Paid")&gt;0)),"⚠ Refunded before – no free video",IF(OR(AA500="Contract signed + paid",AA500="Closed – No response",AA500="Lost"),"",IF(AA500="","Set a stage",IF(AND(AA500="Proposal sent",COUNTA(Q500:V500)&lt;6),"Score this lead – proposal sent unscored",IF(N(AC500)&gt;=Settings!$S$3,"Close – 4 follow-ups sent",IF(AD500="",IF(AB500="","Make first contact",""),IF(TODAY()&gt;AD500,"OVERDUE follow-up",IF(TODAY()=AD500,"Follow up today","")))))))))</f>
        <v/>
      </c>
    </row>
    <row r="501" customFormat="false" ht="15" hidden="false" customHeight="false" outlineLevel="0" collapsed="false">
      <c r="A501" s="17"/>
      <c r="B501" s="40"/>
      <c r="C501" s="41"/>
      <c r="D501" s="17"/>
      <c r="E501" s="17"/>
      <c r="F501" s="17"/>
      <c r="G501" s="17"/>
      <c r="H501" s="17"/>
      <c r="I501" s="42"/>
      <c r="J501" s="17"/>
      <c r="K501" s="17"/>
      <c r="L501" s="17"/>
      <c r="M501" s="17"/>
      <c r="N501" s="40"/>
      <c r="O501" s="41"/>
      <c r="P501" s="43" t="str">
        <f aca="false">IF(OR(B501="",N501=""),"",ROUND(((N501+N(O501))-(B501+N(C501)))*24,1))</f>
        <v/>
      </c>
      <c r="Q501" s="17"/>
      <c r="R501" s="17"/>
      <c r="S501" s="17"/>
      <c r="T501" s="17"/>
      <c r="U501" s="17"/>
      <c r="V501" s="17"/>
      <c r="W501" s="44" t="str">
        <f aca="false">IF(OR(E501="",COUNTA(Q501:V501)=0),"",SUMIFS(Settings!$AA$2:$AA$21,Settings!$Y$2:$Y$21,"Budget AED 5k+/mo?",Settings!$Z$2:$Z$21,Q501)+SUMIFS(Settings!$AA$2:$AA$21,Settings!$Y$2:$Y$21,"Decision-maker?",Settings!$Z$2:$Z$21,R501)+SUMIFS(Settings!$AA$2:$AA$21,Settings!$Y$2:$Y$21,"Someone on camera?",Settings!$Z$2:$Z$21,S501)+SUMIFS(Settings!$AA$2:$AA$21,Settings!$Y$2:$Y$21,"OK with 3-month term?",Settings!$Z$2:$Z$21,T501)+SUMIFS(Settings!$AA$2:$AA$21,Settings!$Y$2:$Y$21,"Start timeline",Settings!$Z$2:$Z$21,U501)+SUMIFS(Settings!$AA$2:$AA$21,Settings!$Y$2:$Y$21,"Social media gap",Settings!$Z$2:$Z$21,V501)+IF(F501="",0,IF(COUNTIF(Settings!$AC$2:$AC$6,F501)&gt;0,Settings!$AA$20,Settings!$AA$21)))</f>
        <v/>
      </c>
      <c r="X501" s="44" t="str">
        <f aca="false">IF(E501="","",IF(COUNTA(Q501:V501)=0,"Not scored",IF(COUNTA(Q501:V501)&lt;6,"Partly scored ("&amp;COUNTA(Q501:V501)&amp;"/6)",IF(W501&gt;=Settings!$S$8,"Hot",IF(W501&gt;=Settings!$S$9,"Warm","Cold")))))</f>
        <v/>
      </c>
      <c r="Y501" s="44" t="str">
        <f aca="false">IF(E501="","",IF(AND(Q501="No",S501="No"),"🚩 Budget  ·  🚩 No one on camera",IF(Q501="No","🚩 Budget under AED 5k",IF(S501="No","🚩 No one on camera",""))))</f>
        <v/>
      </c>
      <c r="Z501" s="17"/>
      <c r="AA501" s="17"/>
      <c r="AB501" s="40"/>
      <c r="AC501" s="17"/>
      <c r="AD501" s="45" t="str">
        <f aca="false">IF(OR(E501="",AB501="",OR(AA501="Contract signed + paid",AA501="Closed – No response",AA501="Lost"),N(AC501)&gt;=Settings!$S$3),"",AB501+Settings!$S$2)</f>
        <v/>
      </c>
      <c r="AE501" s="40"/>
      <c r="AF501" s="41"/>
      <c r="AG501" s="17"/>
      <c r="AH501" s="17"/>
      <c r="AI501" s="17"/>
      <c r="AJ501" s="46" t="str">
        <f aca="true">IF(OR(E501="",B501=""),"",INT(TODAY()-B501))</f>
        <v/>
      </c>
      <c r="AK501" s="44" t="str">
        <f aca="true">IF(E501="","",IF(OR(COUNTIFS(Clients!$C$2:$C$501,E501,Clients!$S$2:$S$501,"Paid")&gt;0,AND(I501&lt;&gt;"",COUNTIFS(Clients!$E$2:$E$501,I501,Clients!$S$2:$S$501,"Paid")&gt;0)),"⚠ Refunded before – no free video",IF(OR(AA501="Contract signed + paid",AA501="Closed – No response",AA501="Lost"),"",IF(AA501="","Set a stage",IF(AND(AA501="Proposal sent",COUNTA(Q501:V501)&lt;6),"Score this lead – proposal sent unscored",IF(N(AC501)&gt;=Settings!$S$3,"Close – 4 follow-ups sent",IF(AD501="",IF(AB501="","Make first contact",""),IF(TODAY()&gt;AD501,"OVERDUE follow-up",IF(TODAY()=AD501,"Follow up today","")))))))))</f>
        <v/>
      </c>
    </row>
  </sheetData>
  <autoFilter ref="A1:AK501"/>
  <conditionalFormatting sqref="A2:AK501">
    <cfRule type="expression" priority="2" aboveAverage="0" equalAverage="0" bottom="0" percent="0" rank="0" text="" dxfId="7">
      <formula>$AA2="Contract signed + paid"</formula>
    </cfRule>
    <cfRule type="expression" priority="3" aboveAverage="0" equalAverage="0" bottom="0" percent="0" rank="0" text="" dxfId="8">
      <formula>OR($AA2="Closed – No response",$AA2="Lost")</formula>
    </cfRule>
  </conditionalFormatting>
  <conditionalFormatting sqref="AK2:AK501">
    <cfRule type="expression" priority="4" aboveAverage="0" equalAverage="0" bottom="0" percent="0" rank="0" text="" dxfId="9">
      <formula>LEFT(AK2,1)="⚠"</formula>
    </cfRule>
    <cfRule type="expression" priority="5" aboveAverage="0" equalAverage="0" bottom="0" percent="0" rank="0" text="" dxfId="10">
      <formula>AK2="OVERDUE follow-up"</formula>
    </cfRule>
    <cfRule type="expression" priority="6" aboveAverage="0" equalAverage="0" bottom="0" percent="0" rank="0" text="" dxfId="11">
      <formula>AK2="Follow up today"</formula>
    </cfRule>
    <cfRule type="expression" priority="7" aboveAverage="0" equalAverage="0" bottom="0" percent="0" rank="0" text="" dxfId="12">
      <formula>AK2="Close – 4 follow-ups sent"</formula>
    </cfRule>
    <cfRule type="expression" priority="8" aboveAverage="0" equalAverage="0" bottom="0" percent="0" rank="0" text="" dxfId="13">
      <formula>OR(AK2="Make first contact",AK2="Set a stage")</formula>
    </cfRule>
    <cfRule type="expression" priority="9" aboveAverage="0" equalAverage="0" bottom="0" percent="0" rank="0" text="" dxfId="14">
      <formula>LEFT(AK2,5)="Score"</formula>
    </cfRule>
  </conditionalFormatting>
  <conditionalFormatting sqref="X2:X501">
    <cfRule type="expression" priority="10" aboveAverage="0" equalAverage="0" bottom="0" percent="0" rank="0" text="" dxfId="10">
      <formula>X2="Hot"</formula>
    </cfRule>
    <cfRule type="expression" priority="11" aboveAverage="0" equalAverage="0" bottom="0" percent="0" rank="0" text="" dxfId="14">
      <formula>X2="Warm"</formula>
    </cfRule>
    <cfRule type="expression" priority="12" aboveAverage="0" equalAverage="0" bottom="0" percent="0" rank="0" text="" dxfId="15">
      <formula>X2="Cold"</formula>
    </cfRule>
    <cfRule type="expression" priority="13" aboveAverage="0" equalAverage="0" bottom="0" percent="0" rank="0" text="" dxfId="8">
      <formula>OR(X2="Not scored",LEFT(X2,6)="Partly")</formula>
    </cfRule>
  </conditionalFormatting>
  <conditionalFormatting sqref="Y2:Y501">
    <cfRule type="expression" priority="14" aboveAverage="0" equalAverage="0" bottom="0" percent="0" rank="0" text="" dxfId="9">
      <formula>Y2&lt;&gt;""</formula>
    </cfRule>
  </conditionalFormatting>
  <dataValidations count="21">
    <dataValidation allowBlank="true" error="Enter a whole number from 0 to 4." errorStyle="stop" operator="between" showDropDown="false" showErrorMessage="false" showInputMessage="false" sqref="AC2:AC501" type="whole">
      <formula1>0</formula1>
      <formula2>4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D2:D501" type="list">
      <formula1>Settings!$B$2:$B$8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F2:F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Z2:Z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AA2:AA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AG2:AG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AH2:AH501" type="list">
      <formula1>Settings!$O$2:$O$8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M2:M501" type="list">
      <formula1>Settings!$P$2:$P$6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Q2:Q501" type="list">
      <formula1>Settings!$Z$2:$Z$4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Settings!$Z$5:$Z$7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S2:S501" type="list">
      <formula1>Settings!$Z$8:$Z$10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T2:T501" type="list">
      <formula1>Settings!$Z$11:$Z$13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U2:U501" type="list">
      <formula1>Settings!$Z$14:$Z$16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V2:V501" type="list">
      <formula1>Settings!$Z$17:$Z$19</formula1>
      <formula2>0</formula2>
    </dataValidation>
    <dataValidation allowBlank="true" error="Enter a date - double-click the cell for a calendar." errorStyle="stop" errorTitle="Not a date" operator="between" showDropDown="false" showErrorMessage="false" showInputMessage="false" sqref="B2:B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AB2:AB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AE2:AE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N2:N501" type="date">
      <formula1>DATE(2020,1,1)</formula1>
      <formula2>DATE(2100,12,31)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AF2:AF501" type="list">
      <formula1>Settings!$Q$2:$Q$26</formula1>
      <formula2>0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C2:C501" type="list">
      <formula1>Settings!$W$2:$W$49</formula1>
      <formula2>0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O2:O501" type="list">
      <formula1>Settings!$W$2:$W$49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false"/>
  </sheetPr>
  <dimension ref="A1:A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2" min="10" style="0" width="16"/>
    <col collapsed="false" customWidth="true" hidden="false" outlineLevel="0" max="13" min="13" style="0" width="22"/>
    <col collapsed="false" customWidth="true" hidden="false" outlineLevel="0" max="19" min="14" style="0" width="13"/>
    <col collapsed="false" customWidth="true" hidden="false" outlineLevel="0" max="20" min="20" style="0" width="9"/>
    <col collapsed="false" customWidth="true" hidden="false" outlineLevel="0" max="21" min="21" style="0" width="18"/>
    <col collapsed="false" customWidth="true" hidden="false" outlineLevel="0" max="22" min="22" style="0" width="30"/>
    <col collapsed="false" customWidth="true" hidden="false" outlineLevel="0" max="23" min="23" style="0" width="16"/>
    <col collapsed="false" customWidth="true" hidden="false" outlineLevel="0" max="24" min="24" style="0" width="22"/>
    <col collapsed="false" customWidth="true" hidden="false" outlineLevel="0" max="30" min="25" style="0" width="16"/>
    <col collapsed="false" customWidth="true" hidden="false" outlineLevel="0" max="31" min="31" style="0" width="22"/>
    <col collapsed="false" customWidth="true" hidden="false" outlineLevel="0" max="32" min="32" style="0" width="34"/>
    <col collapsed="false" customWidth="true" hidden="false" outlineLevel="0" max="33" min="33" style="0" width="16"/>
    <col collapsed="false" customWidth="true" hidden="false" outlineLevel="0" max="34" min="34" style="0" width="30"/>
  </cols>
  <sheetData>
    <row r="1" customFormat="false" ht="31.5" hidden="false" customHeight="true" outlineLevel="0" collapsed="false">
      <c r="A1" s="29" t="s">
        <v>144</v>
      </c>
      <c r="B1" s="29" t="s">
        <v>194</v>
      </c>
      <c r="C1" s="29" t="s">
        <v>147</v>
      </c>
      <c r="D1" s="29" t="s">
        <v>148</v>
      </c>
      <c r="E1" s="29" t="s">
        <v>149</v>
      </c>
      <c r="F1" s="29" t="s">
        <v>150</v>
      </c>
      <c r="G1" s="29" t="s">
        <v>151</v>
      </c>
      <c r="H1" s="29" t="s">
        <v>152</v>
      </c>
      <c r="I1" s="29" t="s">
        <v>153</v>
      </c>
      <c r="J1" s="29" t="s">
        <v>154</v>
      </c>
      <c r="K1" s="29" t="s">
        <v>195</v>
      </c>
      <c r="L1" s="29" t="s">
        <v>155</v>
      </c>
      <c r="M1" s="29" t="s">
        <v>196</v>
      </c>
      <c r="N1" s="29" t="s">
        <v>160</v>
      </c>
      <c r="O1" s="29" t="s">
        <v>161</v>
      </c>
      <c r="P1" s="29" t="s">
        <v>162</v>
      </c>
      <c r="Q1" s="29" t="s">
        <v>163</v>
      </c>
      <c r="R1" s="29" t="s">
        <v>164</v>
      </c>
      <c r="S1" s="29" t="s">
        <v>165</v>
      </c>
      <c r="T1" s="30" t="s">
        <v>49</v>
      </c>
      <c r="U1" s="30" t="s">
        <v>166</v>
      </c>
      <c r="V1" s="30" t="s">
        <v>51</v>
      </c>
      <c r="W1" s="29" t="s">
        <v>62</v>
      </c>
      <c r="X1" s="29" t="s">
        <v>167</v>
      </c>
      <c r="Y1" s="29" t="s">
        <v>168</v>
      </c>
      <c r="Z1" s="29" t="s">
        <v>169</v>
      </c>
      <c r="AA1" s="30" t="s">
        <v>170</v>
      </c>
      <c r="AB1" s="29" t="s">
        <v>171</v>
      </c>
      <c r="AC1" s="29" t="s">
        <v>172</v>
      </c>
      <c r="AD1" s="29" t="s">
        <v>173</v>
      </c>
      <c r="AE1" s="29" t="s">
        <v>174</v>
      </c>
      <c r="AF1" s="29" t="s">
        <v>175</v>
      </c>
      <c r="AG1" s="30" t="s">
        <v>176</v>
      </c>
      <c r="AH1" s="30" t="s">
        <v>177</v>
      </c>
    </row>
    <row r="2" customFormat="false" ht="15" hidden="false" customHeight="false" outlineLevel="0" collapsed="false">
      <c r="A2" s="31" t="s">
        <v>197</v>
      </c>
      <c r="B2" s="32" t="n">
        <v>46308</v>
      </c>
      <c r="C2" s="31" t="s">
        <v>198</v>
      </c>
      <c r="D2" s="31" t="s">
        <v>199</v>
      </c>
      <c r="E2" s="31" t="s">
        <v>200</v>
      </c>
      <c r="F2" s="31" t="s">
        <v>201</v>
      </c>
      <c r="G2" s="31" t="s">
        <v>202</v>
      </c>
      <c r="H2" s="34" t="s">
        <v>203</v>
      </c>
      <c r="I2" s="31" t="s">
        <v>204</v>
      </c>
      <c r="J2" s="31" t="s">
        <v>205</v>
      </c>
      <c r="K2" s="31" t="s">
        <v>206</v>
      </c>
      <c r="L2" s="31" t="s">
        <v>207</v>
      </c>
      <c r="M2" s="31" t="s">
        <v>208</v>
      </c>
      <c r="N2" s="31" t="s">
        <v>209</v>
      </c>
      <c r="O2" s="31" t="s">
        <v>210</v>
      </c>
      <c r="P2" s="31" t="s">
        <v>211</v>
      </c>
      <c r="Q2" s="31" t="s">
        <v>212</v>
      </c>
      <c r="R2" s="31" t="s">
        <v>213</v>
      </c>
      <c r="S2" s="31" t="s">
        <v>214</v>
      </c>
      <c r="T2" s="36" t="n">
        <f aca="false">IF(OR(D2="",COUNTA(N2:S2)=0),"",SUMIFS(Settings!$AA$2:$AA$21,Settings!$Y$2:$Y$21,"Budget AED 5k+/mo?",Settings!$Z$2:$Z$21,N2)+SUMIFS(Settings!$AA$2:$AA$21,Settings!$Y$2:$Y$21,"Decision-maker?",Settings!$Z$2:$Z$21,O2)+SUMIFS(Settings!$AA$2:$AA$21,Settings!$Y$2:$Y$21,"Someone on camera?",Settings!$Z$2:$Z$21,P2)+SUMIFS(Settings!$AA$2:$AA$21,Settings!$Y$2:$Y$21,"OK with 3-month term?",Settings!$Z$2:$Z$21,Q2)+SUMIFS(Settings!$AA$2:$AA$21,Settings!$Y$2:$Y$21,"Start timeline",Settings!$Z$2:$Z$21,R2)+SUMIFS(Settings!$AA$2:$AA$21,Settings!$Y$2:$Y$21,"Social media gap",Settings!$Z$2:$Z$21,S2)+IF(E2="",0,IF(COUNTIF(Settings!$AC$2:$AC$6,E2)&gt;0,Settings!$AA$20,Settings!$AA$21)))</f>
        <v>46</v>
      </c>
      <c r="U2" s="37" t="str">
        <f aca="false">IF(D2="","",IF(COUNTA(N2:S2)=0,"Not scored",IF(COUNTA(N2:S2)&lt;6,"Partly scored ("&amp;COUNTA(N2:S2)&amp;"/6)",IF(T2&gt;=Settings!$S$8,"Hot",IF(T2&gt;=Settings!$S$9,"Warm","Cold")))))</f>
        <v>Warm</v>
      </c>
      <c r="V2" s="37" t="str">
        <f aca="false">IF(D2="","",IF(AND(N2="No",P2="No"),"🚩 Budget  ·  🚩 No one on camera",IF(N2="No","🚩 Budget under AED 5k",IF(P2="No","🚩 No one on camera",""))))</f>
        <v>🚩 No one on camera</v>
      </c>
      <c r="W2" s="31" t="s">
        <v>56</v>
      </c>
      <c r="X2" s="31" t="s">
        <v>215</v>
      </c>
      <c r="Y2" s="32" t="n">
        <v>46311</v>
      </c>
      <c r="Z2" s="31" t="n">
        <v>0</v>
      </c>
      <c r="AA2" s="38" t="n">
        <f aca="false">IF(OR(D2="",Y2="",OR(X2="Contract signed + paid",X2="Closed – No response",X2="Lost"),N(Z2)&gt;=Settings!$S$3),"",Y2+Settings!$S$2)</f>
        <v>46314</v>
      </c>
      <c r="AB2" s="32"/>
      <c r="AC2" s="33"/>
      <c r="AD2" s="31" t="s">
        <v>216</v>
      </c>
      <c r="AE2" s="31"/>
      <c r="AF2" s="31" t="s">
        <v>193</v>
      </c>
      <c r="AG2" s="39" t="n">
        <f aca="true">IF(OR(D2="",B2=""),"",INT(TODAY()-B2))</f>
        <v>8</v>
      </c>
      <c r="AH2" s="37" t="str">
        <f aca="true">IF(D2="","",IF(OR(COUNTIFS(Clients!$C$2:$C$501,D2,Clients!$S$2:$S$501,"Paid")&gt;0,AND(H2&lt;&gt;"",COUNTIFS(Clients!$E$2:$E$501,H2,Clients!$S$2:$S$501,"Paid")&gt;0)),"⚠ Refunded before – no free video",IF(OR(X2="Contract signed + paid",X2="Closed – No response",X2="Lost"),"",IF(X2="","Set a stage",IF(AND(X2="Proposal sent",COUNTA(N2:S2)&lt;6),"Score this lead – proposal sent unscored",IF(N(Z2)&gt;=Settings!$S$3,"Close – 4 follow-ups sent",IF(AA2="",IF(Y2="","Make first contact",""),IF(TODAY()&gt;AA2,"OVERDUE follow-up",IF(TODAY()=AA2,"Follow up today","")))))))))</f>
        <v>OVERDUE follow-up</v>
      </c>
    </row>
    <row r="3" customFormat="false" ht="15" hidden="false" customHeight="false" outlineLevel="0" collapsed="false">
      <c r="A3" s="17"/>
      <c r="B3" s="40"/>
      <c r="C3" s="17"/>
      <c r="D3" s="17"/>
      <c r="E3" s="17"/>
      <c r="F3" s="17"/>
      <c r="G3" s="17"/>
      <c r="H3" s="42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44" t="str">
        <f aca="false">IF(OR(D3="",COUNTA(N3:S3)=0),"",SUMIFS(Settings!$AA$2:$AA$21,Settings!$Y$2:$Y$21,"Budget AED 5k+/mo?",Settings!$Z$2:$Z$21,N3)+SUMIFS(Settings!$AA$2:$AA$21,Settings!$Y$2:$Y$21,"Decision-maker?",Settings!$Z$2:$Z$21,O3)+SUMIFS(Settings!$AA$2:$AA$21,Settings!$Y$2:$Y$21,"Someone on camera?",Settings!$Z$2:$Z$21,P3)+SUMIFS(Settings!$AA$2:$AA$21,Settings!$Y$2:$Y$21,"OK with 3-month term?",Settings!$Z$2:$Z$21,Q3)+SUMIFS(Settings!$AA$2:$AA$21,Settings!$Y$2:$Y$21,"Start timeline",Settings!$Z$2:$Z$21,R3)+SUMIFS(Settings!$AA$2:$AA$21,Settings!$Y$2:$Y$21,"Social media gap",Settings!$Z$2:$Z$21,S3)+IF(E3="",0,IF(COUNTIF(Settings!$AC$2:$AC$6,E3)&gt;0,Settings!$AA$20,Settings!$AA$21)))</f>
        <v/>
      </c>
      <c r="U3" s="44" t="str">
        <f aca="false">IF(D3="","",IF(COUNTA(N3:S3)=0,"Not scored",IF(COUNTA(N3:S3)&lt;6,"Partly scored ("&amp;COUNTA(N3:S3)&amp;"/6)",IF(T3&gt;=Settings!$S$8,"Hot",IF(T3&gt;=Settings!$S$9,"Warm","Cold")))))</f>
        <v/>
      </c>
      <c r="V3" s="44" t="str">
        <f aca="false">IF(D3="","",IF(AND(N3="No",P3="No"),"🚩 Budget  ·  🚩 No one on camera",IF(N3="No","🚩 Budget under AED 5k",IF(P3="No","🚩 No one on camera",""))))</f>
        <v/>
      </c>
      <c r="W3" s="17"/>
      <c r="X3" s="17"/>
      <c r="Y3" s="40"/>
      <c r="Z3" s="17"/>
      <c r="AA3" s="45" t="str">
        <f aca="false">IF(OR(D3="",Y3="",OR(X3="Contract signed + paid",X3="Closed – No response",X3="Lost"),N(Z3)&gt;=Settings!$S$3),"",Y3+Settings!$S$2)</f>
        <v/>
      </c>
      <c r="AB3" s="40"/>
      <c r="AC3" s="41"/>
      <c r="AD3" s="17"/>
      <c r="AE3" s="17"/>
      <c r="AF3" s="17"/>
      <c r="AG3" s="46" t="str">
        <f aca="true">IF(OR(D3="",B3=""),"",INT(TODAY()-B3))</f>
        <v/>
      </c>
      <c r="AH3" s="44" t="str">
        <f aca="true">IF(D3="","",IF(OR(COUNTIFS(Clients!$C$2:$C$501,D3,Clients!$S$2:$S$501,"Paid")&gt;0,AND(H3&lt;&gt;"",COUNTIFS(Clients!$E$2:$E$501,H3,Clients!$S$2:$S$501,"Paid")&gt;0)),"⚠ Refunded before – no free video",IF(OR(X3="Contract signed + paid",X3="Closed – No response",X3="Lost"),"",IF(X3="","Set a stage",IF(AND(X3="Proposal sent",COUNTA(N3:S3)&lt;6),"Score this lead – proposal sent unscored",IF(N(Z3)&gt;=Settings!$S$3,"Close – 4 follow-ups sent",IF(AA3="",IF(Y3="","Make first contact",""),IF(TODAY()&gt;AA3,"OVERDUE follow-up",IF(TODAY()=AA3,"Follow up today","")))))))))</f>
        <v/>
      </c>
    </row>
    <row r="4" customFormat="false" ht="15" hidden="false" customHeight="false" outlineLevel="0" collapsed="false">
      <c r="A4" s="17"/>
      <c r="B4" s="40"/>
      <c r="C4" s="17"/>
      <c r="D4" s="17"/>
      <c r="E4" s="17"/>
      <c r="F4" s="17"/>
      <c r="G4" s="17"/>
      <c r="H4" s="42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44" t="str">
        <f aca="false">IF(OR(D4="",COUNTA(N4:S4)=0),"",SUMIFS(Settings!$AA$2:$AA$21,Settings!$Y$2:$Y$21,"Budget AED 5k+/mo?",Settings!$Z$2:$Z$21,N4)+SUMIFS(Settings!$AA$2:$AA$21,Settings!$Y$2:$Y$21,"Decision-maker?",Settings!$Z$2:$Z$21,O4)+SUMIFS(Settings!$AA$2:$AA$21,Settings!$Y$2:$Y$21,"Someone on camera?",Settings!$Z$2:$Z$21,P4)+SUMIFS(Settings!$AA$2:$AA$21,Settings!$Y$2:$Y$21,"OK with 3-month term?",Settings!$Z$2:$Z$21,Q4)+SUMIFS(Settings!$AA$2:$AA$21,Settings!$Y$2:$Y$21,"Start timeline",Settings!$Z$2:$Z$21,R4)+SUMIFS(Settings!$AA$2:$AA$21,Settings!$Y$2:$Y$21,"Social media gap",Settings!$Z$2:$Z$21,S4)+IF(E4="",0,IF(COUNTIF(Settings!$AC$2:$AC$6,E4)&gt;0,Settings!$AA$20,Settings!$AA$21)))</f>
        <v/>
      </c>
      <c r="U4" s="44" t="str">
        <f aca="false">IF(D4="","",IF(COUNTA(N4:S4)=0,"Not scored",IF(COUNTA(N4:S4)&lt;6,"Partly scored ("&amp;COUNTA(N4:S4)&amp;"/6)",IF(T4&gt;=Settings!$S$8,"Hot",IF(T4&gt;=Settings!$S$9,"Warm","Cold")))))</f>
        <v/>
      </c>
      <c r="V4" s="44" t="str">
        <f aca="false">IF(D4="","",IF(AND(N4="No",P4="No"),"🚩 Budget  ·  🚩 No one on camera",IF(N4="No","🚩 Budget under AED 5k",IF(P4="No","🚩 No one on camera",""))))</f>
        <v/>
      </c>
      <c r="W4" s="17"/>
      <c r="X4" s="17"/>
      <c r="Y4" s="40"/>
      <c r="Z4" s="17"/>
      <c r="AA4" s="45" t="str">
        <f aca="false">IF(OR(D4="",Y4="",OR(X4="Contract signed + paid",X4="Closed – No response",X4="Lost"),N(Z4)&gt;=Settings!$S$3),"",Y4+Settings!$S$2)</f>
        <v/>
      </c>
      <c r="AB4" s="40"/>
      <c r="AC4" s="41"/>
      <c r="AD4" s="17"/>
      <c r="AE4" s="17"/>
      <c r="AF4" s="17"/>
      <c r="AG4" s="46" t="str">
        <f aca="true">IF(OR(D4="",B4=""),"",INT(TODAY()-B4))</f>
        <v/>
      </c>
      <c r="AH4" s="44" t="str">
        <f aca="true">IF(D4="","",IF(OR(COUNTIFS(Clients!$C$2:$C$501,D4,Clients!$S$2:$S$501,"Paid")&gt;0,AND(H4&lt;&gt;"",COUNTIFS(Clients!$E$2:$E$501,H4,Clients!$S$2:$S$501,"Paid")&gt;0)),"⚠ Refunded before – no free video",IF(OR(X4="Contract signed + paid",X4="Closed – No response",X4="Lost"),"",IF(X4="","Set a stage",IF(AND(X4="Proposal sent",COUNTA(N4:S4)&lt;6),"Score this lead – proposal sent unscored",IF(N(Z4)&gt;=Settings!$S$3,"Close – 4 follow-ups sent",IF(AA4="",IF(Y4="","Make first contact",""),IF(TODAY()&gt;AA4,"OVERDUE follow-up",IF(TODAY()=AA4,"Follow up today","")))))))))</f>
        <v/>
      </c>
    </row>
    <row r="5" customFormat="false" ht="15" hidden="false" customHeight="false" outlineLevel="0" collapsed="false">
      <c r="A5" s="17"/>
      <c r="B5" s="40"/>
      <c r="C5" s="17"/>
      <c r="D5" s="17"/>
      <c r="E5" s="17"/>
      <c r="F5" s="17"/>
      <c r="G5" s="17"/>
      <c r="H5" s="42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44" t="str">
        <f aca="false">IF(OR(D5="",COUNTA(N5:S5)=0),"",SUMIFS(Settings!$AA$2:$AA$21,Settings!$Y$2:$Y$21,"Budget AED 5k+/mo?",Settings!$Z$2:$Z$21,N5)+SUMIFS(Settings!$AA$2:$AA$21,Settings!$Y$2:$Y$21,"Decision-maker?",Settings!$Z$2:$Z$21,O5)+SUMIFS(Settings!$AA$2:$AA$21,Settings!$Y$2:$Y$21,"Someone on camera?",Settings!$Z$2:$Z$21,P5)+SUMIFS(Settings!$AA$2:$AA$21,Settings!$Y$2:$Y$21,"OK with 3-month term?",Settings!$Z$2:$Z$21,Q5)+SUMIFS(Settings!$AA$2:$AA$21,Settings!$Y$2:$Y$21,"Start timeline",Settings!$Z$2:$Z$21,R5)+SUMIFS(Settings!$AA$2:$AA$21,Settings!$Y$2:$Y$21,"Social media gap",Settings!$Z$2:$Z$21,S5)+IF(E5="",0,IF(COUNTIF(Settings!$AC$2:$AC$6,E5)&gt;0,Settings!$AA$20,Settings!$AA$21)))</f>
        <v/>
      </c>
      <c r="U5" s="44" t="str">
        <f aca="false">IF(D5="","",IF(COUNTA(N5:S5)=0,"Not scored",IF(COUNTA(N5:S5)&lt;6,"Partly scored ("&amp;COUNTA(N5:S5)&amp;"/6)",IF(T5&gt;=Settings!$S$8,"Hot",IF(T5&gt;=Settings!$S$9,"Warm","Cold")))))</f>
        <v/>
      </c>
      <c r="V5" s="44" t="str">
        <f aca="false">IF(D5="","",IF(AND(N5="No",P5="No"),"🚩 Budget  ·  🚩 No one on camera",IF(N5="No","🚩 Budget under AED 5k",IF(P5="No","🚩 No one on camera",""))))</f>
        <v/>
      </c>
      <c r="W5" s="17"/>
      <c r="X5" s="17"/>
      <c r="Y5" s="40"/>
      <c r="Z5" s="17"/>
      <c r="AA5" s="45" t="str">
        <f aca="false">IF(OR(D5="",Y5="",OR(X5="Contract signed + paid",X5="Closed – No response",X5="Lost"),N(Z5)&gt;=Settings!$S$3),"",Y5+Settings!$S$2)</f>
        <v/>
      </c>
      <c r="AB5" s="40"/>
      <c r="AC5" s="41"/>
      <c r="AD5" s="17"/>
      <c r="AE5" s="17"/>
      <c r="AF5" s="17"/>
      <c r="AG5" s="46" t="str">
        <f aca="true">IF(OR(D5="",B5=""),"",INT(TODAY()-B5))</f>
        <v/>
      </c>
      <c r="AH5" s="44" t="str">
        <f aca="true">IF(D5="","",IF(OR(COUNTIFS(Clients!$C$2:$C$501,D5,Clients!$S$2:$S$501,"Paid")&gt;0,AND(H5&lt;&gt;"",COUNTIFS(Clients!$E$2:$E$501,H5,Clients!$S$2:$S$501,"Paid")&gt;0)),"⚠ Refunded before – no free video",IF(OR(X5="Contract signed + paid",X5="Closed – No response",X5="Lost"),"",IF(X5="","Set a stage",IF(AND(X5="Proposal sent",COUNTA(N5:S5)&lt;6),"Score this lead – proposal sent unscored",IF(N(Z5)&gt;=Settings!$S$3,"Close – 4 follow-ups sent",IF(AA5="",IF(Y5="","Make first contact",""),IF(TODAY()&gt;AA5,"OVERDUE follow-up",IF(TODAY()=AA5,"Follow up today","")))))))))</f>
        <v/>
      </c>
    </row>
    <row r="6" customFormat="false" ht="15" hidden="false" customHeight="false" outlineLevel="0" collapsed="false">
      <c r="A6" s="17"/>
      <c r="B6" s="40"/>
      <c r="C6" s="17"/>
      <c r="D6" s="17"/>
      <c r="E6" s="17"/>
      <c r="F6" s="17"/>
      <c r="G6" s="17"/>
      <c r="H6" s="42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44" t="str">
        <f aca="false">IF(OR(D6="",COUNTA(N6:S6)=0),"",SUMIFS(Settings!$AA$2:$AA$21,Settings!$Y$2:$Y$21,"Budget AED 5k+/mo?",Settings!$Z$2:$Z$21,N6)+SUMIFS(Settings!$AA$2:$AA$21,Settings!$Y$2:$Y$21,"Decision-maker?",Settings!$Z$2:$Z$21,O6)+SUMIFS(Settings!$AA$2:$AA$21,Settings!$Y$2:$Y$21,"Someone on camera?",Settings!$Z$2:$Z$21,P6)+SUMIFS(Settings!$AA$2:$AA$21,Settings!$Y$2:$Y$21,"OK with 3-month term?",Settings!$Z$2:$Z$21,Q6)+SUMIFS(Settings!$AA$2:$AA$21,Settings!$Y$2:$Y$21,"Start timeline",Settings!$Z$2:$Z$21,R6)+SUMIFS(Settings!$AA$2:$AA$21,Settings!$Y$2:$Y$21,"Social media gap",Settings!$Z$2:$Z$21,S6)+IF(E6="",0,IF(COUNTIF(Settings!$AC$2:$AC$6,E6)&gt;0,Settings!$AA$20,Settings!$AA$21)))</f>
        <v/>
      </c>
      <c r="U6" s="44" t="str">
        <f aca="false">IF(D6="","",IF(COUNTA(N6:S6)=0,"Not scored",IF(COUNTA(N6:S6)&lt;6,"Partly scored ("&amp;COUNTA(N6:S6)&amp;"/6)",IF(T6&gt;=Settings!$S$8,"Hot",IF(T6&gt;=Settings!$S$9,"Warm","Cold")))))</f>
        <v/>
      </c>
      <c r="V6" s="44" t="str">
        <f aca="false">IF(D6="","",IF(AND(N6="No",P6="No"),"🚩 Budget  ·  🚩 No one on camera",IF(N6="No","🚩 Budget under AED 5k",IF(P6="No","🚩 No one on camera",""))))</f>
        <v/>
      </c>
      <c r="W6" s="17"/>
      <c r="X6" s="17"/>
      <c r="Y6" s="40"/>
      <c r="Z6" s="17"/>
      <c r="AA6" s="45" t="str">
        <f aca="false">IF(OR(D6="",Y6="",OR(X6="Contract signed + paid",X6="Closed – No response",X6="Lost"),N(Z6)&gt;=Settings!$S$3),"",Y6+Settings!$S$2)</f>
        <v/>
      </c>
      <c r="AB6" s="40"/>
      <c r="AC6" s="41"/>
      <c r="AD6" s="17"/>
      <c r="AE6" s="17"/>
      <c r="AF6" s="17"/>
      <c r="AG6" s="46" t="str">
        <f aca="true">IF(OR(D6="",B6=""),"",INT(TODAY()-B6))</f>
        <v/>
      </c>
      <c r="AH6" s="44" t="str">
        <f aca="true">IF(D6="","",IF(OR(COUNTIFS(Clients!$C$2:$C$501,D6,Clients!$S$2:$S$501,"Paid")&gt;0,AND(H6&lt;&gt;"",COUNTIFS(Clients!$E$2:$E$501,H6,Clients!$S$2:$S$501,"Paid")&gt;0)),"⚠ Refunded before – no free video",IF(OR(X6="Contract signed + paid",X6="Closed – No response",X6="Lost"),"",IF(X6="","Set a stage",IF(AND(X6="Proposal sent",COUNTA(N6:S6)&lt;6),"Score this lead – proposal sent unscored",IF(N(Z6)&gt;=Settings!$S$3,"Close – 4 follow-ups sent",IF(AA6="",IF(Y6="","Make first contact",""),IF(TODAY()&gt;AA6,"OVERDUE follow-up",IF(TODAY()=AA6,"Follow up today","")))))))))</f>
        <v/>
      </c>
    </row>
    <row r="7" customFormat="false" ht="15" hidden="false" customHeight="false" outlineLevel="0" collapsed="false">
      <c r="A7" s="17"/>
      <c r="B7" s="40"/>
      <c r="C7" s="17"/>
      <c r="D7" s="17"/>
      <c r="E7" s="17"/>
      <c r="F7" s="17"/>
      <c r="G7" s="17"/>
      <c r="H7" s="42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44" t="str">
        <f aca="false">IF(OR(D7="",COUNTA(N7:S7)=0),"",SUMIFS(Settings!$AA$2:$AA$21,Settings!$Y$2:$Y$21,"Budget AED 5k+/mo?",Settings!$Z$2:$Z$21,N7)+SUMIFS(Settings!$AA$2:$AA$21,Settings!$Y$2:$Y$21,"Decision-maker?",Settings!$Z$2:$Z$21,O7)+SUMIFS(Settings!$AA$2:$AA$21,Settings!$Y$2:$Y$21,"Someone on camera?",Settings!$Z$2:$Z$21,P7)+SUMIFS(Settings!$AA$2:$AA$21,Settings!$Y$2:$Y$21,"OK with 3-month term?",Settings!$Z$2:$Z$21,Q7)+SUMIFS(Settings!$AA$2:$AA$21,Settings!$Y$2:$Y$21,"Start timeline",Settings!$Z$2:$Z$21,R7)+SUMIFS(Settings!$AA$2:$AA$21,Settings!$Y$2:$Y$21,"Social media gap",Settings!$Z$2:$Z$21,S7)+IF(E7="",0,IF(COUNTIF(Settings!$AC$2:$AC$6,E7)&gt;0,Settings!$AA$20,Settings!$AA$21)))</f>
        <v/>
      </c>
      <c r="U7" s="44" t="str">
        <f aca="false">IF(D7="","",IF(COUNTA(N7:S7)=0,"Not scored",IF(COUNTA(N7:S7)&lt;6,"Partly scored ("&amp;COUNTA(N7:S7)&amp;"/6)",IF(T7&gt;=Settings!$S$8,"Hot",IF(T7&gt;=Settings!$S$9,"Warm","Cold")))))</f>
        <v/>
      </c>
      <c r="V7" s="44" t="str">
        <f aca="false">IF(D7="","",IF(AND(N7="No",P7="No"),"🚩 Budget  ·  🚩 No one on camera",IF(N7="No","🚩 Budget under AED 5k",IF(P7="No","🚩 No one on camera",""))))</f>
        <v/>
      </c>
      <c r="W7" s="17"/>
      <c r="X7" s="17"/>
      <c r="Y7" s="40"/>
      <c r="Z7" s="17"/>
      <c r="AA7" s="45" t="str">
        <f aca="false">IF(OR(D7="",Y7="",OR(X7="Contract signed + paid",X7="Closed – No response",X7="Lost"),N(Z7)&gt;=Settings!$S$3),"",Y7+Settings!$S$2)</f>
        <v/>
      </c>
      <c r="AB7" s="40"/>
      <c r="AC7" s="41"/>
      <c r="AD7" s="17"/>
      <c r="AE7" s="17"/>
      <c r="AF7" s="17"/>
      <c r="AG7" s="46" t="str">
        <f aca="true">IF(OR(D7="",B7=""),"",INT(TODAY()-B7))</f>
        <v/>
      </c>
      <c r="AH7" s="44" t="str">
        <f aca="true">IF(D7="","",IF(OR(COUNTIFS(Clients!$C$2:$C$501,D7,Clients!$S$2:$S$501,"Paid")&gt;0,AND(H7&lt;&gt;"",COUNTIFS(Clients!$E$2:$E$501,H7,Clients!$S$2:$S$501,"Paid")&gt;0)),"⚠ Refunded before – no free video",IF(OR(X7="Contract signed + paid",X7="Closed – No response",X7="Lost"),"",IF(X7="","Set a stage",IF(AND(X7="Proposal sent",COUNTA(N7:S7)&lt;6),"Score this lead – proposal sent unscored",IF(N(Z7)&gt;=Settings!$S$3,"Close – 4 follow-ups sent",IF(AA7="",IF(Y7="","Make first contact",""),IF(TODAY()&gt;AA7,"OVERDUE follow-up",IF(TODAY()=AA7,"Follow up today","")))))))))</f>
        <v/>
      </c>
    </row>
    <row r="8" customFormat="false" ht="15" hidden="false" customHeight="false" outlineLevel="0" collapsed="false">
      <c r="A8" s="17"/>
      <c r="B8" s="40"/>
      <c r="C8" s="17"/>
      <c r="D8" s="17"/>
      <c r="E8" s="17"/>
      <c r="F8" s="17"/>
      <c r="G8" s="17"/>
      <c r="H8" s="42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44" t="str">
        <f aca="false">IF(OR(D8="",COUNTA(N8:S8)=0),"",SUMIFS(Settings!$AA$2:$AA$21,Settings!$Y$2:$Y$21,"Budget AED 5k+/mo?",Settings!$Z$2:$Z$21,N8)+SUMIFS(Settings!$AA$2:$AA$21,Settings!$Y$2:$Y$21,"Decision-maker?",Settings!$Z$2:$Z$21,O8)+SUMIFS(Settings!$AA$2:$AA$21,Settings!$Y$2:$Y$21,"Someone on camera?",Settings!$Z$2:$Z$21,P8)+SUMIFS(Settings!$AA$2:$AA$21,Settings!$Y$2:$Y$21,"OK with 3-month term?",Settings!$Z$2:$Z$21,Q8)+SUMIFS(Settings!$AA$2:$AA$21,Settings!$Y$2:$Y$21,"Start timeline",Settings!$Z$2:$Z$21,R8)+SUMIFS(Settings!$AA$2:$AA$21,Settings!$Y$2:$Y$21,"Social media gap",Settings!$Z$2:$Z$21,S8)+IF(E8="",0,IF(COUNTIF(Settings!$AC$2:$AC$6,E8)&gt;0,Settings!$AA$20,Settings!$AA$21)))</f>
        <v/>
      </c>
      <c r="U8" s="44" t="str">
        <f aca="false">IF(D8="","",IF(COUNTA(N8:S8)=0,"Not scored",IF(COUNTA(N8:S8)&lt;6,"Partly scored ("&amp;COUNTA(N8:S8)&amp;"/6)",IF(T8&gt;=Settings!$S$8,"Hot",IF(T8&gt;=Settings!$S$9,"Warm","Cold")))))</f>
        <v/>
      </c>
      <c r="V8" s="44" t="str">
        <f aca="false">IF(D8="","",IF(AND(N8="No",P8="No"),"🚩 Budget  ·  🚩 No one on camera",IF(N8="No","🚩 Budget under AED 5k",IF(P8="No","🚩 No one on camera",""))))</f>
        <v/>
      </c>
      <c r="W8" s="17"/>
      <c r="X8" s="17"/>
      <c r="Y8" s="40"/>
      <c r="Z8" s="17"/>
      <c r="AA8" s="45" t="str">
        <f aca="false">IF(OR(D8="",Y8="",OR(X8="Contract signed + paid",X8="Closed – No response",X8="Lost"),N(Z8)&gt;=Settings!$S$3),"",Y8+Settings!$S$2)</f>
        <v/>
      </c>
      <c r="AB8" s="40"/>
      <c r="AC8" s="41"/>
      <c r="AD8" s="17"/>
      <c r="AE8" s="17"/>
      <c r="AF8" s="17"/>
      <c r="AG8" s="46" t="str">
        <f aca="true">IF(OR(D8="",B8=""),"",INT(TODAY()-B8))</f>
        <v/>
      </c>
      <c r="AH8" s="44" t="str">
        <f aca="true">IF(D8="","",IF(OR(COUNTIFS(Clients!$C$2:$C$501,D8,Clients!$S$2:$S$501,"Paid")&gt;0,AND(H8&lt;&gt;"",COUNTIFS(Clients!$E$2:$E$501,H8,Clients!$S$2:$S$501,"Paid")&gt;0)),"⚠ Refunded before – no free video",IF(OR(X8="Contract signed + paid",X8="Closed – No response",X8="Lost"),"",IF(X8="","Set a stage",IF(AND(X8="Proposal sent",COUNTA(N8:S8)&lt;6),"Score this lead – proposal sent unscored",IF(N(Z8)&gt;=Settings!$S$3,"Close – 4 follow-ups sent",IF(AA8="",IF(Y8="","Make first contact",""),IF(TODAY()&gt;AA8,"OVERDUE follow-up",IF(TODAY()=AA8,"Follow up today","")))))))))</f>
        <v/>
      </c>
    </row>
    <row r="9" customFormat="false" ht="15" hidden="false" customHeight="false" outlineLevel="0" collapsed="false">
      <c r="A9" s="17"/>
      <c r="B9" s="40"/>
      <c r="C9" s="17"/>
      <c r="D9" s="17"/>
      <c r="E9" s="17"/>
      <c r="F9" s="17"/>
      <c r="G9" s="17"/>
      <c r="H9" s="42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44" t="str">
        <f aca="false">IF(OR(D9="",COUNTA(N9:S9)=0),"",SUMIFS(Settings!$AA$2:$AA$21,Settings!$Y$2:$Y$21,"Budget AED 5k+/mo?",Settings!$Z$2:$Z$21,N9)+SUMIFS(Settings!$AA$2:$AA$21,Settings!$Y$2:$Y$21,"Decision-maker?",Settings!$Z$2:$Z$21,O9)+SUMIFS(Settings!$AA$2:$AA$21,Settings!$Y$2:$Y$21,"Someone on camera?",Settings!$Z$2:$Z$21,P9)+SUMIFS(Settings!$AA$2:$AA$21,Settings!$Y$2:$Y$21,"OK with 3-month term?",Settings!$Z$2:$Z$21,Q9)+SUMIFS(Settings!$AA$2:$AA$21,Settings!$Y$2:$Y$21,"Start timeline",Settings!$Z$2:$Z$21,R9)+SUMIFS(Settings!$AA$2:$AA$21,Settings!$Y$2:$Y$21,"Social media gap",Settings!$Z$2:$Z$21,S9)+IF(E9="",0,IF(COUNTIF(Settings!$AC$2:$AC$6,E9)&gt;0,Settings!$AA$20,Settings!$AA$21)))</f>
        <v/>
      </c>
      <c r="U9" s="44" t="str">
        <f aca="false">IF(D9="","",IF(COUNTA(N9:S9)=0,"Not scored",IF(COUNTA(N9:S9)&lt;6,"Partly scored ("&amp;COUNTA(N9:S9)&amp;"/6)",IF(T9&gt;=Settings!$S$8,"Hot",IF(T9&gt;=Settings!$S$9,"Warm","Cold")))))</f>
        <v/>
      </c>
      <c r="V9" s="44" t="str">
        <f aca="false">IF(D9="","",IF(AND(N9="No",P9="No"),"🚩 Budget  ·  🚩 No one on camera",IF(N9="No","🚩 Budget under AED 5k",IF(P9="No","🚩 No one on camera",""))))</f>
        <v/>
      </c>
      <c r="W9" s="17"/>
      <c r="X9" s="17"/>
      <c r="Y9" s="40"/>
      <c r="Z9" s="17"/>
      <c r="AA9" s="45" t="str">
        <f aca="false">IF(OR(D9="",Y9="",OR(X9="Contract signed + paid",X9="Closed – No response",X9="Lost"),N(Z9)&gt;=Settings!$S$3),"",Y9+Settings!$S$2)</f>
        <v/>
      </c>
      <c r="AB9" s="40"/>
      <c r="AC9" s="41"/>
      <c r="AD9" s="17"/>
      <c r="AE9" s="17"/>
      <c r="AF9" s="17"/>
      <c r="AG9" s="46" t="str">
        <f aca="true">IF(OR(D9="",B9=""),"",INT(TODAY()-B9))</f>
        <v/>
      </c>
      <c r="AH9" s="44" t="str">
        <f aca="true">IF(D9="","",IF(OR(COUNTIFS(Clients!$C$2:$C$501,D9,Clients!$S$2:$S$501,"Paid")&gt;0,AND(H9&lt;&gt;"",COUNTIFS(Clients!$E$2:$E$501,H9,Clients!$S$2:$S$501,"Paid")&gt;0)),"⚠ Refunded before – no free video",IF(OR(X9="Contract signed + paid",X9="Closed – No response",X9="Lost"),"",IF(X9="","Set a stage",IF(AND(X9="Proposal sent",COUNTA(N9:S9)&lt;6),"Score this lead – proposal sent unscored",IF(N(Z9)&gt;=Settings!$S$3,"Close – 4 follow-ups sent",IF(AA9="",IF(Y9="","Make first contact",""),IF(TODAY()&gt;AA9,"OVERDUE follow-up",IF(TODAY()=AA9,"Follow up today","")))))))))</f>
        <v/>
      </c>
    </row>
    <row r="10" customFormat="false" ht="15" hidden="false" customHeight="false" outlineLevel="0" collapsed="false">
      <c r="A10" s="17"/>
      <c r="B10" s="40"/>
      <c r="C10" s="17"/>
      <c r="D10" s="17"/>
      <c r="E10" s="17"/>
      <c r="F10" s="17"/>
      <c r="G10" s="17"/>
      <c r="H10" s="42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44" t="str">
        <f aca="false">IF(OR(D10="",COUNTA(N10:S10)=0),"",SUMIFS(Settings!$AA$2:$AA$21,Settings!$Y$2:$Y$21,"Budget AED 5k+/mo?",Settings!$Z$2:$Z$21,N10)+SUMIFS(Settings!$AA$2:$AA$21,Settings!$Y$2:$Y$21,"Decision-maker?",Settings!$Z$2:$Z$21,O10)+SUMIFS(Settings!$AA$2:$AA$21,Settings!$Y$2:$Y$21,"Someone on camera?",Settings!$Z$2:$Z$21,P10)+SUMIFS(Settings!$AA$2:$AA$21,Settings!$Y$2:$Y$21,"OK with 3-month term?",Settings!$Z$2:$Z$21,Q10)+SUMIFS(Settings!$AA$2:$AA$21,Settings!$Y$2:$Y$21,"Start timeline",Settings!$Z$2:$Z$21,R10)+SUMIFS(Settings!$AA$2:$AA$21,Settings!$Y$2:$Y$21,"Social media gap",Settings!$Z$2:$Z$21,S10)+IF(E10="",0,IF(COUNTIF(Settings!$AC$2:$AC$6,E10)&gt;0,Settings!$AA$20,Settings!$AA$21)))</f>
        <v/>
      </c>
      <c r="U10" s="44" t="str">
        <f aca="false">IF(D10="","",IF(COUNTA(N10:S10)=0,"Not scored",IF(COUNTA(N10:S10)&lt;6,"Partly scored ("&amp;COUNTA(N10:S10)&amp;"/6)",IF(T10&gt;=Settings!$S$8,"Hot",IF(T10&gt;=Settings!$S$9,"Warm","Cold")))))</f>
        <v/>
      </c>
      <c r="V10" s="44" t="str">
        <f aca="false">IF(D10="","",IF(AND(N10="No",P10="No"),"🚩 Budget  ·  🚩 No one on camera",IF(N10="No","🚩 Budget under AED 5k",IF(P10="No","🚩 No one on camera",""))))</f>
        <v/>
      </c>
      <c r="W10" s="17"/>
      <c r="X10" s="17"/>
      <c r="Y10" s="40"/>
      <c r="Z10" s="17"/>
      <c r="AA10" s="45" t="str">
        <f aca="false">IF(OR(D10="",Y10="",OR(X10="Contract signed + paid",X10="Closed – No response",X10="Lost"),N(Z10)&gt;=Settings!$S$3),"",Y10+Settings!$S$2)</f>
        <v/>
      </c>
      <c r="AB10" s="40"/>
      <c r="AC10" s="41"/>
      <c r="AD10" s="17"/>
      <c r="AE10" s="17"/>
      <c r="AF10" s="17"/>
      <c r="AG10" s="46" t="str">
        <f aca="true">IF(OR(D10="",B10=""),"",INT(TODAY()-B10))</f>
        <v/>
      </c>
      <c r="AH10" s="44" t="str">
        <f aca="true">IF(D10="","",IF(OR(COUNTIFS(Clients!$C$2:$C$501,D10,Clients!$S$2:$S$501,"Paid")&gt;0,AND(H10&lt;&gt;"",COUNTIFS(Clients!$E$2:$E$501,H10,Clients!$S$2:$S$501,"Paid")&gt;0)),"⚠ Refunded before – no free video",IF(OR(X10="Contract signed + paid",X10="Closed – No response",X10="Lost"),"",IF(X10="","Set a stage",IF(AND(X10="Proposal sent",COUNTA(N10:S10)&lt;6),"Score this lead – proposal sent unscored",IF(N(Z10)&gt;=Settings!$S$3,"Close – 4 follow-ups sent",IF(AA10="",IF(Y10="","Make first contact",""),IF(TODAY()&gt;AA10,"OVERDUE follow-up",IF(TODAY()=AA10,"Follow up today","")))))))))</f>
        <v/>
      </c>
    </row>
    <row r="11" customFormat="false" ht="15" hidden="false" customHeight="false" outlineLevel="0" collapsed="false">
      <c r="A11" s="17"/>
      <c r="B11" s="40"/>
      <c r="C11" s="17"/>
      <c r="D11" s="17"/>
      <c r="E11" s="17"/>
      <c r="F11" s="17"/>
      <c r="G11" s="17"/>
      <c r="H11" s="42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44" t="str">
        <f aca="false">IF(OR(D11="",COUNTA(N11:S11)=0),"",SUMIFS(Settings!$AA$2:$AA$21,Settings!$Y$2:$Y$21,"Budget AED 5k+/mo?",Settings!$Z$2:$Z$21,N11)+SUMIFS(Settings!$AA$2:$AA$21,Settings!$Y$2:$Y$21,"Decision-maker?",Settings!$Z$2:$Z$21,O11)+SUMIFS(Settings!$AA$2:$AA$21,Settings!$Y$2:$Y$21,"Someone on camera?",Settings!$Z$2:$Z$21,P11)+SUMIFS(Settings!$AA$2:$AA$21,Settings!$Y$2:$Y$21,"OK with 3-month term?",Settings!$Z$2:$Z$21,Q11)+SUMIFS(Settings!$AA$2:$AA$21,Settings!$Y$2:$Y$21,"Start timeline",Settings!$Z$2:$Z$21,R11)+SUMIFS(Settings!$AA$2:$AA$21,Settings!$Y$2:$Y$21,"Social media gap",Settings!$Z$2:$Z$21,S11)+IF(E11="",0,IF(COUNTIF(Settings!$AC$2:$AC$6,E11)&gt;0,Settings!$AA$20,Settings!$AA$21)))</f>
        <v/>
      </c>
      <c r="U11" s="44" t="str">
        <f aca="false">IF(D11="","",IF(COUNTA(N11:S11)=0,"Not scored",IF(COUNTA(N11:S11)&lt;6,"Partly scored ("&amp;COUNTA(N11:S11)&amp;"/6)",IF(T11&gt;=Settings!$S$8,"Hot",IF(T11&gt;=Settings!$S$9,"Warm","Cold")))))</f>
        <v/>
      </c>
      <c r="V11" s="44" t="str">
        <f aca="false">IF(D11="","",IF(AND(N11="No",P11="No"),"🚩 Budget  ·  🚩 No one on camera",IF(N11="No","🚩 Budget under AED 5k",IF(P11="No","🚩 No one on camera",""))))</f>
        <v/>
      </c>
      <c r="W11" s="17"/>
      <c r="X11" s="17"/>
      <c r="Y11" s="40"/>
      <c r="Z11" s="17"/>
      <c r="AA11" s="45" t="str">
        <f aca="false">IF(OR(D11="",Y11="",OR(X11="Contract signed + paid",X11="Closed – No response",X11="Lost"),N(Z11)&gt;=Settings!$S$3),"",Y11+Settings!$S$2)</f>
        <v/>
      </c>
      <c r="AB11" s="40"/>
      <c r="AC11" s="41"/>
      <c r="AD11" s="17"/>
      <c r="AE11" s="17"/>
      <c r="AF11" s="17"/>
      <c r="AG11" s="46" t="str">
        <f aca="true">IF(OR(D11="",B11=""),"",INT(TODAY()-B11))</f>
        <v/>
      </c>
      <c r="AH11" s="44" t="str">
        <f aca="true">IF(D11="","",IF(OR(COUNTIFS(Clients!$C$2:$C$501,D11,Clients!$S$2:$S$501,"Paid")&gt;0,AND(H11&lt;&gt;"",COUNTIFS(Clients!$E$2:$E$501,H11,Clients!$S$2:$S$501,"Paid")&gt;0)),"⚠ Refunded before – no free video",IF(OR(X11="Contract signed + paid",X11="Closed – No response",X11="Lost"),"",IF(X11="","Set a stage",IF(AND(X11="Proposal sent",COUNTA(N11:S11)&lt;6),"Score this lead – proposal sent unscored",IF(N(Z11)&gt;=Settings!$S$3,"Close – 4 follow-ups sent",IF(AA11="",IF(Y11="","Make first contact",""),IF(TODAY()&gt;AA11,"OVERDUE follow-up",IF(TODAY()=AA11,"Follow up today","")))))))))</f>
        <v/>
      </c>
    </row>
    <row r="12" customFormat="false" ht="15" hidden="false" customHeight="false" outlineLevel="0" collapsed="false">
      <c r="A12" s="17"/>
      <c r="B12" s="40"/>
      <c r="C12" s="17"/>
      <c r="D12" s="17"/>
      <c r="E12" s="17"/>
      <c r="F12" s="17"/>
      <c r="G12" s="17"/>
      <c r="H12" s="42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44" t="str">
        <f aca="false">IF(OR(D12="",COUNTA(N12:S12)=0),"",SUMIFS(Settings!$AA$2:$AA$21,Settings!$Y$2:$Y$21,"Budget AED 5k+/mo?",Settings!$Z$2:$Z$21,N12)+SUMIFS(Settings!$AA$2:$AA$21,Settings!$Y$2:$Y$21,"Decision-maker?",Settings!$Z$2:$Z$21,O12)+SUMIFS(Settings!$AA$2:$AA$21,Settings!$Y$2:$Y$21,"Someone on camera?",Settings!$Z$2:$Z$21,P12)+SUMIFS(Settings!$AA$2:$AA$21,Settings!$Y$2:$Y$21,"OK with 3-month term?",Settings!$Z$2:$Z$21,Q12)+SUMIFS(Settings!$AA$2:$AA$21,Settings!$Y$2:$Y$21,"Start timeline",Settings!$Z$2:$Z$21,R12)+SUMIFS(Settings!$AA$2:$AA$21,Settings!$Y$2:$Y$21,"Social media gap",Settings!$Z$2:$Z$21,S12)+IF(E12="",0,IF(COUNTIF(Settings!$AC$2:$AC$6,E12)&gt;0,Settings!$AA$20,Settings!$AA$21)))</f>
        <v/>
      </c>
      <c r="U12" s="44" t="str">
        <f aca="false">IF(D12="","",IF(COUNTA(N12:S12)=0,"Not scored",IF(COUNTA(N12:S12)&lt;6,"Partly scored ("&amp;COUNTA(N12:S12)&amp;"/6)",IF(T12&gt;=Settings!$S$8,"Hot",IF(T12&gt;=Settings!$S$9,"Warm","Cold")))))</f>
        <v/>
      </c>
      <c r="V12" s="44" t="str">
        <f aca="false">IF(D12="","",IF(AND(N12="No",P12="No"),"🚩 Budget  ·  🚩 No one on camera",IF(N12="No","🚩 Budget under AED 5k",IF(P12="No","🚩 No one on camera",""))))</f>
        <v/>
      </c>
      <c r="W12" s="17"/>
      <c r="X12" s="17"/>
      <c r="Y12" s="40"/>
      <c r="Z12" s="17"/>
      <c r="AA12" s="45" t="str">
        <f aca="false">IF(OR(D12="",Y12="",OR(X12="Contract signed + paid",X12="Closed – No response",X12="Lost"),N(Z12)&gt;=Settings!$S$3),"",Y12+Settings!$S$2)</f>
        <v/>
      </c>
      <c r="AB12" s="40"/>
      <c r="AC12" s="41"/>
      <c r="AD12" s="17"/>
      <c r="AE12" s="17"/>
      <c r="AF12" s="17"/>
      <c r="AG12" s="46" t="str">
        <f aca="true">IF(OR(D12="",B12=""),"",INT(TODAY()-B12))</f>
        <v/>
      </c>
      <c r="AH12" s="44" t="str">
        <f aca="true">IF(D12="","",IF(OR(COUNTIFS(Clients!$C$2:$C$501,D12,Clients!$S$2:$S$501,"Paid")&gt;0,AND(H12&lt;&gt;"",COUNTIFS(Clients!$E$2:$E$501,H12,Clients!$S$2:$S$501,"Paid")&gt;0)),"⚠ Refunded before – no free video",IF(OR(X12="Contract signed + paid",X12="Closed – No response",X12="Lost"),"",IF(X12="","Set a stage",IF(AND(X12="Proposal sent",COUNTA(N12:S12)&lt;6),"Score this lead – proposal sent unscored",IF(N(Z12)&gt;=Settings!$S$3,"Close – 4 follow-ups sent",IF(AA12="",IF(Y12="","Make first contact",""),IF(TODAY()&gt;AA12,"OVERDUE follow-up",IF(TODAY()=AA12,"Follow up today","")))))))))</f>
        <v/>
      </c>
    </row>
    <row r="13" customFormat="false" ht="15" hidden="false" customHeight="false" outlineLevel="0" collapsed="false">
      <c r="A13" s="17"/>
      <c r="B13" s="40"/>
      <c r="C13" s="17"/>
      <c r="D13" s="17"/>
      <c r="E13" s="17"/>
      <c r="F13" s="17"/>
      <c r="G13" s="17"/>
      <c r="H13" s="42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44" t="str">
        <f aca="false">IF(OR(D13="",COUNTA(N13:S13)=0),"",SUMIFS(Settings!$AA$2:$AA$21,Settings!$Y$2:$Y$21,"Budget AED 5k+/mo?",Settings!$Z$2:$Z$21,N13)+SUMIFS(Settings!$AA$2:$AA$21,Settings!$Y$2:$Y$21,"Decision-maker?",Settings!$Z$2:$Z$21,O13)+SUMIFS(Settings!$AA$2:$AA$21,Settings!$Y$2:$Y$21,"Someone on camera?",Settings!$Z$2:$Z$21,P13)+SUMIFS(Settings!$AA$2:$AA$21,Settings!$Y$2:$Y$21,"OK with 3-month term?",Settings!$Z$2:$Z$21,Q13)+SUMIFS(Settings!$AA$2:$AA$21,Settings!$Y$2:$Y$21,"Start timeline",Settings!$Z$2:$Z$21,R13)+SUMIFS(Settings!$AA$2:$AA$21,Settings!$Y$2:$Y$21,"Social media gap",Settings!$Z$2:$Z$21,S13)+IF(E13="",0,IF(COUNTIF(Settings!$AC$2:$AC$6,E13)&gt;0,Settings!$AA$20,Settings!$AA$21)))</f>
        <v/>
      </c>
      <c r="U13" s="44" t="str">
        <f aca="false">IF(D13="","",IF(COUNTA(N13:S13)=0,"Not scored",IF(COUNTA(N13:S13)&lt;6,"Partly scored ("&amp;COUNTA(N13:S13)&amp;"/6)",IF(T13&gt;=Settings!$S$8,"Hot",IF(T13&gt;=Settings!$S$9,"Warm","Cold")))))</f>
        <v/>
      </c>
      <c r="V13" s="44" t="str">
        <f aca="false">IF(D13="","",IF(AND(N13="No",P13="No"),"🚩 Budget  ·  🚩 No one on camera",IF(N13="No","🚩 Budget under AED 5k",IF(P13="No","🚩 No one on camera",""))))</f>
        <v/>
      </c>
      <c r="W13" s="17"/>
      <c r="X13" s="17"/>
      <c r="Y13" s="40"/>
      <c r="Z13" s="17"/>
      <c r="AA13" s="45" t="str">
        <f aca="false">IF(OR(D13="",Y13="",OR(X13="Contract signed + paid",X13="Closed – No response",X13="Lost"),N(Z13)&gt;=Settings!$S$3),"",Y13+Settings!$S$2)</f>
        <v/>
      </c>
      <c r="AB13" s="40"/>
      <c r="AC13" s="41"/>
      <c r="AD13" s="17"/>
      <c r="AE13" s="17"/>
      <c r="AF13" s="17"/>
      <c r="AG13" s="46" t="str">
        <f aca="true">IF(OR(D13="",B13=""),"",INT(TODAY()-B13))</f>
        <v/>
      </c>
      <c r="AH13" s="44" t="str">
        <f aca="true">IF(D13="","",IF(OR(COUNTIFS(Clients!$C$2:$C$501,D13,Clients!$S$2:$S$501,"Paid")&gt;0,AND(H13&lt;&gt;"",COUNTIFS(Clients!$E$2:$E$501,H13,Clients!$S$2:$S$501,"Paid")&gt;0)),"⚠ Refunded before – no free video",IF(OR(X13="Contract signed + paid",X13="Closed – No response",X13="Lost"),"",IF(X13="","Set a stage",IF(AND(X13="Proposal sent",COUNTA(N13:S13)&lt;6),"Score this lead – proposal sent unscored",IF(N(Z13)&gt;=Settings!$S$3,"Close – 4 follow-ups sent",IF(AA13="",IF(Y13="","Make first contact",""),IF(TODAY()&gt;AA13,"OVERDUE follow-up",IF(TODAY()=AA13,"Follow up today","")))))))))</f>
        <v/>
      </c>
    </row>
    <row r="14" customFormat="false" ht="15" hidden="false" customHeight="false" outlineLevel="0" collapsed="false">
      <c r="A14" s="17"/>
      <c r="B14" s="40"/>
      <c r="C14" s="17"/>
      <c r="D14" s="17"/>
      <c r="E14" s="17"/>
      <c r="F14" s="17"/>
      <c r="G14" s="17"/>
      <c r="H14" s="42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44" t="str">
        <f aca="false">IF(OR(D14="",COUNTA(N14:S14)=0),"",SUMIFS(Settings!$AA$2:$AA$21,Settings!$Y$2:$Y$21,"Budget AED 5k+/mo?",Settings!$Z$2:$Z$21,N14)+SUMIFS(Settings!$AA$2:$AA$21,Settings!$Y$2:$Y$21,"Decision-maker?",Settings!$Z$2:$Z$21,O14)+SUMIFS(Settings!$AA$2:$AA$21,Settings!$Y$2:$Y$21,"Someone on camera?",Settings!$Z$2:$Z$21,P14)+SUMIFS(Settings!$AA$2:$AA$21,Settings!$Y$2:$Y$21,"OK with 3-month term?",Settings!$Z$2:$Z$21,Q14)+SUMIFS(Settings!$AA$2:$AA$21,Settings!$Y$2:$Y$21,"Start timeline",Settings!$Z$2:$Z$21,R14)+SUMIFS(Settings!$AA$2:$AA$21,Settings!$Y$2:$Y$21,"Social media gap",Settings!$Z$2:$Z$21,S14)+IF(E14="",0,IF(COUNTIF(Settings!$AC$2:$AC$6,E14)&gt;0,Settings!$AA$20,Settings!$AA$21)))</f>
        <v/>
      </c>
      <c r="U14" s="44" t="str">
        <f aca="false">IF(D14="","",IF(COUNTA(N14:S14)=0,"Not scored",IF(COUNTA(N14:S14)&lt;6,"Partly scored ("&amp;COUNTA(N14:S14)&amp;"/6)",IF(T14&gt;=Settings!$S$8,"Hot",IF(T14&gt;=Settings!$S$9,"Warm","Cold")))))</f>
        <v/>
      </c>
      <c r="V14" s="44" t="str">
        <f aca="false">IF(D14="","",IF(AND(N14="No",P14="No"),"🚩 Budget  ·  🚩 No one on camera",IF(N14="No","🚩 Budget under AED 5k",IF(P14="No","🚩 No one on camera",""))))</f>
        <v/>
      </c>
      <c r="W14" s="17"/>
      <c r="X14" s="17"/>
      <c r="Y14" s="40"/>
      <c r="Z14" s="17"/>
      <c r="AA14" s="45" t="str">
        <f aca="false">IF(OR(D14="",Y14="",OR(X14="Contract signed + paid",X14="Closed – No response",X14="Lost"),N(Z14)&gt;=Settings!$S$3),"",Y14+Settings!$S$2)</f>
        <v/>
      </c>
      <c r="AB14" s="40"/>
      <c r="AC14" s="41"/>
      <c r="AD14" s="17"/>
      <c r="AE14" s="17"/>
      <c r="AF14" s="17"/>
      <c r="AG14" s="46" t="str">
        <f aca="true">IF(OR(D14="",B14=""),"",INT(TODAY()-B14))</f>
        <v/>
      </c>
      <c r="AH14" s="44" t="str">
        <f aca="true">IF(D14="","",IF(OR(COUNTIFS(Clients!$C$2:$C$501,D14,Clients!$S$2:$S$501,"Paid")&gt;0,AND(H14&lt;&gt;"",COUNTIFS(Clients!$E$2:$E$501,H14,Clients!$S$2:$S$501,"Paid")&gt;0)),"⚠ Refunded before – no free video",IF(OR(X14="Contract signed + paid",X14="Closed – No response",X14="Lost"),"",IF(X14="","Set a stage",IF(AND(X14="Proposal sent",COUNTA(N14:S14)&lt;6),"Score this lead – proposal sent unscored",IF(N(Z14)&gt;=Settings!$S$3,"Close – 4 follow-ups sent",IF(AA14="",IF(Y14="","Make first contact",""),IF(TODAY()&gt;AA14,"OVERDUE follow-up",IF(TODAY()=AA14,"Follow up today","")))))))))</f>
        <v/>
      </c>
    </row>
    <row r="15" customFormat="false" ht="15" hidden="false" customHeight="false" outlineLevel="0" collapsed="false">
      <c r="A15" s="17"/>
      <c r="B15" s="40"/>
      <c r="C15" s="17"/>
      <c r="D15" s="17"/>
      <c r="E15" s="17"/>
      <c r="F15" s="17"/>
      <c r="G15" s="17"/>
      <c r="H15" s="42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44" t="str">
        <f aca="false">IF(OR(D15="",COUNTA(N15:S15)=0),"",SUMIFS(Settings!$AA$2:$AA$21,Settings!$Y$2:$Y$21,"Budget AED 5k+/mo?",Settings!$Z$2:$Z$21,N15)+SUMIFS(Settings!$AA$2:$AA$21,Settings!$Y$2:$Y$21,"Decision-maker?",Settings!$Z$2:$Z$21,O15)+SUMIFS(Settings!$AA$2:$AA$21,Settings!$Y$2:$Y$21,"Someone on camera?",Settings!$Z$2:$Z$21,P15)+SUMIFS(Settings!$AA$2:$AA$21,Settings!$Y$2:$Y$21,"OK with 3-month term?",Settings!$Z$2:$Z$21,Q15)+SUMIFS(Settings!$AA$2:$AA$21,Settings!$Y$2:$Y$21,"Start timeline",Settings!$Z$2:$Z$21,R15)+SUMIFS(Settings!$AA$2:$AA$21,Settings!$Y$2:$Y$21,"Social media gap",Settings!$Z$2:$Z$21,S15)+IF(E15="",0,IF(COUNTIF(Settings!$AC$2:$AC$6,E15)&gt;0,Settings!$AA$20,Settings!$AA$21)))</f>
        <v/>
      </c>
      <c r="U15" s="44" t="str">
        <f aca="false">IF(D15="","",IF(COUNTA(N15:S15)=0,"Not scored",IF(COUNTA(N15:S15)&lt;6,"Partly scored ("&amp;COUNTA(N15:S15)&amp;"/6)",IF(T15&gt;=Settings!$S$8,"Hot",IF(T15&gt;=Settings!$S$9,"Warm","Cold")))))</f>
        <v/>
      </c>
      <c r="V15" s="44" t="str">
        <f aca="false">IF(D15="","",IF(AND(N15="No",P15="No"),"🚩 Budget  ·  🚩 No one on camera",IF(N15="No","🚩 Budget under AED 5k",IF(P15="No","🚩 No one on camera",""))))</f>
        <v/>
      </c>
      <c r="W15" s="17"/>
      <c r="X15" s="17"/>
      <c r="Y15" s="40"/>
      <c r="Z15" s="17"/>
      <c r="AA15" s="45" t="str">
        <f aca="false">IF(OR(D15="",Y15="",OR(X15="Contract signed + paid",X15="Closed – No response",X15="Lost"),N(Z15)&gt;=Settings!$S$3),"",Y15+Settings!$S$2)</f>
        <v/>
      </c>
      <c r="AB15" s="40"/>
      <c r="AC15" s="41"/>
      <c r="AD15" s="17"/>
      <c r="AE15" s="17"/>
      <c r="AF15" s="17"/>
      <c r="AG15" s="46" t="str">
        <f aca="true">IF(OR(D15="",B15=""),"",INT(TODAY()-B15))</f>
        <v/>
      </c>
      <c r="AH15" s="44" t="str">
        <f aca="true">IF(D15="","",IF(OR(COUNTIFS(Clients!$C$2:$C$501,D15,Clients!$S$2:$S$501,"Paid")&gt;0,AND(H15&lt;&gt;"",COUNTIFS(Clients!$E$2:$E$501,H15,Clients!$S$2:$S$501,"Paid")&gt;0)),"⚠ Refunded before – no free video",IF(OR(X15="Contract signed + paid",X15="Closed – No response",X15="Lost"),"",IF(X15="","Set a stage",IF(AND(X15="Proposal sent",COUNTA(N15:S15)&lt;6),"Score this lead – proposal sent unscored",IF(N(Z15)&gt;=Settings!$S$3,"Close – 4 follow-ups sent",IF(AA15="",IF(Y15="","Make first contact",""),IF(TODAY()&gt;AA15,"OVERDUE follow-up",IF(TODAY()=AA15,"Follow up today","")))))))))</f>
        <v/>
      </c>
    </row>
    <row r="16" customFormat="false" ht="15" hidden="false" customHeight="false" outlineLevel="0" collapsed="false">
      <c r="A16" s="17"/>
      <c r="B16" s="40"/>
      <c r="C16" s="17"/>
      <c r="D16" s="17"/>
      <c r="E16" s="17"/>
      <c r="F16" s="17"/>
      <c r="G16" s="17"/>
      <c r="H16" s="42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44" t="str">
        <f aca="false">IF(OR(D16="",COUNTA(N16:S16)=0),"",SUMIFS(Settings!$AA$2:$AA$21,Settings!$Y$2:$Y$21,"Budget AED 5k+/mo?",Settings!$Z$2:$Z$21,N16)+SUMIFS(Settings!$AA$2:$AA$21,Settings!$Y$2:$Y$21,"Decision-maker?",Settings!$Z$2:$Z$21,O16)+SUMIFS(Settings!$AA$2:$AA$21,Settings!$Y$2:$Y$21,"Someone on camera?",Settings!$Z$2:$Z$21,P16)+SUMIFS(Settings!$AA$2:$AA$21,Settings!$Y$2:$Y$21,"OK with 3-month term?",Settings!$Z$2:$Z$21,Q16)+SUMIFS(Settings!$AA$2:$AA$21,Settings!$Y$2:$Y$21,"Start timeline",Settings!$Z$2:$Z$21,R16)+SUMIFS(Settings!$AA$2:$AA$21,Settings!$Y$2:$Y$21,"Social media gap",Settings!$Z$2:$Z$21,S16)+IF(E16="",0,IF(COUNTIF(Settings!$AC$2:$AC$6,E16)&gt;0,Settings!$AA$20,Settings!$AA$21)))</f>
        <v/>
      </c>
      <c r="U16" s="44" t="str">
        <f aca="false">IF(D16="","",IF(COUNTA(N16:S16)=0,"Not scored",IF(COUNTA(N16:S16)&lt;6,"Partly scored ("&amp;COUNTA(N16:S16)&amp;"/6)",IF(T16&gt;=Settings!$S$8,"Hot",IF(T16&gt;=Settings!$S$9,"Warm","Cold")))))</f>
        <v/>
      </c>
      <c r="V16" s="44" t="str">
        <f aca="false">IF(D16="","",IF(AND(N16="No",P16="No"),"🚩 Budget  ·  🚩 No one on camera",IF(N16="No","🚩 Budget under AED 5k",IF(P16="No","🚩 No one on camera",""))))</f>
        <v/>
      </c>
      <c r="W16" s="17"/>
      <c r="X16" s="17"/>
      <c r="Y16" s="40"/>
      <c r="Z16" s="17"/>
      <c r="AA16" s="45" t="str">
        <f aca="false">IF(OR(D16="",Y16="",OR(X16="Contract signed + paid",X16="Closed – No response",X16="Lost"),N(Z16)&gt;=Settings!$S$3),"",Y16+Settings!$S$2)</f>
        <v/>
      </c>
      <c r="AB16" s="40"/>
      <c r="AC16" s="41"/>
      <c r="AD16" s="17"/>
      <c r="AE16" s="17"/>
      <c r="AF16" s="17"/>
      <c r="AG16" s="46" t="str">
        <f aca="true">IF(OR(D16="",B16=""),"",INT(TODAY()-B16))</f>
        <v/>
      </c>
      <c r="AH16" s="44" t="str">
        <f aca="true">IF(D16="","",IF(OR(COUNTIFS(Clients!$C$2:$C$501,D16,Clients!$S$2:$S$501,"Paid")&gt;0,AND(H16&lt;&gt;"",COUNTIFS(Clients!$E$2:$E$501,H16,Clients!$S$2:$S$501,"Paid")&gt;0)),"⚠ Refunded before – no free video",IF(OR(X16="Contract signed + paid",X16="Closed – No response",X16="Lost"),"",IF(X16="","Set a stage",IF(AND(X16="Proposal sent",COUNTA(N16:S16)&lt;6),"Score this lead – proposal sent unscored",IF(N(Z16)&gt;=Settings!$S$3,"Close – 4 follow-ups sent",IF(AA16="",IF(Y16="","Make first contact",""),IF(TODAY()&gt;AA16,"OVERDUE follow-up",IF(TODAY()=AA16,"Follow up today","")))))))))</f>
        <v/>
      </c>
    </row>
    <row r="17" customFormat="false" ht="15" hidden="false" customHeight="false" outlineLevel="0" collapsed="false">
      <c r="A17" s="17"/>
      <c r="B17" s="40"/>
      <c r="C17" s="17"/>
      <c r="D17" s="17"/>
      <c r="E17" s="17"/>
      <c r="F17" s="17"/>
      <c r="G17" s="17"/>
      <c r="H17" s="42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44" t="str">
        <f aca="false">IF(OR(D17="",COUNTA(N17:S17)=0),"",SUMIFS(Settings!$AA$2:$AA$21,Settings!$Y$2:$Y$21,"Budget AED 5k+/mo?",Settings!$Z$2:$Z$21,N17)+SUMIFS(Settings!$AA$2:$AA$21,Settings!$Y$2:$Y$21,"Decision-maker?",Settings!$Z$2:$Z$21,O17)+SUMIFS(Settings!$AA$2:$AA$21,Settings!$Y$2:$Y$21,"Someone on camera?",Settings!$Z$2:$Z$21,P17)+SUMIFS(Settings!$AA$2:$AA$21,Settings!$Y$2:$Y$21,"OK with 3-month term?",Settings!$Z$2:$Z$21,Q17)+SUMIFS(Settings!$AA$2:$AA$21,Settings!$Y$2:$Y$21,"Start timeline",Settings!$Z$2:$Z$21,R17)+SUMIFS(Settings!$AA$2:$AA$21,Settings!$Y$2:$Y$21,"Social media gap",Settings!$Z$2:$Z$21,S17)+IF(E17="",0,IF(COUNTIF(Settings!$AC$2:$AC$6,E17)&gt;0,Settings!$AA$20,Settings!$AA$21)))</f>
        <v/>
      </c>
      <c r="U17" s="44" t="str">
        <f aca="false">IF(D17="","",IF(COUNTA(N17:S17)=0,"Not scored",IF(COUNTA(N17:S17)&lt;6,"Partly scored ("&amp;COUNTA(N17:S17)&amp;"/6)",IF(T17&gt;=Settings!$S$8,"Hot",IF(T17&gt;=Settings!$S$9,"Warm","Cold")))))</f>
        <v/>
      </c>
      <c r="V17" s="44" t="str">
        <f aca="false">IF(D17="","",IF(AND(N17="No",P17="No"),"🚩 Budget  ·  🚩 No one on camera",IF(N17="No","🚩 Budget under AED 5k",IF(P17="No","🚩 No one on camera",""))))</f>
        <v/>
      </c>
      <c r="W17" s="17"/>
      <c r="X17" s="17"/>
      <c r="Y17" s="40"/>
      <c r="Z17" s="17"/>
      <c r="AA17" s="45" t="str">
        <f aca="false">IF(OR(D17="",Y17="",OR(X17="Contract signed + paid",X17="Closed – No response",X17="Lost"),N(Z17)&gt;=Settings!$S$3),"",Y17+Settings!$S$2)</f>
        <v/>
      </c>
      <c r="AB17" s="40"/>
      <c r="AC17" s="41"/>
      <c r="AD17" s="17"/>
      <c r="AE17" s="17"/>
      <c r="AF17" s="17"/>
      <c r="AG17" s="46" t="str">
        <f aca="true">IF(OR(D17="",B17=""),"",INT(TODAY()-B17))</f>
        <v/>
      </c>
      <c r="AH17" s="44" t="str">
        <f aca="true">IF(D17="","",IF(OR(COUNTIFS(Clients!$C$2:$C$501,D17,Clients!$S$2:$S$501,"Paid")&gt;0,AND(H17&lt;&gt;"",COUNTIFS(Clients!$E$2:$E$501,H17,Clients!$S$2:$S$501,"Paid")&gt;0)),"⚠ Refunded before – no free video",IF(OR(X17="Contract signed + paid",X17="Closed – No response",X17="Lost"),"",IF(X17="","Set a stage",IF(AND(X17="Proposal sent",COUNTA(N17:S17)&lt;6),"Score this lead – proposal sent unscored",IF(N(Z17)&gt;=Settings!$S$3,"Close – 4 follow-ups sent",IF(AA17="",IF(Y17="","Make first contact",""),IF(TODAY()&gt;AA17,"OVERDUE follow-up",IF(TODAY()=AA17,"Follow up today","")))))))))</f>
        <v/>
      </c>
    </row>
    <row r="18" customFormat="false" ht="15" hidden="false" customHeight="false" outlineLevel="0" collapsed="false">
      <c r="A18" s="17"/>
      <c r="B18" s="40"/>
      <c r="C18" s="17"/>
      <c r="D18" s="17"/>
      <c r="E18" s="17"/>
      <c r="F18" s="17"/>
      <c r="G18" s="17"/>
      <c r="H18" s="42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44" t="str">
        <f aca="false">IF(OR(D18="",COUNTA(N18:S18)=0),"",SUMIFS(Settings!$AA$2:$AA$21,Settings!$Y$2:$Y$21,"Budget AED 5k+/mo?",Settings!$Z$2:$Z$21,N18)+SUMIFS(Settings!$AA$2:$AA$21,Settings!$Y$2:$Y$21,"Decision-maker?",Settings!$Z$2:$Z$21,O18)+SUMIFS(Settings!$AA$2:$AA$21,Settings!$Y$2:$Y$21,"Someone on camera?",Settings!$Z$2:$Z$21,P18)+SUMIFS(Settings!$AA$2:$AA$21,Settings!$Y$2:$Y$21,"OK with 3-month term?",Settings!$Z$2:$Z$21,Q18)+SUMIFS(Settings!$AA$2:$AA$21,Settings!$Y$2:$Y$21,"Start timeline",Settings!$Z$2:$Z$21,R18)+SUMIFS(Settings!$AA$2:$AA$21,Settings!$Y$2:$Y$21,"Social media gap",Settings!$Z$2:$Z$21,S18)+IF(E18="",0,IF(COUNTIF(Settings!$AC$2:$AC$6,E18)&gt;0,Settings!$AA$20,Settings!$AA$21)))</f>
        <v/>
      </c>
      <c r="U18" s="44" t="str">
        <f aca="false">IF(D18="","",IF(COUNTA(N18:S18)=0,"Not scored",IF(COUNTA(N18:S18)&lt;6,"Partly scored ("&amp;COUNTA(N18:S18)&amp;"/6)",IF(T18&gt;=Settings!$S$8,"Hot",IF(T18&gt;=Settings!$S$9,"Warm","Cold")))))</f>
        <v/>
      </c>
      <c r="V18" s="44" t="str">
        <f aca="false">IF(D18="","",IF(AND(N18="No",P18="No"),"🚩 Budget  ·  🚩 No one on camera",IF(N18="No","🚩 Budget under AED 5k",IF(P18="No","🚩 No one on camera",""))))</f>
        <v/>
      </c>
      <c r="W18" s="17"/>
      <c r="X18" s="17"/>
      <c r="Y18" s="40"/>
      <c r="Z18" s="17"/>
      <c r="AA18" s="45" t="str">
        <f aca="false">IF(OR(D18="",Y18="",OR(X18="Contract signed + paid",X18="Closed – No response",X18="Lost"),N(Z18)&gt;=Settings!$S$3),"",Y18+Settings!$S$2)</f>
        <v/>
      </c>
      <c r="AB18" s="40"/>
      <c r="AC18" s="41"/>
      <c r="AD18" s="17"/>
      <c r="AE18" s="17"/>
      <c r="AF18" s="17"/>
      <c r="AG18" s="46" t="str">
        <f aca="true">IF(OR(D18="",B18=""),"",INT(TODAY()-B18))</f>
        <v/>
      </c>
      <c r="AH18" s="44" t="str">
        <f aca="true">IF(D18="","",IF(OR(COUNTIFS(Clients!$C$2:$C$501,D18,Clients!$S$2:$S$501,"Paid")&gt;0,AND(H18&lt;&gt;"",COUNTIFS(Clients!$E$2:$E$501,H18,Clients!$S$2:$S$501,"Paid")&gt;0)),"⚠ Refunded before – no free video",IF(OR(X18="Contract signed + paid",X18="Closed – No response",X18="Lost"),"",IF(X18="","Set a stage",IF(AND(X18="Proposal sent",COUNTA(N18:S18)&lt;6),"Score this lead – proposal sent unscored",IF(N(Z18)&gt;=Settings!$S$3,"Close – 4 follow-ups sent",IF(AA18="",IF(Y18="","Make first contact",""),IF(TODAY()&gt;AA18,"OVERDUE follow-up",IF(TODAY()=AA18,"Follow up today","")))))))))</f>
        <v/>
      </c>
    </row>
    <row r="19" customFormat="false" ht="15" hidden="false" customHeight="false" outlineLevel="0" collapsed="false">
      <c r="A19" s="17"/>
      <c r="B19" s="40"/>
      <c r="C19" s="17"/>
      <c r="D19" s="17"/>
      <c r="E19" s="17"/>
      <c r="F19" s="17"/>
      <c r="G19" s="17"/>
      <c r="H19" s="42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44" t="str">
        <f aca="false">IF(OR(D19="",COUNTA(N19:S19)=0),"",SUMIFS(Settings!$AA$2:$AA$21,Settings!$Y$2:$Y$21,"Budget AED 5k+/mo?",Settings!$Z$2:$Z$21,N19)+SUMIFS(Settings!$AA$2:$AA$21,Settings!$Y$2:$Y$21,"Decision-maker?",Settings!$Z$2:$Z$21,O19)+SUMIFS(Settings!$AA$2:$AA$21,Settings!$Y$2:$Y$21,"Someone on camera?",Settings!$Z$2:$Z$21,P19)+SUMIFS(Settings!$AA$2:$AA$21,Settings!$Y$2:$Y$21,"OK with 3-month term?",Settings!$Z$2:$Z$21,Q19)+SUMIFS(Settings!$AA$2:$AA$21,Settings!$Y$2:$Y$21,"Start timeline",Settings!$Z$2:$Z$21,R19)+SUMIFS(Settings!$AA$2:$AA$21,Settings!$Y$2:$Y$21,"Social media gap",Settings!$Z$2:$Z$21,S19)+IF(E19="",0,IF(COUNTIF(Settings!$AC$2:$AC$6,E19)&gt;0,Settings!$AA$20,Settings!$AA$21)))</f>
        <v/>
      </c>
      <c r="U19" s="44" t="str">
        <f aca="false">IF(D19="","",IF(COUNTA(N19:S19)=0,"Not scored",IF(COUNTA(N19:S19)&lt;6,"Partly scored ("&amp;COUNTA(N19:S19)&amp;"/6)",IF(T19&gt;=Settings!$S$8,"Hot",IF(T19&gt;=Settings!$S$9,"Warm","Cold")))))</f>
        <v/>
      </c>
      <c r="V19" s="44" t="str">
        <f aca="false">IF(D19="","",IF(AND(N19="No",P19="No"),"🚩 Budget  ·  🚩 No one on camera",IF(N19="No","🚩 Budget under AED 5k",IF(P19="No","🚩 No one on camera",""))))</f>
        <v/>
      </c>
      <c r="W19" s="17"/>
      <c r="X19" s="17"/>
      <c r="Y19" s="40"/>
      <c r="Z19" s="17"/>
      <c r="AA19" s="45" t="str">
        <f aca="false">IF(OR(D19="",Y19="",OR(X19="Contract signed + paid",X19="Closed – No response",X19="Lost"),N(Z19)&gt;=Settings!$S$3),"",Y19+Settings!$S$2)</f>
        <v/>
      </c>
      <c r="AB19" s="40"/>
      <c r="AC19" s="41"/>
      <c r="AD19" s="17"/>
      <c r="AE19" s="17"/>
      <c r="AF19" s="17"/>
      <c r="AG19" s="46" t="str">
        <f aca="true">IF(OR(D19="",B19=""),"",INT(TODAY()-B19))</f>
        <v/>
      </c>
      <c r="AH19" s="44" t="str">
        <f aca="true">IF(D19="","",IF(OR(COUNTIFS(Clients!$C$2:$C$501,D19,Clients!$S$2:$S$501,"Paid")&gt;0,AND(H19&lt;&gt;"",COUNTIFS(Clients!$E$2:$E$501,H19,Clients!$S$2:$S$501,"Paid")&gt;0)),"⚠ Refunded before – no free video",IF(OR(X19="Contract signed + paid",X19="Closed – No response",X19="Lost"),"",IF(X19="","Set a stage",IF(AND(X19="Proposal sent",COUNTA(N19:S19)&lt;6),"Score this lead – proposal sent unscored",IF(N(Z19)&gt;=Settings!$S$3,"Close – 4 follow-ups sent",IF(AA19="",IF(Y19="","Make first contact",""),IF(TODAY()&gt;AA19,"OVERDUE follow-up",IF(TODAY()=AA19,"Follow up today","")))))))))</f>
        <v/>
      </c>
    </row>
    <row r="20" customFormat="false" ht="15" hidden="false" customHeight="false" outlineLevel="0" collapsed="false">
      <c r="A20" s="17"/>
      <c r="B20" s="40"/>
      <c r="C20" s="17"/>
      <c r="D20" s="17"/>
      <c r="E20" s="17"/>
      <c r="F20" s="17"/>
      <c r="G20" s="17"/>
      <c r="H20" s="42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44" t="str">
        <f aca="false">IF(OR(D20="",COUNTA(N20:S20)=0),"",SUMIFS(Settings!$AA$2:$AA$21,Settings!$Y$2:$Y$21,"Budget AED 5k+/mo?",Settings!$Z$2:$Z$21,N20)+SUMIFS(Settings!$AA$2:$AA$21,Settings!$Y$2:$Y$21,"Decision-maker?",Settings!$Z$2:$Z$21,O20)+SUMIFS(Settings!$AA$2:$AA$21,Settings!$Y$2:$Y$21,"Someone on camera?",Settings!$Z$2:$Z$21,P20)+SUMIFS(Settings!$AA$2:$AA$21,Settings!$Y$2:$Y$21,"OK with 3-month term?",Settings!$Z$2:$Z$21,Q20)+SUMIFS(Settings!$AA$2:$AA$21,Settings!$Y$2:$Y$21,"Start timeline",Settings!$Z$2:$Z$21,R20)+SUMIFS(Settings!$AA$2:$AA$21,Settings!$Y$2:$Y$21,"Social media gap",Settings!$Z$2:$Z$21,S20)+IF(E20="",0,IF(COUNTIF(Settings!$AC$2:$AC$6,E20)&gt;0,Settings!$AA$20,Settings!$AA$21)))</f>
        <v/>
      </c>
      <c r="U20" s="44" t="str">
        <f aca="false">IF(D20="","",IF(COUNTA(N20:S20)=0,"Not scored",IF(COUNTA(N20:S20)&lt;6,"Partly scored ("&amp;COUNTA(N20:S20)&amp;"/6)",IF(T20&gt;=Settings!$S$8,"Hot",IF(T20&gt;=Settings!$S$9,"Warm","Cold")))))</f>
        <v/>
      </c>
      <c r="V20" s="44" t="str">
        <f aca="false">IF(D20="","",IF(AND(N20="No",P20="No"),"🚩 Budget  ·  🚩 No one on camera",IF(N20="No","🚩 Budget under AED 5k",IF(P20="No","🚩 No one on camera",""))))</f>
        <v/>
      </c>
      <c r="W20" s="17"/>
      <c r="X20" s="17"/>
      <c r="Y20" s="40"/>
      <c r="Z20" s="17"/>
      <c r="AA20" s="45" t="str">
        <f aca="false">IF(OR(D20="",Y20="",OR(X20="Contract signed + paid",X20="Closed – No response",X20="Lost"),N(Z20)&gt;=Settings!$S$3),"",Y20+Settings!$S$2)</f>
        <v/>
      </c>
      <c r="AB20" s="40"/>
      <c r="AC20" s="41"/>
      <c r="AD20" s="17"/>
      <c r="AE20" s="17"/>
      <c r="AF20" s="17"/>
      <c r="AG20" s="46" t="str">
        <f aca="true">IF(OR(D20="",B20=""),"",INT(TODAY()-B20))</f>
        <v/>
      </c>
      <c r="AH20" s="44" t="str">
        <f aca="true">IF(D20="","",IF(OR(COUNTIFS(Clients!$C$2:$C$501,D20,Clients!$S$2:$S$501,"Paid")&gt;0,AND(H20&lt;&gt;"",COUNTIFS(Clients!$E$2:$E$501,H20,Clients!$S$2:$S$501,"Paid")&gt;0)),"⚠ Refunded before – no free video",IF(OR(X20="Contract signed + paid",X20="Closed – No response",X20="Lost"),"",IF(X20="","Set a stage",IF(AND(X20="Proposal sent",COUNTA(N20:S20)&lt;6),"Score this lead – proposal sent unscored",IF(N(Z20)&gt;=Settings!$S$3,"Close – 4 follow-ups sent",IF(AA20="",IF(Y20="","Make first contact",""),IF(TODAY()&gt;AA20,"OVERDUE follow-up",IF(TODAY()=AA20,"Follow up today","")))))))))</f>
        <v/>
      </c>
    </row>
    <row r="21" customFormat="false" ht="15" hidden="false" customHeight="false" outlineLevel="0" collapsed="false">
      <c r="A21" s="17"/>
      <c r="B21" s="40"/>
      <c r="C21" s="17"/>
      <c r="D21" s="17"/>
      <c r="E21" s="17"/>
      <c r="F21" s="17"/>
      <c r="G21" s="17"/>
      <c r="H21" s="42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44" t="str">
        <f aca="false">IF(OR(D21="",COUNTA(N21:S21)=0),"",SUMIFS(Settings!$AA$2:$AA$21,Settings!$Y$2:$Y$21,"Budget AED 5k+/mo?",Settings!$Z$2:$Z$21,N21)+SUMIFS(Settings!$AA$2:$AA$21,Settings!$Y$2:$Y$21,"Decision-maker?",Settings!$Z$2:$Z$21,O21)+SUMIFS(Settings!$AA$2:$AA$21,Settings!$Y$2:$Y$21,"Someone on camera?",Settings!$Z$2:$Z$21,P21)+SUMIFS(Settings!$AA$2:$AA$21,Settings!$Y$2:$Y$21,"OK with 3-month term?",Settings!$Z$2:$Z$21,Q21)+SUMIFS(Settings!$AA$2:$AA$21,Settings!$Y$2:$Y$21,"Start timeline",Settings!$Z$2:$Z$21,R21)+SUMIFS(Settings!$AA$2:$AA$21,Settings!$Y$2:$Y$21,"Social media gap",Settings!$Z$2:$Z$21,S21)+IF(E21="",0,IF(COUNTIF(Settings!$AC$2:$AC$6,E21)&gt;0,Settings!$AA$20,Settings!$AA$21)))</f>
        <v/>
      </c>
      <c r="U21" s="44" t="str">
        <f aca="false">IF(D21="","",IF(COUNTA(N21:S21)=0,"Not scored",IF(COUNTA(N21:S21)&lt;6,"Partly scored ("&amp;COUNTA(N21:S21)&amp;"/6)",IF(T21&gt;=Settings!$S$8,"Hot",IF(T21&gt;=Settings!$S$9,"Warm","Cold")))))</f>
        <v/>
      </c>
      <c r="V21" s="44" t="str">
        <f aca="false">IF(D21="","",IF(AND(N21="No",P21="No"),"🚩 Budget  ·  🚩 No one on camera",IF(N21="No","🚩 Budget under AED 5k",IF(P21="No","🚩 No one on camera",""))))</f>
        <v/>
      </c>
      <c r="W21" s="17"/>
      <c r="X21" s="17"/>
      <c r="Y21" s="40"/>
      <c r="Z21" s="17"/>
      <c r="AA21" s="45" t="str">
        <f aca="false">IF(OR(D21="",Y21="",OR(X21="Contract signed + paid",X21="Closed – No response",X21="Lost"),N(Z21)&gt;=Settings!$S$3),"",Y21+Settings!$S$2)</f>
        <v/>
      </c>
      <c r="AB21" s="40"/>
      <c r="AC21" s="41"/>
      <c r="AD21" s="17"/>
      <c r="AE21" s="17"/>
      <c r="AF21" s="17"/>
      <c r="AG21" s="46" t="str">
        <f aca="true">IF(OR(D21="",B21=""),"",INT(TODAY()-B21))</f>
        <v/>
      </c>
      <c r="AH21" s="44" t="str">
        <f aca="true">IF(D21="","",IF(OR(COUNTIFS(Clients!$C$2:$C$501,D21,Clients!$S$2:$S$501,"Paid")&gt;0,AND(H21&lt;&gt;"",COUNTIFS(Clients!$E$2:$E$501,H21,Clients!$S$2:$S$501,"Paid")&gt;0)),"⚠ Refunded before – no free video",IF(OR(X21="Contract signed + paid",X21="Closed – No response",X21="Lost"),"",IF(X21="","Set a stage",IF(AND(X21="Proposal sent",COUNTA(N21:S21)&lt;6),"Score this lead – proposal sent unscored",IF(N(Z21)&gt;=Settings!$S$3,"Close – 4 follow-ups sent",IF(AA21="",IF(Y21="","Make first contact",""),IF(TODAY()&gt;AA21,"OVERDUE follow-up",IF(TODAY()=AA21,"Follow up today","")))))))))</f>
        <v/>
      </c>
    </row>
    <row r="22" customFormat="false" ht="15" hidden="false" customHeight="false" outlineLevel="0" collapsed="false">
      <c r="A22" s="17"/>
      <c r="B22" s="40"/>
      <c r="C22" s="17"/>
      <c r="D22" s="17"/>
      <c r="E22" s="17"/>
      <c r="F22" s="17"/>
      <c r="G22" s="17"/>
      <c r="H22" s="42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44" t="str">
        <f aca="false">IF(OR(D22="",COUNTA(N22:S22)=0),"",SUMIFS(Settings!$AA$2:$AA$21,Settings!$Y$2:$Y$21,"Budget AED 5k+/mo?",Settings!$Z$2:$Z$21,N22)+SUMIFS(Settings!$AA$2:$AA$21,Settings!$Y$2:$Y$21,"Decision-maker?",Settings!$Z$2:$Z$21,O22)+SUMIFS(Settings!$AA$2:$AA$21,Settings!$Y$2:$Y$21,"Someone on camera?",Settings!$Z$2:$Z$21,P22)+SUMIFS(Settings!$AA$2:$AA$21,Settings!$Y$2:$Y$21,"OK with 3-month term?",Settings!$Z$2:$Z$21,Q22)+SUMIFS(Settings!$AA$2:$AA$21,Settings!$Y$2:$Y$21,"Start timeline",Settings!$Z$2:$Z$21,R22)+SUMIFS(Settings!$AA$2:$AA$21,Settings!$Y$2:$Y$21,"Social media gap",Settings!$Z$2:$Z$21,S22)+IF(E22="",0,IF(COUNTIF(Settings!$AC$2:$AC$6,E22)&gt;0,Settings!$AA$20,Settings!$AA$21)))</f>
        <v/>
      </c>
      <c r="U22" s="44" t="str">
        <f aca="false">IF(D22="","",IF(COUNTA(N22:S22)=0,"Not scored",IF(COUNTA(N22:S22)&lt;6,"Partly scored ("&amp;COUNTA(N22:S22)&amp;"/6)",IF(T22&gt;=Settings!$S$8,"Hot",IF(T22&gt;=Settings!$S$9,"Warm","Cold")))))</f>
        <v/>
      </c>
      <c r="V22" s="44" t="str">
        <f aca="false">IF(D22="","",IF(AND(N22="No",P22="No"),"🚩 Budget  ·  🚩 No one on camera",IF(N22="No","🚩 Budget under AED 5k",IF(P22="No","🚩 No one on camera",""))))</f>
        <v/>
      </c>
      <c r="W22" s="17"/>
      <c r="X22" s="17"/>
      <c r="Y22" s="40"/>
      <c r="Z22" s="17"/>
      <c r="AA22" s="45" t="str">
        <f aca="false">IF(OR(D22="",Y22="",OR(X22="Contract signed + paid",X22="Closed – No response",X22="Lost"),N(Z22)&gt;=Settings!$S$3),"",Y22+Settings!$S$2)</f>
        <v/>
      </c>
      <c r="AB22" s="40"/>
      <c r="AC22" s="41"/>
      <c r="AD22" s="17"/>
      <c r="AE22" s="17"/>
      <c r="AF22" s="17"/>
      <c r="AG22" s="46" t="str">
        <f aca="true">IF(OR(D22="",B22=""),"",INT(TODAY()-B22))</f>
        <v/>
      </c>
      <c r="AH22" s="44" t="str">
        <f aca="true">IF(D22="","",IF(OR(COUNTIFS(Clients!$C$2:$C$501,D22,Clients!$S$2:$S$501,"Paid")&gt;0,AND(H22&lt;&gt;"",COUNTIFS(Clients!$E$2:$E$501,H22,Clients!$S$2:$S$501,"Paid")&gt;0)),"⚠ Refunded before – no free video",IF(OR(X22="Contract signed + paid",X22="Closed – No response",X22="Lost"),"",IF(X22="","Set a stage",IF(AND(X22="Proposal sent",COUNTA(N22:S22)&lt;6),"Score this lead – proposal sent unscored",IF(N(Z22)&gt;=Settings!$S$3,"Close – 4 follow-ups sent",IF(AA22="",IF(Y22="","Make first contact",""),IF(TODAY()&gt;AA22,"OVERDUE follow-up",IF(TODAY()=AA22,"Follow up today","")))))))))</f>
        <v/>
      </c>
    </row>
    <row r="23" customFormat="false" ht="15" hidden="false" customHeight="false" outlineLevel="0" collapsed="false">
      <c r="A23" s="17"/>
      <c r="B23" s="40"/>
      <c r="C23" s="17"/>
      <c r="D23" s="17"/>
      <c r="E23" s="17"/>
      <c r="F23" s="17"/>
      <c r="G23" s="17"/>
      <c r="H23" s="42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44" t="str">
        <f aca="false">IF(OR(D23="",COUNTA(N23:S23)=0),"",SUMIFS(Settings!$AA$2:$AA$21,Settings!$Y$2:$Y$21,"Budget AED 5k+/mo?",Settings!$Z$2:$Z$21,N23)+SUMIFS(Settings!$AA$2:$AA$21,Settings!$Y$2:$Y$21,"Decision-maker?",Settings!$Z$2:$Z$21,O23)+SUMIFS(Settings!$AA$2:$AA$21,Settings!$Y$2:$Y$21,"Someone on camera?",Settings!$Z$2:$Z$21,P23)+SUMIFS(Settings!$AA$2:$AA$21,Settings!$Y$2:$Y$21,"OK with 3-month term?",Settings!$Z$2:$Z$21,Q23)+SUMIFS(Settings!$AA$2:$AA$21,Settings!$Y$2:$Y$21,"Start timeline",Settings!$Z$2:$Z$21,R23)+SUMIFS(Settings!$AA$2:$AA$21,Settings!$Y$2:$Y$21,"Social media gap",Settings!$Z$2:$Z$21,S23)+IF(E23="",0,IF(COUNTIF(Settings!$AC$2:$AC$6,E23)&gt;0,Settings!$AA$20,Settings!$AA$21)))</f>
        <v/>
      </c>
      <c r="U23" s="44" t="str">
        <f aca="false">IF(D23="","",IF(COUNTA(N23:S23)=0,"Not scored",IF(COUNTA(N23:S23)&lt;6,"Partly scored ("&amp;COUNTA(N23:S23)&amp;"/6)",IF(T23&gt;=Settings!$S$8,"Hot",IF(T23&gt;=Settings!$S$9,"Warm","Cold")))))</f>
        <v/>
      </c>
      <c r="V23" s="44" t="str">
        <f aca="false">IF(D23="","",IF(AND(N23="No",P23="No"),"🚩 Budget  ·  🚩 No one on camera",IF(N23="No","🚩 Budget under AED 5k",IF(P23="No","🚩 No one on camera",""))))</f>
        <v/>
      </c>
      <c r="W23" s="17"/>
      <c r="X23" s="17"/>
      <c r="Y23" s="40"/>
      <c r="Z23" s="17"/>
      <c r="AA23" s="45" t="str">
        <f aca="false">IF(OR(D23="",Y23="",OR(X23="Contract signed + paid",X23="Closed – No response",X23="Lost"),N(Z23)&gt;=Settings!$S$3),"",Y23+Settings!$S$2)</f>
        <v/>
      </c>
      <c r="AB23" s="40"/>
      <c r="AC23" s="41"/>
      <c r="AD23" s="17"/>
      <c r="AE23" s="17"/>
      <c r="AF23" s="17"/>
      <c r="AG23" s="46" t="str">
        <f aca="true">IF(OR(D23="",B23=""),"",INT(TODAY()-B23))</f>
        <v/>
      </c>
      <c r="AH23" s="44" t="str">
        <f aca="true">IF(D23="","",IF(OR(COUNTIFS(Clients!$C$2:$C$501,D23,Clients!$S$2:$S$501,"Paid")&gt;0,AND(H23&lt;&gt;"",COUNTIFS(Clients!$E$2:$E$501,H23,Clients!$S$2:$S$501,"Paid")&gt;0)),"⚠ Refunded before – no free video",IF(OR(X23="Contract signed + paid",X23="Closed – No response",X23="Lost"),"",IF(X23="","Set a stage",IF(AND(X23="Proposal sent",COUNTA(N23:S23)&lt;6),"Score this lead – proposal sent unscored",IF(N(Z23)&gt;=Settings!$S$3,"Close – 4 follow-ups sent",IF(AA23="",IF(Y23="","Make first contact",""),IF(TODAY()&gt;AA23,"OVERDUE follow-up",IF(TODAY()=AA23,"Follow up today","")))))))))</f>
        <v/>
      </c>
    </row>
    <row r="24" customFormat="false" ht="15" hidden="false" customHeight="false" outlineLevel="0" collapsed="false">
      <c r="A24" s="17"/>
      <c r="B24" s="40"/>
      <c r="C24" s="17"/>
      <c r="D24" s="17"/>
      <c r="E24" s="17"/>
      <c r="F24" s="17"/>
      <c r="G24" s="17"/>
      <c r="H24" s="42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44" t="str">
        <f aca="false">IF(OR(D24="",COUNTA(N24:S24)=0),"",SUMIFS(Settings!$AA$2:$AA$21,Settings!$Y$2:$Y$21,"Budget AED 5k+/mo?",Settings!$Z$2:$Z$21,N24)+SUMIFS(Settings!$AA$2:$AA$21,Settings!$Y$2:$Y$21,"Decision-maker?",Settings!$Z$2:$Z$21,O24)+SUMIFS(Settings!$AA$2:$AA$21,Settings!$Y$2:$Y$21,"Someone on camera?",Settings!$Z$2:$Z$21,P24)+SUMIFS(Settings!$AA$2:$AA$21,Settings!$Y$2:$Y$21,"OK with 3-month term?",Settings!$Z$2:$Z$21,Q24)+SUMIFS(Settings!$AA$2:$AA$21,Settings!$Y$2:$Y$21,"Start timeline",Settings!$Z$2:$Z$21,R24)+SUMIFS(Settings!$AA$2:$AA$21,Settings!$Y$2:$Y$21,"Social media gap",Settings!$Z$2:$Z$21,S24)+IF(E24="",0,IF(COUNTIF(Settings!$AC$2:$AC$6,E24)&gt;0,Settings!$AA$20,Settings!$AA$21)))</f>
        <v/>
      </c>
      <c r="U24" s="44" t="str">
        <f aca="false">IF(D24="","",IF(COUNTA(N24:S24)=0,"Not scored",IF(COUNTA(N24:S24)&lt;6,"Partly scored ("&amp;COUNTA(N24:S24)&amp;"/6)",IF(T24&gt;=Settings!$S$8,"Hot",IF(T24&gt;=Settings!$S$9,"Warm","Cold")))))</f>
        <v/>
      </c>
      <c r="V24" s="44" t="str">
        <f aca="false">IF(D24="","",IF(AND(N24="No",P24="No"),"🚩 Budget  ·  🚩 No one on camera",IF(N24="No","🚩 Budget under AED 5k",IF(P24="No","🚩 No one on camera",""))))</f>
        <v/>
      </c>
      <c r="W24" s="17"/>
      <c r="X24" s="17"/>
      <c r="Y24" s="40"/>
      <c r="Z24" s="17"/>
      <c r="AA24" s="45" t="str">
        <f aca="false">IF(OR(D24="",Y24="",OR(X24="Contract signed + paid",X24="Closed – No response",X24="Lost"),N(Z24)&gt;=Settings!$S$3),"",Y24+Settings!$S$2)</f>
        <v/>
      </c>
      <c r="AB24" s="40"/>
      <c r="AC24" s="41"/>
      <c r="AD24" s="17"/>
      <c r="AE24" s="17"/>
      <c r="AF24" s="17"/>
      <c r="AG24" s="46" t="str">
        <f aca="true">IF(OR(D24="",B24=""),"",INT(TODAY()-B24))</f>
        <v/>
      </c>
      <c r="AH24" s="44" t="str">
        <f aca="true">IF(D24="","",IF(OR(COUNTIFS(Clients!$C$2:$C$501,D24,Clients!$S$2:$S$501,"Paid")&gt;0,AND(H24&lt;&gt;"",COUNTIFS(Clients!$E$2:$E$501,H24,Clients!$S$2:$S$501,"Paid")&gt;0)),"⚠ Refunded before – no free video",IF(OR(X24="Contract signed + paid",X24="Closed – No response",X24="Lost"),"",IF(X24="","Set a stage",IF(AND(X24="Proposal sent",COUNTA(N24:S24)&lt;6),"Score this lead – proposal sent unscored",IF(N(Z24)&gt;=Settings!$S$3,"Close – 4 follow-ups sent",IF(AA24="",IF(Y24="","Make first contact",""),IF(TODAY()&gt;AA24,"OVERDUE follow-up",IF(TODAY()=AA24,"Follow up today","")))))))))</f>
        <v/>
      </c>
    </row>
    <row r="25" customFormat="false" ht="15" hidden="false" customHeight="false" outlineLevel="0" collapsed="false">
      <c r="A25" s="17"/>
      <c r="B25" s="40"/>
      <c r="C25" s="17"/>
      <c r="D25" s="17"/>
      <c r="E25" s="17"/>
      <c r="F25" s="17"/>
      <c r="G25" s="17"/>
      <c r="H25" s="42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44" t="str">
        <f aca="false">IF(OR(D25="",COUNTA(N25:S25)=0),"",SUMIFS(Settings!$AA$2:$AA$21,Settings!$Y$2:$Y$21,"Budget AED 5k+/mo?",Settings!$Z$2:$Z$21,N25)+SUMIFS(Settings!$AA$2:$AA$21,Settings!$Y$2:$Y$21,"Decision-maker?",Settings!$Z$2:$Z$21,O25)+SUMIFS(Settings!$AA$2:$AA$21,Settings!$Y$2:$Y$21,"Someone on camera?",Settings!$Z$2:$Z$21,P25)+SUMIFS(Settings!$AA$2:$AA$21,Settings!$Y$2:$Y$21,"OK with 3-month term?",Settings!$Z$2:$Z$21,Q25)+SUMIFS(Settings!$AA$2:$AA$21,Settings!$Y$2:$Y$21,"Start timeline",Settings!$Z$2:$Z$21,R25)+SUMIFS(Settings!$AA$2:$AA$21,Settings!$Y$2:$Y$21,"Social media gap",Settings!$Z$2:$Z$21,S25)+IF(E25="",0,IF(COUNTIF(Settings!$AC$2:$AC$6,E25)&gt;0,Settings!$AA$20,Settings!$AA$21)))</f>
        <v/>
      </c>
      <c r="U25" s="44" t="str">
        <f aca="false">IF(D25="","",IF(COUNTA(N25:S25)=0,"Not scored",IF(COUNTA(N25:S25)&lt;6,"Partly scored ("&amp;COUNTA(N25:S25)&amp;"/6)",IF(T25&gt;=Settings!$S$8,"Hot",IF(T25&gt;=Settings!$S$9,"Warm","Cold")))))</f>
        <v/>
      </c>
      <c r="V25" s="44" t="str">
        <f aca="false">IF(D25="","",IF(AND(N25="No",P25="No"),"🚩 Budget  ·  🚩 No one on camera",IF(N25="No","🚩 Budget under AED 5k",IF(P25="No","🚩 No one on camera",""))))</f>
        <v/>
      </c>
      <c r="W25" s="17"/>
      <c r="X25" s="17"/>
      <c r="Y25" s="40"/>
      <c r="Z25" s="17"/>
      <c r="AA25" s="45" t="str">
        <f aca="false">IF(OR(D25="",Y25="",OR(X25="Contract signed + paid",X25="Closed – No response",X25="Lost"),N(Z25)&gt;=Settings!$S$3),"",Y25+Settings!$S$2)</f>
        <v/>
      </c>
      <c r="AB25" s="40"/>
      <c r="AC25" s="41"/>
      <c r="AD25" s="17"/>
      <c r="AE25" s="17"/>
      <c r="AF25" s="17"/>
      <c r="AG25" s="46" t="str">
        <f aca="true">IF(OR(D25="",B25=""),"",INT(TODAY()-B25))</f>
        <v/>
      </c>
      <c r="AH25" s="44" t="str">
        <f aca="true">IF(D25="","",IF(OR(COUNTIFS(Clients!$C$2:$C$501,D25,Clients!$S$2:$S$501,"Paid")&gt;0,AND(H25&lt;&gt;"",COUNTIFS(Clients!$E$2:$E$501,H25,Clients!$S$2:$S$501,"Paid")&gt;0)),"⚠ Refunded before – no free video",IF(OR(X25="Contract signed + paid",X25="Closed – No response",X25="Lost"),"",IF(X25="","Set a stage",IF(AND(X25="Proposal sent",COUNTA(N25:S25)&lt;6),"Score this lead – proposal sent unscored",IF(N(Z25)&gt;=Settings!$S$3,"Close – 4 follow-ups sent",IF(AA25="",IF(Y25="","Make first contact",""),IF(TODAY()&gt;AA25,"OVERDUE follow-up",IF(TODAY()=AA25,"Follow up today","")))))))))</f>
        <v/>
      </c>
    </row>
    <row r="26" customFormat="false" ht="15" hidden="false" customHeight="false" outlineLevel="0" collapsed="false">
      <c r="A26" s="17"/>
      <c r="B26" s="40"/>
      <c r="C26" s="17"/>
      <c r="D26" s="17"/>
      <c r="E26" s="17"/>
      <c r="F26" s="17"/>
      <c r="G26" s="17"/>
      <c r="H26" s="42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44" t="str">
        <f aca="false">IF(OR(D26="",COUNTA(N26:S26)=0),"",SUMIFS(Settings!$AA$2:$AA$21,Settings!$Y$2:$Y$21,"Budget AED 5k+/mo?",Settings!$Z$2:$Z$21,N26)+SUMIFS(Settings!$AA$2:$AA$21,Settings!$Y$2:$Y$21,"Decision-maker?",Settings!$Z$2:$Z$21,O26)+SUMIFS(Settings!$AA$2:$AA$21,Settings!$Y$2:$Y$21,"Someone on camera?",Settings!$Z$2:$Z$21,P26)+SUMIFS(Settings!$AA$2:$AA$21,Settings!$Y$2:$Y$21,"OK with 3-month term?",Settings!$Z$2:$Z$21,Q26)+SUMIFS(Settings!$AA$2:$AA$21,Settings!$Y$2:$Y$21,"Start timeline",Settings!$Z$2:$Z$21,R26)+SUMIFS(Settings!$AA$2:$AA$21,Settings!$Y$2:$Y$21,"Social media gap",Settings!$Z$2:$Z$21,S26)+IF(E26="",0,IF(COUNTIF(Settings!$AC$2:$AC$6,E26)&gt;0,Settings!$AA$20,Settings!$AA$21)))</f>
        <v/>
      </c>
      <c r="U26" s="44" t="str">
        <f aca="false">IF(D26="","",IF(COUNTA(N26:S26)=0,"Not scored",IF(COUNTA(N26:S26)&lt;6,"Partly scored ("&amp;COUNTA(N26:S26)&amp;"/6)",IF(T26&gt;=Settings!$S$8,"Hot",IF(T26&gt;=Settings!$S$9,"Warm","Cold")))))</f>
        <v/>
      </c>
      <c r="V26" s="44" t="str">
        <f aca="false">IF(D26="","",IF(AND(N26="No",P26="No"),"🚩 Budget  ·  🚩 No one on camera",IF(N26="No","🚩 Budget under AED 5k",IF(P26="No","🚩 No one on camera",""))))</f>
        <v/>
      </c>
      <c r="W26" s="17"/>
      <c r="X26" s="17"/>
      <c r="Y26" s="40"/>
      <c r="Z26" s="17"/>
      <c r="AA26" s="45" t="str">
        <f aca="false">IF(OR(D26="",Y26="",OR(X26="Contract signed + paid",X26="Closed – No response",X26="Lost"),N(Z26)&gt;=Settings!$S$3),"",Y26+Settings!$S$2)</f>
        <v/>
      </c>
      <c r="AB26" s="40"/>
      <c r="AC26" s="41"/>
      <c r="AD26" s="17"/>
      <c r="AE26" s="17"/>
      <c r="AF26" s="17"/>
      <c r="AG26" s="46" t="str">
        <f aca="true">IF(OR(D26="",B26=""),"",INT(TODAY()-B26))</f>
        <v/>
      </c>
      <c r="AH26" s="44" t="str">
        <f aca="true">IF(D26="","",IF(OR(COUNTIFS(Clients!$C$2:$C$501,D26,Clients!$S$2:$S$501,"Paid")&gt;0,AND(H26&lt;&gt;"",COUNTIFS(Clients!$E$2:$E$501,H26,Clients!$S$2:$S$501,"Paid")&gt;0)),"⚠ Refunded before – no free video",IF(OR(X26="Contract signed + paid",X26="Closed – No response",X26="Lost"),"",IF(X26="","Set a stage",IF(AND(X26="Proposal sent",COUNTA(N26:S26)&lt;6),"Score this lead – proposal sent unscored",IF(N(Z26)&gt;=Settings!$S$3,"Close – 4 follow-ups sent",IF(AA26="",IF(Y26="","Make first contact",""),IF(TODAY()&gt;AA26,"OVERDUE follow-up",IF(TODAY()=AA26,"Follow up today","")))))))))</f>
        <v/>
      </c>
    </row>
    <row r="27" customFormat="false" ht="15" hidden="false" customHeight="false" outlineLevel="0" collapsed="false">
      <c r="A27" s="17"/>
      <c r="B27" s="40"/>
      <c r="C27" s="17"/>
      <c r="D27" s="17"/>
      <c r="E27" s="17"/>
      <c r="F27" s="17"/>
      <c r="G27" s="17"/>
      <c r="H27" s="42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44" t="str">
        <f aca="false">IF(OR(D27="",COUNTA(N27:S27)=0),"",SUMIFS(Settings!$AA$2:$AA$21,Settings!$Y$2:$Y$21,"Budget AED 5k+/mo?",Settings!$Z$2:$Z$21,N27)+SUMIFS(Settings!$AA$2:$AA$21,Settings!$Y$2:$Y$21,"Decision-maker?",Settings!$Z$2:$Z$21,O27)+SUMIFS(Settings!$AA$2:$AA$21,Settings!$Y$2:$Y$21,"Someone on camera?",Settings!$Z$2:$Z$21,P27)+SUMIFS(Settings!$AA$2:$AA$21,Settings!$Y$2:$Y$21,"OK with 3-month term?",Settings!$Z$2:$Z$21,Q27)+SUMIFS(Settings!$AA$2:$AA$21,Settings!$Y$2:$Y$21,"Start timeline",Settings!$Z$2:$Z$21,R27)+SUMIFS(Settings!$AA$2:$AA$21,Settings!$Y$2:$Y$21,"Social media gap",Settings!$Z$2:$Z$21,S27)+IF(E27="",0,IF(COUNTIF(Settings!$AC$2:$AC$6,E27)&gt;0,Settings!$AA$20,Settings!$AA$21)))</f>
        <v/>
      </c>
      <c r="U27" s="44" t="str">
        <f aca="false">IF(D27="","",IF(COUNTA(N27:S27)=0,"Not scored",IF(COUNTA(N27:S27)&lt;6,"Partly scored ("&amp;COUNTA(N27:S27)&amp;"/6)",IF(T27&gt;=Settings!$S$8,"Hot",IF(T27&gt;=Settings!$S$9,"Warm","Cold")))))</f>
        <v/>
      </c>
      <c r="V27" s="44" t="str">
        <f aca="false">IF(D27="","",IF(AND(N27="No",P27="No"),"🚩 Budget  ·  🚩 No one on camera",IF(N27="No","🚩 Budget under AED 5k",IF(P27="No","🚩 No one on camera",""))))</f>
        <v/>
      </c>
      <c r="W27" s="17"/>
      <c r="X27" s="17"/>
      <c r="Y27" s="40"/>
      <c r="Z27" s="17"/>
      <c r="AA27" s="45" t="str">
        <f aca="false">IF(OR(D27="",Y27="",OR(X27="Contract signed + paid",X27="Closed – No response",X27="Lost"),N(Z27)&gt;=Settings!$S$3),"",Y27+Settings!$S$2)</f>
        <v/>
      </c>
      <c r="AB27" s="40"/>
      <c r="AC27" s="41"/>
      <c r="AD27" s="17"/>
      <c r="AE27" s="17"/>
      <c r="AF27" s="17"/>
      <c r="AG27" s="46" t="str">
        <f aca="true">IF(OR(D27="",B27=""),"",INT(TODAY()-B27))</f>
        <v/>
      </c>
      <c r="AH27" s="44" t="str">
        <f aca="true">IF(D27="","",IF(OR(COUNTIFS(Clients!$C$2:$C$501,D27,Clients!$S$2:$S$501,"Paid")&gt;0,AND(H27&lt;&gt;"",COUNTIFS(Clients!$E$2:$E$501,H27,Clients!$S$2:$S$501,"Paid")&gt;0)),"⚠ Refunded before – no free video",IF(OR(X27="Contract signed + paid",X27="Closed – No response",X27="Lost"),"",IF(X27="","Set a stage",IF(AND(X27="Proposal sent",COUNTA(N27:S27)&lt;6),"Score this lead – proposal sent unscored",IF(N(Z27)&gt;=Settings!$S$3,"Close – 4 follow-ups sent",IF(AA27="",IF(Y27="","Make first contact",""),IF(TODAY()&gt;AA27,"OVERDUE follow-up",IF(TODAY()=AA27,"Follow up today","")))))))))</f>
        <v/>
      </c>
    </row>
    <row r="28" customFormat="false" ht="15" hidden="false" customHeight="false" outlineLevel="0" collapsed="false">
      <c r="A28" s="17"/>
      <c r="B28" s="40"/>
      <c r="C28" s="17"/>
      <c r="D28" s="17"/>
      <c r="E28" s="17"/>
      <c r="F28" s="17"/>
      <c r="G28" s="17"/>
      <c r="H28" s="42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44" t="str">
        <f aca="false">IF(OR(D28="",COUNTA(N28:S28)=0),"",SUMIFS(Settings!$AA$2:$AA$21,Settings!$Y$2:$Y$21,"Budget AED 5k+/mo?",Settings!$Z$2:$Z$21,N28)+SUMIFS(Settings!$AA$2:$AA$21,Settings!$Y$2:$Y$21,"Decision-maker?",Settings!$Z$2:$Z$21,O28)+SUMIFS(Settings!$AA$2:$AA$21,Settings!$Y$2:$Y$21,"Someone on camera?",Settings!$Z$2:$Z$21,P28)+SUMIFS(Settings!$AA$2:$AA$21,Settings!$Y$2:$Y$21,"OK with 3-month term?",Settings!$Z$2:$Z$21,Q28)+SUMIFS(Settings!$AA$2:$AA$21,Settings!$Y$2:$Y$21,"Start timeline",Settings!$Z$2:$Z$21,R28)+SUMIFS(Settings!$AA$2:$AA$21,Settings!$Y$2:$Y$21,"Social media gap",Settings!$Z$2:$Z$21,S28)+IF(E28="",0,IF(COUNTIF(Settings!$AC$2:$AC$6,E28)&gt;0,Settings!$AA$20,Settings!$AA$21)))</f>
        <v/>
      </c>
      <c r="U28" s="44" t="str">
        <f aca="false">IF(D28="","",IF(COUNTA(N28:S28)=0,"Not scored",IF(COUNTA(N28:S28)&lt;6,"Partly scored ("&amp;COUNTA(N28:S28)&amp;"/6)",IF(T28&gt;=Settings!$S$8,"Hot",IF(T28&gt;=Settings!$S$9,"Warm","Cold")))))</f>
        <v/>
      </c>
      <c r="V28" s="44" t="str">
        <f aca="false">IF(D28="","",IF(AND(N28="No",P28="No"),"🚩 Budget  ·  🚩 No one on camera",IF(N28="No","🚩 Budget under AED 5k",IF(P28="No","🚩 No one on camera",""))))</f>
        <v/>
      </c>
      <c r="W28" s="17"/>
      <c r="X28" s="17"/>
      <c r="Y28" s="40"/>
      <c r="Z28" s="17"/>
      <c r="AA28" s="45" t="str">
        <f aca="false">IF(OR(D28="",Y28="",OR(X28="Contract signed + paid",X28="Closed – No response",X28="Lost"),N(Z28)&gt;=Settings!$S$3),"",Y28+Settings!$S$2)</f>
        <v/>
      </c>
      <c r="AB28" s="40"/>
      <c r="AC28" s="41"/>
      <c r="AD28" s="17"/>
      <c r="AE28" s="17"/>
      <c r="AF28" s="17"/>
      <c r="AG28" s="46" t="str">
        <f aca="true">IF(OR(D28="",B28=""),"",INT(TODAY()-B28))</f>
        <v/>
      </c>
      <c r="AH28" s="44" t="str">
        <f aca="true">IF(D28="","",IF(OR(COUNTIFS(Clients!$C$2:$C$501,D28,Clients!$S$2:$S$501,"Paid")&gt;0,AND(H28&lt;&gt;"",COUNTIFS(Clients!$E$2:$E$501,H28,Clients!$S$2:$S$501,"Paid")&gt;0)),"⚠ Refunded before – no free video",IF(OR(X28="Contract signed + paid",X28="Closed – No response",X28="Lost"),"",IF(X28="","Set a stage",IF(AND(X28="Proposal sent",COUNTA(N28:S28)&lt;6),"Score this lead – proposal sent unscored",IF(N(Z28)&gt;=Settings!$S$3,"Close – 4 follow-ups sent",IF(AA28="",IF(Y28="","Make first contact",""),IF(TODAY()&gt;AA28,"OVERDUE follow-up",IF(TODAY()=AA28,"Follow up today","")))))))))</f>
        <v/>
      </c>
    </row>
    <row r="29" customFormat="false" ht="15" hidden="false" customHeight="false" outlineLevel="0" collapsed="false">
      <c r="A29" s="17"/>
      <c r="B29" s="40"/>
      <c r="C29" s="17"/>
      <c r="D29" s="17"/>
      <c r="E29" s="17"/>
      <c r="F29" s="17"/>
      <c r="G29" s="17"/>
      <c r="H29" s="42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44" t="str">
        <f aca="false">IF(OR(D29="",COUNTA(N29:S29)=0),"",SUMIFS(Settings!$AA$2:$AA$21,Settings!$Y$2:$Y$21,"Budget AED 5k+/mo?",Settings!$Z$2:$Z$21,N29)+SUMIFS(Settings!$AA$2:$AA$21,Settings!$Y$2:$Y$21,"Decision-maker?",Settings!$Z$2:$Z$21,O29)+SUMIFS(Settings!$AA$2:$AA$21,Settings!$Y$2:$Y$21,"Someone on camera?",Settings!$Z$2:$Z$21,P29)+SUMIFS(Settings!$AA$2:$AA$21,Settings!$Y$2:$Y$21,"OK with 3-month term?",Settings!$Z$2:$Z$21,Q29)+SUMIFS(Settings!$AA$2:$AA$21,Settings!$Y$2:$Y$21,"Start timeline",Settings!$Z$2:$Z$21,R29)+SUMIFS(Settings!$AA$2:$AA$21,Settings!$Y$2:$Y$21,"Social media gap",Settings!$Z$2:$Z$21,S29)+IF(E29="",0,IF(COUNTIF(Settings!$AC$2:$AC$6,E29)&gt;0,Settings!$AA$20,Settings!$AA$21)))</f>
        <v/>
      </c>
      <c r="U29" s="44" t="str">
        <f aca="false">IF(D29="","",IF(COUNTA(N29:S29)=0,"Not scored",IF(COUNTA(N29:S29)&lt;6,"Partly scored ("&amp;COUNTA(N29:S29)&amp;"/6)",IF(T29&gt;=Settings!$S$8,"Hot",IF(T29&gt;=Settings!$S$9,"Warm","Cold")))))</f>
        <v/>
      </c>
      <c r="V29" s="44" t="str">
        <f aca="false">IF(D29="","",IF(AND(N29="No",P29="No"),"🚩 Budget  ·  🚩 No one on camera",IF(N29="No","🚩 Budget under AED 5k",IF(P29="No","🚩 No one on camera",""))))</f>
        <v/>
      </c>
      <c r="W29" s="17"/>
      <c r="X29" s="17"/>
      <c r="Y29" s="40"/>
      <c r="Z29" s="17"/>
      <c r="AA29" s="45" t="str">
        <f aca="false">IF(OR(D29="",Y29="",OR(X29="Contract signed + paid",X29="Closed – No response",X29="Lost"),N(Z29)&gt;=Settings!$S$3),"",Y29+Settings!$S$2)</f>
        <v/>
      </c>
      <c r="AB29" s="40"/>
      <c r="AC29" s="41"/>
      <c r="AD29" s="17"/>
      <c r="AE29" s="17"/>
      <c r="AF29" s="17"/>
      <c r="AG29" s="46" t="str">
        <f aca="true">IF(OR(D29="",B29=""),"",INT(TODAY()-B29))</f>
        <v/>
      </c>
      <c r="AH29" s="44" t="str">
        <f aca="true">IF(D29="","",IF(OR(COUNTIFS(Clients!$C$2:$C$501,D29,Clients!$S$2:$S$501,"Paid")&gt;0,AND(H29&lt;&gt;"",COUNTIFS(Clients!$E$2:$E$501,H29,Clients!$S$2:$S$501,"Paid")&gt;0)),"⚠ Refunded before – no free video",IF(OR(X29="Contract signed + paid",X29="Closed – No response",X29="Lost"),"",IF(X29="","Set a stage",IF(AND(X29="Proposal sent",COUNTA(N29:S29)&lt;6),"Score this lead – proposal sent unscored",IF(N(Z29)&gt;=Settings!$S$3,"Close – 4 follow-ups sent",IF(AA29="",IF(Y29="","Make first contact",""),IF(TODAY()&gt;AA29,"OVERDUE follow-up",IF(TODAY()=AA29,"Follow up today","")))))))))</f>
        <v/>
      </c>
    </row>
    <row r="30" customFormat="false" ht="15" hidden="false" customHeight="false" outlineLevel="0" collapsed="false">
      <c r="A30" s="17"/>
      <c r="B30" s="40"/>
      <c r="C30" s="17"/>
      <c r="D30" s="17"/>
      <c r="E30" s="17"/>
      <c r="F30" s="17"/>
      <c r="G30" s="17"/>
      <c r="H30" s="42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44" t="str">
        <f aca="false">IF(OR(D30="",COUNTA(N30:S30)=0),"",SUMIFS(Settings!$AA$2:$AA$21,Settings!$Y$2:$Y$21,"Budget AED 5k+/mo?",Settings!$Z$2:$Z$21,N30)+SUMIFS(Settings!$AA$2:$AA$21,Settings!$Y$2:$Y$21,"Decision-maker?",Settings!$Z$2:$Z$21,O30)+SUMIFS(Settings!$AA$2:$AA$21,Settings!$Y$2:$Y$21,"Someone on camera?",Settings!$Z$2:$Z$21,P30)+SUMIFS(Settings!$AA$2:$AA$21,Settings!$Y$2:$Y$21,"OK with 3-month term?",Settings!$Z$2:$Z$21,Q30)+SUMIFS(Settings!$AA$2:$AA$21,Settings!$Y$2:$Y$21,"Start timeline",Settings!$Z$2:$Z$21,R30)+SUMIFS(Settings!$AA$2:$AA$21,Settings!$Y$2:$Y$21,"Social media gap",Settings!$Z$2:$Z$21,S30)+IF(E30="",0,IF(COUNTIF(Settings!$AC$2:$AC$6,E30)&gt;0,Settings!$AA$20,Settings!$AA$21)))</f>
        <v/>
      </c>
      <c r="U30" s="44" t="str">
        <f aca="false">IF(D30="","",IF(COUNTA(N30:S30)=0,"Not scored",IF(COUNTA(N30:S30)&lt;6,"Partly scored ("&amp;COUNTA(N30:S30)&amp;"/6)",IF(T30&gt;=Settings!$S$8,"Hot",IF(T30&gt;=Settings!$S$9,"Warm","Cold")))))</f>
        <v/>
      </c>
      <c r="V30" s="44" t="str">
        <f aca="false">IF(D30="","",IF(AND(N30="No",P30="No"),"🚩 Budget  ·  🚩 No one on camera",IF(N30="No","🚩 Budget under AED 5k",IF(P30="No","🚩 No one on camera",""))))</f>
        <v/>
      </c>
      <c r="W30" s="17"/>
      <c r="X30" s="17"/>
      <c r="Y30" s="40"/>
      <c r="Z30" s="17"/>
      <c r="AA30" s="45" t="str">
        <f aca="false">IF(OR(D30="",Y30="",OR(X30="Contract signed + paid",X30="Closed – No response",X30="Lost"),N(Z30)&gt;=Settings!$S$3),"",Y30+Settings!$S$2)</f>
        <v/>
      </c>
      <c r="AB30" s="40"/>
      <c r="AC30" s="41"/>
      <c r="AD30" s="17"/>
      <c r="AE30" s="17"/>
      <c r="AF30" s="17"/>
      <c r="AG30" s="46" t="str">
        <f aca="true">IF(OR(D30="",B30=""),"",INT(TODAY()-B30))</f>
        <v/>
      </c>
      <c r="AH30" s="44" t="str">
        <f aca="true">IF(D30="","",IF(OR(COUNTIFS(Clients!$C$2:$C$501,D30,Clients!$S$2:$S$501,"Paid")&gt;0,AND(H30&lt;&gt;"",COUNTIFS(Clients!$E$2:$E$501,H30,Clients!$S$2:$S$501,"Paid")&gt;0)),"⚠ Refunded before – no free video",IF(OR(X30="Contract signed + paid",X30="Closed – No response",X30="Lost"),"",IF(X30="","Set a stage",IF(AND(X30="Proposal sent",COUNTA(N30:S30)&lt;6),"Score this lead – proposal sent unscored",IF(N(Z30)&gt;=Settings!$S$3,"Close – 4 follow-ups sent",IF(AA30="",IF(Y30="","Make first contact",""),IF(TODAY()&gt;AA30,"OVERDUE follow-up",IF(TODAY()=AA30,"Follow up today","")))))))))</f>
        <v/>
      </c>
    </row>
    <row r="31" customFormat="false" ht="15" hidden="false" customHeight="false" outlineLevel="0" collapsed="false">
      <c r="A31" s="17"/>
      <c r="B31" s="40"/>
      <c r="C31" s="17"/>
      <c r="D31" s="17"/>
      <c r="E31" s="17"/>
      <c r="F31" s="17"/>
      <c r="G31" s="17"/>
      <c r="H31" s="42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44" t="str">
        <f aca="false">IF(OR(D31="",COUNTA(N31:S31)=0),"",SUMIFS(Settings!$AA$2:$AA$21,Settings!$Y$2:$Y$21,"Budget AED 5k+/mo?",Settings!$Z$2:$Z$21,N31)+SUMIFS(Settings!$AA$2:$AA$21,Settings!$Y$2:$Y$21,"Decision-maker?",Settings!$Z$2:$Z$21,O31)+SUMIFS(Settings!$AA$2:$AA$21,Settings!$Y$2:$Y$21,"Someone on camera?",Settings!$Z$2:$Z$21,P31)+SUMIFS(Settings!$AA$2:$AA$21,Settings!$Y$2:$Y$21,"OK with 3-month term?",Settings!$Z$2:$Z$21,Q31)+SUMIFS(Settings!$AA$2:$AA$21,Settings!$Y$2:$Y$21,"Start timeline",Settings!$Z$2:$Z$21,R31)+SUMIFS(Settings!$AA$2:$AA$21,Settings!$Y$2:$Y$21,"Social media gap",Settings!$Z$2:$Z$21,S31)+IF(E31="",0,IF(COUNTIF(Settings!$AC$2:$AC$6,E31)&gt;0,Settings!$AA$20,Settings!$AA$21)))</f>
        <v/>
      </c>
      <c r="U31" s="44" t="str">
        <f aca="false">IF(D31="","",IF(COUNTA(N31:S31)=0,"Not scored",IF(COUNTA(N31:S31)&lt;6,"Partly scored ("&amp;COUNTA(N31:S31)&amp;"/6)",IF(T31&gt;=Settings!$S$8,"Hot",IF(T31&gt;=Settings!$S$9,"Warm","Cold")))))</f>
        <v/>
      </c>
      <c r="V31" s="44" t="str">
        <f aca="false">IF(D31="","",IF(AND(N31="No",P31="No"),"🚩 Budget  ·  🚩 No one on camera",IF(N31="No","🚩 Budget under AED 5k",IF(P31="No","🚩 No one on camera",""))))</f>
        <v/>
      </c>
      <c r="W31" s="17"/>
      <c r="X31" s="17"/>
      <c r="Y31" s="40"/>
      <c r="Z31" s="17"/>
      <c r="AA31" s="45" t="str">
        <f aca="false">IF(OR(D31="",Y31="",OR(X31="Contract signed + paid",X31="Closed – No response",X31="Lost"),N(Z31)&gt;=Settings!$S$3),"",Y31+Settings!$S$2)</f>
        <v/>
      </c>
      <c r="AB31" s="40"/>
      <c r="AC31" s="41"/>
      <c r="AD31" s="17"/>
      <c r="AE31" s="17"/>
      <c r="AF31" s="17"/>
      <c r="AG31" s="46" t="str">
        <f aca="true">IF(OR(D31="",B31=""),"",INT(TODAY()-B31))</f>
        <v/>
      </c>
      <c r="AH31" s="44" t="str">
        <f aca="true">IF(D31="","",IF(OR(COUNTIFS(Clients!$C$2:$C$501,D31,Clients!$S$2:$S$501,"Paid")&gt;0,AND(H31&lt;&gt;"",COUNTIFS(Clients!$E$2:$E$501,H31,Clients!$S$2:$S$501,"Paid")&gt;0)),"⚠ Refunded before – no free video",IF(OR(X31="Contract signed + paid",X31="Closed – No response",X31="Lost"),"",IF(X31="","Set a stage",IF(AND(X31="Proposal sent",COUNTA(N31:S31)&lt;6),"Score this lead – proposal sent unscored",IF(N(Z31)&gt;=Settings!$S$3,"Close – 4 follow-ups sent",IF(AA31="",IF(Y31="","Make first contact",""),IF(TODAY()&gt;AA31,"OVERDUE follow-up",IF(TODAY()=AA31,"Follow up today","")))))))))</f>
        <v/>
      </c>
    </row>
    <row r="32" customFormat="false" ht="15" hidden="false" customHeight="false" outlineLevel="0" collapsed="false">
      <c r="A32" s="17"/>
      <c r="B32" s="40"/>
      <c r="C32" s="17"/>
      <c r="D32" s="17"/>
      <c r="E32" s="17"/>
      <c r="F32" s="17"/>
      <c r="G32" s="17"/>
      <c r="H32" s="42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44" t="str">
        <f aca="false">IF(OR(D32="",COUNTA(N32:S32)=0),"",SUMIFS(Settings!$AA$2:$AA$21,Settings!$Y$2:$Y$21,"Budget AED 5k+/mo?",Settings!$Z$2:$Z$21,N32)+SUMIFS(Settings!$AA$2:$AA$21,Settings!$Y$2:$Y$21,"Decision-maker?",Settings!$Z$2:$Z$21,O32)+SUMIFS(Settings!$AA$2:$AA$21,Settings!$Y$2:$Y$21,"Someone on camera?",Settings!$Z$2:$Z$21,P32)+SUMIFS(Settings!$AA$2:$AA$21,Settings!$Y$2:$Y$21,"OK with 3-month term?",Settings!$Z$2:$Z$21,Q32)+SUMIFS(Settings!$AA$2:$AA$21,Settings!$Y$2:$Y$21,"Start timeline",Settings!$Z$2:$Z$21,R32)+SUMIFS(Settings!$AA$2:$AA$21,Settings!$Y$2:$Y$21,"Social media gap",Settings!$Z$2:$Z$21,S32)+IF(E32="",0,IF(COUNTIF(Settings!$AC$2:$AC$6,E32)&gt;0,Settings!$AA$20,Settings!$AA$21)))</f>
        <v/>
      </c>
      <c r="U32" s="44" t="str">
        <f aca="false">IF(D32="","",IF(COUNTA(N32:S32)=0,"Not scored",IF(COUNTA(N32:S32)&lt;6,"Partly scored ("&amp;COUNTA(N32:S32)&amp;"/6)",IF(T32&gt;=Settings!$S$8,"Hot",IF(T32&gt;=Settings!$S$9,"Warm","Cold")))))</f>
        <v/>
      </c>
      <c r="V32" s="44" t="str">
        <f aca="false">IF(D32="","",IF(AND(N32="No",P32="No"),"🚩 Budget  ·  🚩 No one on camera",IF(N32="No","🚩 Budget under AED 5k",IF(P32="No","🚩 No one on camera",""))))</f>
        <v/>
      </c>
      <c r="W32" s="17"/>
      <c r="X32" s="17"/>
      <c r="Y32" s="40"/>
      <c r="Z32" s="17"/>
      <c r="AA32" s="45" t="str">
        <f aca="false">IF(OR(D32="",Y32="",OR(X32="Contract signed + paid",X32="Closed – No response",X32="Lost"),N(Z32)&gt;=Settings!$S$3),"",Y32+Settings!$S$2)</f>
        <v/>
      </c>
      <c r="AB32" s="40"/>
      <c r="AC32" s="41"/>
      <c r="AD32" s="17"/>
      <c r="AE32" s="17"/>
      <c r="AF32" s="17"/>
      <c r="AG32" s="46" t="str">
        <f aca="true">IF(OR(D32="",B32=""),"",INT(TODAY()-B32))</f>
        <v/>
      </c>
      <c r="AH32" s="44" t="str">
        <f aca="true">IF(D32="","",IF(OR(COUNTIFS(Clients!$C$2:$C$501,D32,Clients!$S$2:$S$501,"Paid")&gt;0,AND(H32&lt;&gt;"",COUNTIFS(Clients!$E$2:$E$501,H32,Clients!$S$2:$S$501,"Paid")&gt;0)),"⚠ Refunded before – no free video",IF(OR(X32="Contract signed + paid",X32="Closed – No response",X32="Lost"),"",IF(X32="","Set a stage",IF(AND(X32="Proposal sent",COUNTA(N32:S32)&lt;6),"Score this lead – proposal sent unscored",IF(N(Z32)&gt;=Settings!$S$3,"Close – 4 follow-ups sent",IF(AA32="",IF(Y32="","Make first contact",""),IF(TODAY()&gt;AA32,"OVERDUE follow-up",IF(TODAY()=AA32,"Follow up today","")))))))))</f>
        <v/>
      </c>
    </row>
    <row r="33" customFormat="false" ht="15" hidden="false" customHeight="false" outlineLevel="0" collapsed="false">
      <c r="A33" s="17"/>
      <c r="B33" s="40"/>
      <c r="C33" s="17"/>
      <c r="D33" s="17"/>
      <c r="E33" s="17"/>
      <c r="F33" s="17"/>
      <c r="G33" s="17"/>
      <c r="H33" s="42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44" t="str">
        <f aca="false">IF(OR(D33="",COUNTA(N33:S33)=0),"",SUMIFS(Settings!$AA$2:$AA$21,Settings!$Y$2:$Y$21,"Budget AED 5k+/mo?",Settings!$Z$2:$Z$21,N33)+SUMIFS(Settings!$AA$2:$AA$21,Settings!$Y$2:$Y$21,"Decision-maker?",Settings!$Z$2:$Z$21,O33)+SUMIFS(Settings!$AA$2:$AA$21,Settings!$Y$2:$Y$21,"Someone on camera?",Settings!$Z$2:$Z$21,P33)+SUMIFS(Settings!$AA$2:$AA$21,Settings!$Y$2:$Y$21,"OK with 3-month term?",Settings!$Z$2:$Z$21,Q33)+SUMIFS(Settings!$AA$2:$AA$21,Settings!$Y$2:$Y$21,"Start timeline",Settings!$Z$2:$Z$21,R33)+SUMIFS(Settings!$AA$2:$AA$21,Settings!$Y$2:$Y$21,"Social media gap",Settings!$Z$2:$Z$21,S33)+IF(E33="",0,IF(COUNTIF(Settings!$AC$2:$AC$6,E33)&gt;0,Settings!$AA$20,Settings!$AA$21)))</f>
        <v/>
      </c>
      <c r="U33" s="44" t="str">
        <f aca="false">IF(D33="","",IF(COUNTA(N33:S33)=0,"Not scored",IF(COUNTA(N33:S33)&lt;6,"Partly scored ("&amp;COUNTA(N33:S33)&amp;"/6)",IF(T33&gt;=Settings!$S$8,"Hot",IF(T33&gt;=Settings!$S$9,"Warm","Cold")))))</f>
        <v/>
      </c>
      <c r="V33" s="44" t="str">
        <f aca="false">IF(D33="","",IF(AND(N33="No",P33="No"),"🚩 Budget  ·  🚩 No one on camera",IF(N33="No","🚩 Budget under AED 5k",IF(P33="No","🚩 No one on camera",""))))</f>
        <v/>
      </c>
      <c r="W33" s="17"/>
      <c r="X33" s="17"/>
      <c r="Y33" s="40"/>
      <c r="Z33" s="17"/>
      <c r="AA33" s="45" t="str">
        <f aca="false">IF(OR(D33="",Y33="",OR(X33="Contract signed + paid",X33="Closed – No response",X33="Lost"),N(Z33)&gt;=Settings!$S$3),"",Y33+Settings!$S$2)</f>
        <v/>
      </c>
      <c r="AB33" s="40"/>
      <c r="AC33" s="41"/>
      <c r="AD33" s="17"/>
      <c r="AE33" s="17"/>
      <c r="AF33" s="17"/>
      <c r="AG33" s="46" t="str">
        <f aca="true">IF(OR(D33="",B33=""),"",INT(TODAY()-B33))</f>
        <v/>
      </c>
      <c r="AH33" s="44" t="str">
        <f aca="true">IF(D33="","",IF(OR(COUNTIFS(Clients!$C$2:$C$501,D33,Clients!$S$2:$S$501,"Paid")&gt;0,AND(H33&lt;&gt;"",COUNTIFS(Clients!$E$2:$E$501,H33,Clients!$S$2:$S$501,"Paid")&gt;0)),"⚠ Refunded before – no free video",IF(OR(X33="Contract signed + paid",X33="Closed – No response",X33="Lost"),"",IF(X33="","Set a stage",IF(AND(X33="Proposal sent",COUNTA(N33:S33)&lt;6),"Score this lead – proposal sent unscored",IF(N(Z33)&gt;=Settings!$S$3,"Close – 4 follow-ups sent",IF(AA33="",IF(Y33="","Make first contact",""),IF(TODAY()&gt;AA33,"OVERDUE follow-up",IF(TODAY()=AA33,"Follow up today","")))))))))</f>
        <v/>
      </c>
    </row>
    <row r="34" customFormat="false" ht="15" hidden="false" customHeight="false" outlineLevel="0" collapsed="false">
      <c r="A34" s="17"/>
      <c r="B34" s="40"/>
      <c r="C34" s="17"/>
      <c r="D34" s="17"/>
      <c r="E34" s="17"/>
      <c r="F34" s="17"/>
      <c r="G34" s="17"/>
      <c r="H34" s="42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44" t="str">
        <f aca="false">IF(OR(D34="",COUNTA(N34:S34)=0),"",SUMIFS(Settings!$AA$2:$AA$21,Settings!$Y$2:$Y$21,"Budget AED 5k+/mo?",Settings!$Z$2:$Z$21,N34)+SUMIFS(Settings!$AA$2:$AA$21,Settings!$Y$2:$Y$21,"Decision-maker?",Settings!$Z$2:$Z$21,O34)+SUMIFS(Settings!$AA$2:$AA$21,Settings!$Y$2:$Y$21,"Someone on camera?",Settings!$Z$2:$Z$21,P34)+SUMIFS(Settings!$AA$2:$AA$21,Settings!$Y$2:$Y$21,"OK with 3-month term?",Settings!$Z$2:$Z$21,Q34)+SUMIFS(Settings!$AA$2:$AA$21,Settings!$Y$2:$Y$21,"Start timeline",Settings!$Z$2:$Z$21,R34)+SUMIFS(Settings!$AA$2:$AA$21,Settings!$Y$2:$Y$21,"Social media gap",Settings!$Z$2:$Z$21,S34)+IF(E34="",0,IF(COUNTIF(Settings!$AC$2:$AC$6,E34)&gt;0,Settings!$AA$20,Settings!$AA$21)))</f>
        <v/>
      </c>
      <c r="U34" s="44" t="str">
        <f aca="false">IF(D34="","",IF(COUNTA(N34:S34)=0,"Not scored",IF(COUNTA(N34:S34)&lt;6,"Partly scored ("&amp;COUNTA(N34:S34)&amp;"/6)",IF(T34&gt;=Settings!$S$8,"Hot",IF(T34&gt;=Settings!$S$9,"Warm","Cold")))))</f>
        <v/>
      </c>
      <c r="V34" s="44" t="str">
        <f aca="false">IF(D34="","",IF(AND(N34="No",P34="No"),"🚩 Budget  ·  🚩 No one on camera",IF(N34="No","🚩 Budget under AED 5k",IF(P34="No","🚩 No one on camera",""))))</f>
        <v/>
      </c>
      <c r="W34" s="17"/>
      <c r="X34" s="17"/>
      <c r="Y34" s="40"/>
      <c r="Z34" s="17"/>
      <c r="AA34" s="45" t="str">
        <f aca="false">IF(OR(D34="",Y34="",OR(X34="Contract signed + paid",X34="Closed – No response",X34="Lost"),N(Z34)&gt;=Settings!$S$3),"",Y34+Settings!$S$2)</f>
        <v/>
      </c>
      <c r="AB34" s="40"/>
      <c r="AC34" s="41"/>
      <c r="AD34" s="17"/>
      <c r="AE34" s="17"/>
      <c r="AF34" s="17"/>
      <c r="AG34" s="46" t="str">
        <f aca="true">IF(OR(D34="",B34=""),"",INT(TODAY()-B34))</f>
        <v/>
      </c>
      <c r="AH34" s="44" t="str">
        <f aca="true">IF(D34="","",IF(OR(COUNTIFS(Clients!$C$2:$C$501,D34,Clients!$S$2:$S$501,"Paid")&gt;0,AND(H34&lt;&gt;"",COUNTIFS(Clients!$E$2:$E$501,H34,Clients!$S$2:$S$501,"Paid")&gt;0)),"⚠ Refunded before – no free video",IF(OR(X34="Contract signed + paid",X34="Closed – No response",X34="Lost"),"",IF(X34="","Set a stage",IF(AND(X34="Proposal sent",COUNTA(N34:S34)&lt;6),"Score this lead – proposal sent unscored",IF(N(Z34)&gt;=Settings!$S$3,"Close – 4 follow-ups sent",IF(AA34="",IF(Y34="","Make first contact",""),IF(TODAY()&gt;AA34,"OVERDUE follow-up",IF(TODAY()=AA34,"Follow up today","")))))))))</f>
        <v/>
      </c>
    </row>
    <row r="35" customFormat="false" ht="15" hidden="false" customHeight="false" outlineLevel="0" collapsed="false">
      <c r="A35" s="17"/>
      <c r="B35" s="40"/>
      <c r="C35" s="17"/>
      <c r="D35" s="17"/>
      <c r="E35" s="17"/>
      <c r="F35" s="17"/>
      <c r="G35" s="17"/>
      <c r="H35" s="42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44" t="str">
        <f aca="false">IF(OR(D35="",COUNTA(N35:S35)=0),"",SUMIFS(Settings!$AA$2:$AA$21,Settings!$Y$2:$Y$21,"Budget AED 5k+/mo?",Settings!$Z$2:$Z$21,N35)+SUMIFS(Settings!$AA$2:$AA$21,Settings!$Y$2:$Y$21,"Decision-maker?",Settings!$Z$2:$Z$21,O35)+SUMIFS(Settings!$AA$2:$AA$21,Settings!$Y$2:$Y$21,"Someone on camera?",Settings!$Z$2:$Z$21,P35)+SUMIFS(Settings!$AA$2:$AA$21,Settings!$Y$2:$Y$21,"OK with 3-month term?",Settings!$Z$2:$Z$21,Q35)+SUMIFS(Settings!$AA$2:$AA$21,Settings!$Y$2:$Y$21,"Start timeline",Settings!$Z$2:$Z$21,R35)+SUMIFS(Settings!$AA$2:$AA$21,Settings!$Y$2:$Y$21,"Social media gap",Settings!$Z$2:$Z$21,S35)+IF(E35="",0,IF(COUNTIF(Settings!$AC$2:$AC$6,E35)&gt;0,Settings!$AA$20,Settings!$AA$21)))</f>
        <v/>
      </c>
      <c r="U35" s="44" t="str">
        <f aca="false">IF(D35="","",IF(COUNTA(N35:S35)=0,"Not scored",IF(COUNTA(N35:S35)&lt;6,"Partly scored ("&amp;COUNTA(N35:S35)&amp;"/6)",IF(T35&gt;=Settings!$S$8,"Hot",IF(T35&gt;=Settings!$S$9,"Warm","Cold")))))</f>
        <v/>
      </c>
      <c r="V35" s="44" t="str">
        <f aca="false">IF(D35="","",IF(AND(N35="No",P35="No"),"🚩 Budget  ·  🚩 No one on camera",IF(N35="No","🚩 Budget under AED 5k",IF(P35="No","🚩 No one on camera",""))))</f>
        <v/>
      </c>
      <c r="W35" s="17"/>
      <c r="X35" s="17"/>
      <c r="Y35" s="40"/>
      <c r="Z35" s="17"/>
      <c r="AA35" s="45" t="str">
        <f aca="false">IF(OR(D35="",Y35="",OR(X35="Contract signed + paid",X35="Closed – No response",X35="Lost"),N(Z35)&gt;=Settings!$S$3),"",Y35+Settings!$S$2)</f>
        <v/>
      </c>
      <c r="AB35" s="40"/>
      <c r="AC35" s="41"/>
      <c r="AD35" s="17"/>
      <c r="AE35" s="17"/>
      <c r="AF35" s="17"/>
      <c r="AG35" s="46" t="str">
        <f aca="true">IF(OR(D35="",B35=""),"",INT(TODAY()-B35))</f>
        <v/>
      </c>
      <c r="AH35" s="44" t="str">
        <f aca="true">IF(D35="","",IF(OR(COUNTIFS(Clients!$C$2:$C$501,D35,Clients!$S$2:$S$501,"Paid")&gt;0,AND(H35&lt;&gt;"",COUNTIFS(Clients!$E$2:$E$501,H35,Clients!$S$2:$S$501,"Paid")&gt;0)),"⚠ Refunded before – no free video",IF(OR(X35="Contract signed + paid",X35="Closed – No response",X35="Lost"),"",IF(X35="","Set a stage",IF(AND(X35="Proposal sent",COUNTA(N35:S35)&lt;6),"Score this lead – proposal sent unscored",IF(N(Z35)&gt;=Settings!$S$3,"Close – 4 follow-ups sent",IF(AA35="",IF(Y35="","Make first contact",""),IF(TODAY()&gt;AA35,"OVERDUE follow-up",IF(TODAY()=AA35,"Follow up today","")))))))))</f>
        <v/>
      </c>
    </row>
    <row r="36" customFormat="false" ht="15" hidden="false" customHeight="false" outlineLevel="0" collapsed="false">
      <c r="A36" s="17"/>
      <c r="B36" s="40"/>
      <c r="C36" s="17"/>
      <c r="D36" s="17"/>
      <c r="E36" s="17"/>
      <c r="F36" s="17"/>
      <c r="G36" s="17"/>
      <c r="H36" s="42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44" t="str">
        <f aca="false">IF(OR(D36="",COUNTA(N36:S36)=0),"",SUMIFS(Settings!$AA$2:$AA$21,Settings!$Y$2:$Y$21,"Budget AED 5k+/mo?",Settings!$Z$2:$Z$21,N36)+SUMIFS(Settings!$AA$2:$AA$21,Settings!$Y$2:$Y$21,"Decision-maker?",Settings!$Z$2:$Z$21,O36)+SUMIFS(Settings!$AA$2:$AA$21,Settings!$Y$2:$Y$21,"Someone on camera?",Settings!$Z$2:$Z$21,P36)+SUMIFS(Settings!$AA$2:$AA$21,Settings!$Y$2:$Y$21,"OK with 3-month term?",Settings!$Z$2:$Z$21,Q36)+SUMIFS(Settings!$AA$2:$AA$21,Settings!$Y$2:$Y$21,"Start timeline",Settings!$Z$2:$Z$21,R36)+SUMIFS(Settings!$AA$2:$AA$21,Settings!$Y$2:$Y$21,"Social media gap",Settings!$Z$2:$Z$21,S36)+IF(E36="",0,IF(COUNTIF(Settings!$AC$2:$AC$6,E36)&gt;0,Settings!$AA$20,Settings!$AA$21)))</f>
        <v/>
      </c>
      <c r="U36" s="44" t="str">
        <f aca="false">IF(D36="","",IF(COUNTA(N36:S36)=0,"Not scored",IF(COUNTA(N36:S36)&lt;6,"Partly scored ("&amp;COUNTA(N36:S36)&amp;"/6)",IF(T36&gt;=Settings!$S$8,"Hot",IF(T36&gt;=Settings!$S$9,"Warm","Cold")))))</f>
        <v/>
      </c>
      <c r="V36" s="44" t="str">
        <f aca="false">IF(D36="","",IF(AND(N36="No",P36="No"),"🚩 Budget  ·  🚩 No one on camera",IF(N36="No","🚩 Budget under AED 5k",IF(P36="No","🚩 No one on camera",""))))</f>
        <v/>
      </c>
      <c r="W36" s="17"/>
      <c r="X36" s="17"/>
      <c r="Y36" s="40"/>
      <c r="Z36" s="17"/>
      <c r="AA36" s="45" t="str">
        <f aca="false">IF(OR(D36="",Y36="",OR(X36="Contract signed + paid",X36="Closed – No response",X36="Lost"),N(Z36)&gt;=Settings!$S$3),"",Y36+Settings!$S$2)</f>
        <v/>
      </c>
      <c r="AB36" s="40"/>
      <c r="AC36" s="41"/>
      <c r="AD36" s="17"/>
      <c r="AE36" s="17"/>
      <c r="AF36" s="17"/>
      <c r="AG36" s="46" t="str">
        <f aca="true">IF(OR(D36="",B36=""),"",INT(TODAY()-B36))</f>
        <v/>
      </c>
      <c r="AH36" s="44" t="str">
        <f aca="true">IF(D36="","",IF(OR(COUNTIFS(Clients!$C$2:$C$501,D36,Clients!$S$2:$S$501,"Paid")&gt;0,AND(H36&lt;&gt;"",COUNTIFS(Clients!$E$2:$E$501,H36,Clients!$S$2:$S$501,"Paid")&gt;0)),"⚠ Refunded before – no free video",IF(OR(X36="Contract signed + paid",X36="Closed – No response",X36="Lost"),"",IF(X36="","Set a stage",IF(AND(X36="Proposal sent",COUNTA(N36:S36)&lt;6),"Score this lead – proposal sent unscored",IF(N(Z36)&gt;=Settings!$S$3,"Close – 4 follow-ups sent",IF(AA36="",IF(Y36="","Make first contact",""),IF(TODAY()&gt;AA36,"OVERDUE follow-up",IF(TODAY()=AA36,"Follow up today","")))))))))</f>
        <v/>
      </c>
    </row>
    <row r="37" customFormat="false" ht="15" hidden="false" customHeight="false" outlineLevel="0" collapsed="false">
      <c r="A37" s="17"/>
      <c r="B37" s="40"/>
      <c r="C37" s="17"/>
      <c r="D37" s="17"/>
      <c r="E37" s="17"/>
      <c r="F37" s="17"/>
      <c r="G37" s="17"/>
      <c r="H37" s="42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44" t="str">
        <f aca="false">IF(OR(D37="",COUNTA(N37:S37)=0),"",SUMIFS(Settings!$AA$2:$AA$21,Settings!$Y$2:$Y$21,"Budget AED 5k+/mo?",Settings!$Z$2:$Z$21,N37)+SUMIFS(Settings!$AA$2:$AA$21,Settings!$Y$2:$Y$21,"Decision-maker?",Settings!$Z$2:$Z$21,O37)+SUMIFS(Settings!$AA$2:$AA$21,Settings!$Y$2:$Y$21,"Someone on camera?",Settings!$Z$2:$Z$21,P37)+SUMIFS(Settings!$AA$2:$AA$21,Settings!$Y$2:$Y$21,"OK with 3-month term?",Settings!$Z$2:$Z$21,Q37)+SUMIFS(Settings!$AA$2:$AA$21,Settings!$Y$2:$Y$21,"Start timeline",Settings!$Z$2:$Z$21,R37)+SUMIFS(Settings!$AA$2:$AA$21,Settings!$Y$2:$Y$21,"Social media gap",Settings!$Z$2:$Z$21,S37)+IF(E37="",0,IF(COUNTIF(Settings!$AC$2:$AC$6,E37)&gt;0,Settings!$AA$20,Settings!$AA$21)))</f>
        <v/>
      </c>
      <c r="U37" s="44" t="str">
        <f aca="false">IF(D37="","",IF(COUNTA(N37:S37)=0,"Not scored",IF(COUNTA(N37:S37)&lt;6,"Partly scored ("&amp;COUNTA(N37:S37)&amp;"/6)",IF(T37&gt;=Settings!$S$8,"Hot",IF(T37&gt;=Settings!$S$9,"Warm","Cold")))))</f>
        <v/>
      </c>
      <c r="V37" s="44" t="str">
        <f aca="false">IF(D37="","",IF(AND(N37="No",P37="No"),"🚩 Budget  ·  🚩 No one on camera",IF(N37="No","🚩 Budget under AED 5k",IF(P37="No","🚩 No one on camera",""))))</f>
        <v/>
      </c>
      <c r="W37" s="17"/>
      <c r="X37" s="17"/>
      <c r="Y37" s="40"/>
      <c r="Z37" s="17"/>
      <c r="AA37" s="45" t="str">
        <f aca="false">IF(OR(D37="",Y37="",OR(X37="Contract signed + paid",X37="Closed – No response",X37="Lost"),N(Z37)&gt;=Settings!$S$3),"",Y37+Settings!$S$2)</f>
        <v/>
      </c>
      <c r="AB37" s="40"/>
      <c r="AC37" s="41"/>
      <c r="AD37" s="17"/>
      <c r="AE37" s="17"/>
      <c r="AF37" s="17"/>
      <c r="AG37" s="46" t="str">
        <f aca="true">IF(OR(D37="",B37=""),"",INT(TODAY()-B37))</f>
        <v/>
      </c>
      <c r="AH37" s="44" t="str">
        <f aca="true">IF(D37="","",IF(OR(COUNTIFS(Clients!$C$2:$C$501,D37,Clients!$S$2:$S$501,"Paid")&gt;0,AND(H37&lt;&gt;"",COUNTIFS(Clients!$E$2:$E$501,H37,Clients!$S$2:$S$501,"Paid")&gt;0)),"⚠ Refunded before – no free video",IF(OR(X37="Contract signed + paid",X37="Closed – No response",X37="Lost"),"",IF(X37="","Set a stage",IF(AND(X37="Proposal sent",COUNTA(N37:S37)&lt;6),"Score this lead – proposal sent unscored",IF(N(Z37)&gt;=Settings!$S$3,"Close – 4 follow-ups sent",IF(AA37="",IF(Y37="","Make first contact",""),IF(TODAY()&gt;AA37,"OVERDUE follow-up",IF(TODAY()=AA37,"Follow up today","")))))))))</f>
        <v/>
      </c>
    </row>
    <row r="38" customFormat="false" ht="15" hidden="false" customHeight="false" outlineLevel="0" collapsed="false">
      <c r="A38" s="17"/>
      <c r="B38" s="40"/>
      <c r="C38" s="17"/>
      <c r="D38" s="17"/>
      <c r="E38" s="17"/>
      <c r="F38" s="17"/>
      <c r="G38" s="17"/>
      <c r="H38" s="42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44" t="str">
        <f aca="false">IF(OR(D38="",COUNTA(N38:S38)=0),"",SUMIFS(Settings!$AA$2:$AA$21,Settings!$Y$2:$Y$21,"Budget AED 5k+/mo?",Settings!$Z$2:$Z$21,N38)+SUMIFS(Settings!$AA$2:$AA$21,Settings!$Y$2:$Y$21,"Decision-maker?",Settings!$Z$2:$Z$21,O38)+SUMIFS(Settings!$AA$2:$AA$21,Settings!$Y$2:$Y$21,"Someone on camera?",Settings!$Z$2:$Z$21,P38)+SUMIFS(Settings!$AA$2:$AA$21,Settings!$Y$2:$Y$21,"OK with 3-month term?",Settings!$Z$2:$Z$21,Q38)+SUMIFS(Settings!$AA$2:$AA$21,Settings!$Y$2:$Y$21,"Start timeline",Settings!$Z$2:$Z$21,R38)+SUMIFS(Settings!$AA$2:$AA$21,Settings!$Y$2:$Y$21,"Social media gap",Settings!$Z$2:$Z$21,S38)+IF(E38="",0,IF(COUNTIF(Settings!$AC$2:$AC$6,E38)&gt;0,Settings!$AA$20,Settings!$AA$21)))</f>
        <v/>
      </c>
      <c r="U38" s="44" t="str">
        <f aca="false">IF(D38="","",IF(COUNTA(N38:S38)=0,"Not scored",IF(COUNTA(N38:S38)&lt;6,"Partly scored ("&amp;COUNTA(N38:S38)&amp;"/6)",IF(T38&gt;=Settings!$S$8,"Hot",IF(T38&gt;=Settings!$S$9,"Warm","Cold")))))</f>
        <v/>
      </c>
      <c r="V38" s="44" t="str">
        <f aca="false">IF(D38="","",IF(AND(N38="No",P38="No"),"🚩 Budget  ·  🚩 No one on camera",IF(N38="No","🚩 Budget under AED 5k",IF(P38="No","🚩 No one on camera",""))))</f>
        <v/>
      </c>
      <c r="W38" s="17"/>
      <c r="X38" s="17"/>
      <c r="Y38" s="40"/>
      <c r="Z38" s="17"/>
      <c r="AA38" s="45" t="str">
        <f aca="false">IF(OR(D38="",Y38="",OR(X38="Contract signed + paid",X38="Closed – No response",X38="Lost"),N(Z38)&gt;=Settings!$S$3),"",Y38+Settings!$S$2)</f>
        <v/>
      </c>
      <c r="AB38" s="40"/>
      <c r="AC38" s="41"/>
      <c r="AD38" s="17"/>
      <c r="AE38" s="17"/>
      <c r="AF38" s="17"/>
      <c r="AG38" s="46" t="str">
        <f aca="true">IF(OR(D38="",B38=""),"",INT(TODAY()-B38))</f>
        <v/>
      </c>
      <c r="AH38" s="44" t="str">
        <f aca="true">IF(D38="","",IF(OR(COUNTIFS(Clients!$C$2:$C$501,D38,Clients!$S$2:$S$501,"Paid")&gt;0,AND(H38&lt;&gt;"",COUNTIFS(Clients!$E$2:$E$501,H38,Clients!$S$2:$S$501,"Paid")&gt;0)),"⚠ Refunded before – no free video",IF(OR(X38="Contract signed + paid",X38="Closed – No response",X38="Lost"),"",IF(X38="","Set a stage",IF(AND(X38="Proposal sent",COUNTA(N38:S38)&lt;6),"Score this lead – proposal sent unscored",IF(N(Z38)&gt;=Settings!$S$3,"Close – 4 follow-ups sent",IF(AA38="",IF(Y38="","Make first contact",""),IF(TODAY()&gt;AA38,"OVERDUE follow-up",IF(TODAY()=AA38,"Follow up today","")))))))))</f>
        <v/>
      </c>
    </row>
    <row r="39" customFormat="false" ht="15" hidden="false" customHeight="false" outlineLevel="0" collapsed="false">
      <c r="A39" s="17"/>
      <c r="B39" s="40"/>
      <c r="C39" s="17"/>
      <c r="D39" s="17"/>
      <c r="E39" s="17"/>
      <c r="F39" s="17"/>
      <c r="G39" s="17"/>
      <c r="H39" s="42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44" t="str">
        <f aca="false">IF(OR(D39="",COUNTA(N39:S39)=0),"",SUMIFS(Settings!$AA$2:$AA$21,Settings!$Y$2:$Y$21,"Budget AED 5k+/mo?",Settings!$Z$2:$Z$21,N39)+SUMIFS(Settings!$AA$2:$AA$21,Settings!$Y$2:$Y$21,"Decision-maker?",Settings!$Z$2:$Z$21,O39)+SUMIFS(Settings!$AA$2:$AA$21,Settings!$Y$2:$Y$21,"Someone on camera?",Settings!$Z$2:$Z$21,P39)+SUMIFS(Settings!$AA$2:$AA$21,Settings!$Y$2:$Y$21,"OK with 3-month term?",Settings!$Z$2:$Z$21,Q39)+SUMIFS(Settings!$AA$2:$AA$21,Settings!$Y$2:$Y$21,"Start timeline",Settings!$Z$2:$Z$21,R39)+SUMIFS(Settings!$AA$2:$AA$21,Settings!$Y$2:$Y$21,"Social media gap",Settings!$Z$2:$Z$21,S39)+IF(E39="",0,IF(COUNTIF(Settings!$AC$2:$AC$6,E39)&gt;0,Settings!$AA$20,Settings!$AA$21)))</f>
        <v/>
      </c>
      <c r="U39" s="44" t="str">
        <f aca="false">IF(D39="","",IF(COUNTA(N39:S39)=0,"Not scored",IF(COUNTA(N39:S39)&lt;6,"Partly scored ("&amp;COUNTA(N39:S39)&amp;"/6)",IF(T39&gt;=Settings!$S$8,"Hot",IF(T39&gt;=Settings!$S$9,"Warm","Cold")))))</f>
        <v/>
      </c>
      <c r="V39" s="44" t="str">
        <f aca="false">IF(D39="","",IF(AND(N39="No",P39="No"),"🚩 Budget  ·  🚩 No one on camera",IF(N39="No","🚩 Budget under AED 5k",IF(P39="No","🚩 No one on camera",""))))</f>
        <v/>
      </c>
      <c r="W39" s="17"/>
      <c r="X39" s="17"/>
      <c r="Y39" s="40"/>
      <c r="Z39" s="17"/>
      <c r="AA39" s="45" t="str">
        <f aca="false">IF(OR(D39="",Y39="",OR(X39="Contract signed + paid",X39="Closed – No response",X39="Lost"),N(Z39)&gt;=Settings!$S$3),"",Y39+Settings!$S$2)</f>
        <v/>
      </c>
      <c r="AB39" s="40"/>
      <c r="AC39" s="41"/>
      <c r="AD39" s="17"/>
      <c r="AE39" s="17"/>
      <c r="AF39" s="17"/>
      <c r="AG39" s="46" t="str">
        <f aca="true">IF(OR(D39="",B39=""),"",INT(TODAY()-B39))</f>
        <v/>
      </c>
      <c r="AH39" s="44" t="str">
        <f aca="true">IF(D39="","",IF(OR(COUNTIFS(Clients!$C$2:$C$501,D39,Clients!$S$2:$S$501,"Paid")&gt;0,AND(H39&lt;&gt;"",COUNTIFS(Clients!$E$2:$E$501,H39,Clients!$S$2:$S$501,"Paid")&gt;0)),"⚠ Refunded before – no free video",IF(OR(X39="Contract signed + paid",X39="Closed – No response",X39="Lost"),"",IF(X39="","Set a stage",IF(AND(X39="Proposal sent",COUNTA(N39:S39)&lt;6),"Score this lead – proposal sent unscored",IF(N(Z39)&gt;=Settings!$S$3,"Close – 4 follow-ups sent",IF(AA39="",IF(Y39="","Make first contact",""),IF(TODAY()&gt;AA39,"OVERDUE follow-up",IF(TODAY()=AA39,"Follow up today","")))))))))</f>
        <v/>
      </c>
    </row>
    <row r="40" customFormat="false" ht="15" hidden="false" customHeight="false" outlineLevel="0" collapsed="false">
      <c r="A40" s="17"/>
      <c r="B40" s="40"/>
      <c r="C40" s="17"/>
      <c r="D40" s="17"/>
      <c r="E40" s="17"/>
      <c r="F40" s="17"/>
      <c r="G40" s="17"/>
      <c r="H40" s="42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44" t="str">
        <f aca="false">IF(OR(D40="",COUNTA(N40:S40)=0),"",SUMIFS(Settings!$AA$2:$AA$21,Settings!$Y$2:$Y$21,"Budget AED 5k+/mo?",Settings!$Z$2:$Z$21,N40)+SUMIFS(Settings!$AA$2:$AA$21,Settings!$Y$2:$Y$21,"Decision-maker?",Settings!$Z$2:$Z$21,O40)+SUMIFS(Settings!$AA$2:$AA$21,Settings!$Y$2:$Y$21,"Someone on camera?",Settings!$Z$2:$Z$21,P40)+SUMIFS(Settings!$AA$2:$AA$21,Settings!$Y$2:$Y$21,"OK with 3-month term?",Settings!$Z$2:$Z$21,Q40)+SUMIFS(Settings!$AA$2:$AA$21,Settings!$Y$2:$Y$21,"Start timeline",Settings!$Z$2:$Z$21,R40)+SUMIFS(Settings!$AA$2:$AA$21,Settings!$Y$2:$Y$21,"Social media gap",Settings!$Z$2:$Z$21,S40)+IF(E40="",0,IF(COUNTIF(Settings!$AC$2:$AC$6,E40)&gt;0,Settings!$AA$20,Settings!$AA$21)))</f>
        <v/>
      </c>
      <c r="U40" s="44" t="str">
        <f aca="false">IF(D40="","",IF(COUNTA(N40:S40)=0,"Not scored",IF(COUNTA(N40:S40)&lt;6,"Partly scored ("&amp;COUNTA(N40:S40)&amp;"/6)",IF(T40&gt;=Settings!$S$8,"Hot",IF(T40&gt;=Settings!$S$9,"Warm","Cold")))))</f>
        <v/>
      </c>
      <c r="V40" s="44" t="str">
        <f aca="false">IF(D40="","",IF(AND(N40="No",P40="No"),"🚩 Budget  ·  🚩 No one on camera",IF(N40="No","🚩 Budget under AED 5k",IF(P40="No","🚩 No one on camera",""))))</f>
        <v/>
      </c>
      <c r="W40" s="17"/>
      <c r="X40" s="17"/>
      <c r="Y40" s="40"/>
      <c r="Z40" s="17"/>
      <c r="AA40" s="45" t="str">
        <f aca="false">IF(OR(D40="",Y40="",OR(X40="Contract signed + paid",X40="Closed – No response",X40="Lost"),N(Z40)&gt;=Settings!$S$3),"",Y40+Settings!$S$2)</f>
        <v/>
      </c>
      <c r="AB40" s="40"/>
      <c r="AC40" s="41"/>
      <c r="AD40" s="17"/>
      <c r="AE40" s="17"/>
      <c r="AF40" s="17"/>
      <c r="AG40" s="46" t="str">
        <f aca="true">IF(OR(D40="",B40=""),"",INT(TODAY()-B40))</f>
        <v/>
      </c>
      <c r="AH40" s="44" t="str">
        <f aca="true">IF(D40="","",IF(OR(COUNTIFS(Clients!$C$2:$C$501,D40,Clients!$S$2:$S$501,"Paid")&gt;0,AND(H40&lt;&gt;"",COUNTIFS(Clients!$E$2:$E$501,H40,Clients!$S$2:$S$501,"Paid")&gt;0)),"⚠ Refunded before – no free video",IF(OR(X40="Contract signed + paid",X40="Closed – No response",X40="Lost"),"",IF(X40="","Set a stage",IF(AND(X40="Proposal sent",COUNTA(N40:S40)&lt;6),"Score this lead – proposal sent unscored",IF(N(Z40)&gt;=Settings!$S$3,"Close – 4 follow-ups sent",IF(AA40="",IF(Y40="","Make first contact",""),IF(TODAY()&gt;AA40,"OVERDUE follow-up",IF(TODAY()=AA40,"Follow up today","")))))))))</f>
        <v/>
      </c>
    </row>
    <row r="41" customFormat="false" ht="15" hidden="false" customHeight="false" outlineLevel="0" collapsed="false">
      <c r="A41" s="17"/>
      <c r="B41" s="40"/>
      <c r="C41" s="17"/>
      <c r="D41" s="17"/>
      <c r="E41" s="17"/>
      <c r="F41" s="17"/>
      <c r="G41" s="17"/>
      <c r="H41" s="42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44" t="str">
        <f aca="false">IF(OR(D41="",COUNTA(N41:S41)=0),"",SUMIFS(Settings!$AA$2:$AA$21,Settings!$Y$2:$Y$21,"Budget AED 5k+/mo?",Settings!$Z$2:$Z$21,N41)+SUMIFS(Settings!$AA$2:$AA$21,Settings!$Y$2:$Y$21,"Decision-maker?",Settings!$Z$2:$Z$21,O41)+SUMIFS(Settings!$AA$2:$AA$21,Settings!$Y$2:$Y$21,"Someone on camera?",Settings!$Z$2:$Z$21,P41)+SUMIFS(Settings!$AA$2:$AA$21,Settings!$Y$2:$Y$21,"OK with 3-month term?",Settings!$Z$2:$Z$21,Q41)+SUMIFS(Settings!$AA$2:$AA$21,Settings!$Y$2:$Y$21,"Start timeline",Settings!$Z$2:$Z$21,R41)+SUMIFS(Settings!$AA$2:$AA$21,Settings!$Y$2:$Y$21,"Social media gap",Settings!$Z$2:$Z$21,S41)+IF(E41="",0,IF(COUNTIF(Settings!$AC$2:$AC$6,E41)&gt;0,Settings!$AA$20,Settings!$AA$21)))</f>
        <v/>
      </c>
      <c r="U41" s="44" t="str">
        <f aca="false">IF(D41="","",IF(COUNTA(N41:S41)=0,"Not scored",IF(COUNTA(N41:S41)&lt;6,"Partly scored ("&amp;COUNTA(N41:S41)&amp;"/6)",IF(T41&gt;=Settings!$S$8,"Hot",IF(T41&gt;=Settings!$S$9,"Warm","Cold")))))</f>
        <v/>
      </c>
      <c r="V41" s="44" t="str">
        <f aca="false">IF(D41="","",IF(AND(N41="No",P41="No"),"🚩 Budget  ·  🚩 No one on camera",IF(N41="No","🚩 Budget under AED 5k",IF(P41="No","🚩 No one on camera",""))))</f>
        <v/>
      </c>
      <c r="W41" s="17"/>
      <c r="X41" s="17"/>
      <c r="Y41" s="40"/>
      <c r="Z41" s="17"/>
      <c r="AA41" s="45" t="str">
        <f aca="false">IF(OR(D41="",Y41="",OR(X41="Contract signed + paid",X41="Closed – No response",X41="Lost"),N(Z41)&gt;=Settings!$S$3),"",Y41+Settings!$S$2)</f>
        <v/>
      </c>
      <c r="AB41" s="40"/>
      <c r="AC41" s="41"/>
      <c r="AD41" s="17"/>
      <c r="AE41" s="17"/>
      <c r="AF41" s="17"/>
      <c r="AG41" s="46" t="str">
        <f aca="true">IF(OR(D41="",B41=""),"",INT(TODAY()-B41))</f>
        <v/>
      </c>
      <c r="AH41" s="44" t="str">
        <f aca="true">IF(D41="","",IF(OR(COUNTIFS(Clients!$C$2:$C$501,D41,Clients!$S$2:$S$501,"Paid")&gt;0,AND(H41&lt;&gt;"",COUNTIFS(Clients!$E$2:$E$501,H41,Clients!$S$2:$S$501,"Paid")&gt;0)),"⚠ Refunded before – no free video",IF(OR(X41="Contract signed + paid",X41="Closed – No response",X41="Lost"),"",IF(X41="","Set a stage",IF(AND(X41="Proposal sent",COUNTA(N41:S41)&lt;6),"Score this lead – proposal sent unscored",IF(N(Z41)&gt;=Settings!$S$3,"Close – 4 follow-ups sent",IF(AA41="",IF(Y41="","Make first contact",""),IF(TODAY()&gt;AA41,"OVERDUE follow-up",IF(TODAY()=AA41,"Follow up today","")))))))))</f>
        <v/>
      </c>
    </row>
    <row r="42" customFormat="false" ht="15" hidden="false" customHeight="false" outlineLevel="0" collapsed="false">
      <c r="A42" s="17"/>
      <c r="B42" s="40"/>
      <c r="C42" s="17"/>
      <c r="D42" s="17"/>
      <c r="E42" s="17"/>
      <c r="F42" s="17"/>
      <c r="G42" s="17"/>
      <c r="H42" s="42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44" t="str">
        <f aca="false">IF(OR(D42="",COUNTA(N42:S42)=0),"",SUMIFS(Settings!$AA$2:$AA$21,Settings!$Y$2:$Y$21,"Budget AED 5k+/mo?",Settings!$Z$2:$Z$21,N42)+SUMIFS(Settings!$AA$2:$AA$21,Settings!$Y$2:$Y$21,"Decision-maker?",Settings!$Z$2:$Z$21,O42)+SUMIFS(Settings!$AA$2:$AA$21,Settings!$Y$2:$Y$21,"Someone on camera?",Settings!$Z$2:$Z$21,P42)+SUMIFS(Settings!$AA$2:$AA$21,Settings!$Y$2:$Y$21,"OK with 3-month term?",Settings!$Z$2:$Z$21,Q42)+SUMIFS(Settings!$AA$2:$AA$21,Settings!$Y$2:$Y$21,"Start timeline",Settings!$Z$2:$Z$21,R42)+SUMIFS(Settings!$AA$2:$AA$21,Settings!$Y$2:$Y$21,"Social media gap",Settings!$Z$2:$Z$21,S42)+IF(E42="",0,IF(COUNTIF(Settings!$AC$2:$AC$6,E42)&gt;0,Settings!$AA$20,Settings!$AA$21)))</f>
        <v/>
      </c>
      <c r="U42" s="44" t="str">
        <f aca="false">IF(D42="","",IF(COUNTA(N42:S42)=0,"Not scored",IF(COUNTA(N42:S42)&lt;6,"Partly scored ("&amp;COUNTA(N42:S42)&amp;"/6)",IF(T42&gt;=Settings!$S$8,"Hot",IF(T42&gt;=Settings!$S$9,"Warm","Cold")))))</f>
        <v/>
      </c>
      <c r="V42" s="44" t="str">
        <f aca="false">IF(D42="","",IF(AND(N42="No",P42="No"),"🚩 Budget  ·  🚩 No one on camera",IF(N42="No","🚩 Budget under AED 5k",IF(P42="No","🚩 No one on camera",""))))</f>
        <v/>
      </c>
      <c r="W42" s="17"/>
      <c r="X42" s="17"/>
      <c r="Y42" s="40"/>
      <c r="Z42" s="17"/>
      <c r="AA42" s="45" t="str">
        <f aca="false">IF(OR(D42="",Y42="",OR(X42="Contract signed + paid",X42="Closed – No response",X42="Lost"),N(Z42)&gt;=Settings!$S$3),"",Y42+Settings!$S$2)</f>
        <v/>
      </c>
      <c r="AB42" s="40"/>
      <c r="AC42" s="41"/>
      <c r="AD42" s="17"/>
      <c r="AE42" s="17"/>
      <c r="AF42" s="17"/>
      <c r="AG42" s="46" t="str">
        <f aca="true">IF(OR(D42="",B42=""),"",INT(TODAY()-B42))</f>
        <v/>
      </c>
      <c r="AH42" s="44" t="str">
        <f aca="true">IF(D42="","",IF(OR(COUNTIFS(Clients!$C$2:$C$501,D42,Clients!$S$2:$S$501,"Paid")&gt;0,AND(H42&lt;&gt;"",COUNTIFS(Clients!$E$2:$E$501,H42,Clients!$S$2:$S$501,"Paid")&gt;0)),"⚠ Refunded before – no free video",IF(OR(X42="Contract signed + paid",X42="Closed – No response",X42="Lost"),"",IF(X42="","Set a stage",IF(AND(X42="Proposal sent",COUNTA(N42:S42)&lt;6),"Score this lead – proposal sent unscored",IF(N(Z42)&gt;=Settings!$S$3,"Close – 4 follow-ups sent",IF(AA42="",IF(Y42="","Make first contact",""),IF(TODAY()&gt;AA42,"OVERDUE follow-up",IF(TODAY()=AA42,"Follow up today","")))))))))</f>
        <v/>
      </c>
    </row>
    <row r="43" customFormat="false" ht="15" hidden="false" customHeight="false" outlineLevel="0" collapsed="false">
      <c r="A43" s="17"/>
      <c r="B43" s="40"/>
      <c r="C43" s="17"/>
      <c r="D43" s="17"/>
      <c r="E43" s="17"/>
      <c r="F43" s="17"/>
      <c r="G43" s="17"/>
      <c r="H43" s="42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44" t="str">
        <f aca="false">IF(OR(D43="",COUNTA(N43:S43)=0),"",SUMIFS(Settings!$AA$2:$AA$21,Settings!$Y$2:$Y$21,"Budget AED 5k+/mo?",Settings!$Z$2:$Z$21,N43)+SUMIFS(Settings!$AA$2:$AA$21,Settings!$Y$2:$Y$21,"Decision-maker?",Settings!$Z$2:$Z$21,O43)+SUMIFS(Settings!$AA$2:$AA$21,Settings!$Y$2:$Y$21,"Someone on camera?",Settings!$Z$2:$Z$21,P43)+SUMIFS(Settings!$AA$2:$AA$21,Settings!$Y$2:$Y$21,"OK with 3-month term?",Settings!$Z$2:$Z$21,Q43)+SUMIFS(Settings!$AA$2:$AA$21,Settings!$Y$2:$Y$21,"Start timeline",Settings!$Z$2:$Z$21,R43)+SUMIFS(Settings!$AA$2:$AA$21,Settings!$Y$2:$Y$21,"Social media gap",Settings!$Z$2:$Z$21,S43)+IF(E43="",0,IF(COUNTIF(Settings!$AC$2:$AC$6,E43)&gt;0,Settings!$AA$20,Settings!$AA$21)))</f>
        <v/>
      </c>
      <c r="U43" s="44" t="str">
        <f aca="false">IF(D43="","",IF(COUNTA(N43:S43)=0,"Not scored",IF(COUNTA(N43:S43)&lt;6,"Partly scored ("&amp;COUNTA(N43:S43)&amp;"/6)",IF(T43&gt;=Settings!$S$8,"Hot",IF(T43&gt;=Settings!$S$9,"Warm","Cold")))))</f>
        <v/>
      </c>
      <c r="V43" s="44" t="str">
        <f aca="false">IF(D43="","",IF(AND(N43="No",P43="No"),"🚩 Budget  ·  🚩 No one on camera",IF(N43="No","🚩 Budget under AED 5k",IF(P43="No","🚩 No one on camera",""))))</f>
        <v/>
      </c>
      <c r="W43" s="17"/>
      <c r="X43" s="17"/>
      <c r="Y43" s="40"/>
      <c r="Z43" s="17"/>
      <c r="AA43" s="45" t="str">
        <f aca="false">IF(OR(D43="",Y43="",OR(X43="Contract signed + paid",X43="Closed – No response",X43="Lost"),N(Z43)&gt;=Settings!$S$3),"",Y43+Settings!$S$2)</f>
        <v/>
      </c>
      <c r="AB43" s="40"/>
      <c r="AC43" s="41"/>
      <c r="AD43" s="17"/>
      <c r="AE43" s="17"/>
      <c r="AF43" s="17"/>
      <c r="AG43" s="46" t="str">
        <f aca="true">IF(OR(D43="",B43=""),"",INT(TODAY()-B43))</f>
        <v/>
      </c>
      <c r="AH43" s="44" t="str">
        <f aca="true">IF(D43="","",IF(OR(COUNTIFS(Clients!$C$2:$C$501,D43,Clients!$S$2:$S$501,"Paid")&gt;0,AND(H43&lt;&gt;"",COUNTIFS(Clients!$E$2:$E$501,H43,Clients!$S$2:$S$501,"Paid")&gt;0)),"⚠ Refunded before – no free video",IF(OR(X43="Contract signed + paid",X43="Closed – No response",X43="Lost"),"",IF(X43="","Set a stage",IF(AND(X43="Proposal sent",COUNTA(N43:S43)&lt;6),"Score this lead – proposal sent unscored",IF(N(Z43)&gt;=Settings!$S$3,"Close – 4 follow-ups sent",IF(AA43="",IF(Y43="","Make first contact",""),IF(TODAY()&gt;AA43,"OVERDUE follow-up",IF(TODAY()=AA43,"Follow up today","")))))))))</f>
        <v/>
      </c>
    </row>
    <row r="44" customFormat="false" ht="15" hidden="false" customHeight="false" outlineLevel="0" collapsed="false">
      <c r="A44" s="17"/>
      <c r="B44" s="40"/>
      <c r="C44" s="17"/>
      <c r="D44" s="17"/>
      <c r="E44" s="17"/>
      <c r="F44" s="17"/>
      <c r="G44" s="17"/>
      <c r="H44" s="42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44" t="str">
        <f aca="false">IF(OR(D44="",COUNTA(N44:S44)=0),"",SUMIFS(Settings!$AA$2:$AA$21,Settings!$Y$2:$Y$21,"Budget AED 5k+/mo?",Settings!$Z$2:$Z$21,N44)+SUMIFS(Settings!$AA$2:$AA$21,Settings!$Y$2:$Y$21,"Decision-maker?",Settings!$Z$2:$Z$21,O44)+SUMIFS(Settings!$AA$2:$AA$21,Settings!$Y$2:$Y$21,"Someone on camera?",Settings!$Z$2:$Z$21,P44)+SUMIFS(Settings!$AA$2:$AA$21,Settings!$Y$2:$Y$21,"OK with 3-month term?",Settings!$Z$2:$Z$21,Q44)+SUMIFS(Settings!$AA$2:$AA$21,Settings!$Y$2:$Y$21,"Start timeline",Settings!$Z$2:$Z$21,R44)+SUMIFS(Settings!$AA$2:$AA$21,Settings!$Y$2:$Y$21,"Social media gap",Settings!$Z$2:$Z$21,S44)+IF(E44="",0,IF(COUNTIF(Settings!$AC$2:$AC$6,E44)&gt;0,Settings!$AA$20,Settings!$AA$21)))</f>
        <v/>
      </c>
      <c r="U44" s="44" t="str">
        <f aca="false">IF(D44="","",IF(COUNTA(N44:S44)=0,"Not scored",IF(COUNTA(N44:S44)&lt;6,"Partly scored ("&amp;COUNTA(N44:S44)&amp;"/6)",IF(T44&gt;=Settings!$S$8,"Hot",IF(T44&gt;=Settings!$S$9,"Warm","Cold")))))</f>
        <v/>
      </c>
      <c r="V44" s="44" t="str">
        <f aca="false">IF(D44="","",IF(AND(N44="No",P44="No"),"🚩 Budget  ·  🚩 No one on camera",IF(N44="No","🚩 Budget under AED 5k",IF(P44="No","🚩 No one on camera",""))))</f>
        <v/>
      </c>
      <c r="W44" s="17"/>
      <c r="X44" s="17"/>
      <c r="Y44" s="40"/>
      <c r="Z44" s="17"/>
      <c r="AA44" s="45" t="str">
        <f aca="false">IF(OR(D44="",Y44="",OR(X44="Contract signed + paid",X44="Closed – No response",X44="Lost"),N(Z44)&gt;=Settings!$S$3),"",Y44+Settings!$S$2)</f>
        <v/>
      </c>
      <c r="AB44" s="40"/>
      <c r="AC44" s="41"/>
      <c r="AD44" s="17"/>
      <c r="AE44" s="17"/>
      <c r="AF44" s="17"/>
      <c r="AG44" s="46" t="str">
        <f aca="true">IF(OR(D44="",B44=""),"",INT(TODAY()-B44))</f>
        <v/>
      </c>
      <c r="AH44" s="44" t="str">
        <f aca="true">IF(D44="","",IF(OR(COUNTIFS(Clients!$C$2:$C$501,D44,Clients!$S$2:$S$501,"Paid")&gt;0,AND(H44&lt;&gt;"",COUNTIFS(Clients!$E$2:$E$501,H44,Clients!$S$2:$S$501,"Paid")&gt;0)),"⚠ Refunded before – no free video",IF(OR(X44="Contract signed + paid",X44="Closed – No response",X44="Lost"),"",IF(X44="","Set a stage",IF(AND(X44="Proposal sent",COUNTA(N44:S44)&lt;6),"Score this lead – proposal sent unscored",IF(N(Z44)&gt;=Settings!$S$3,"Close – 4 follow-ups sent",IF(AA44="",IF(Y44="","Make first contact",""),IF(TODAY()&gt;AA44,"OVERDUE follow-up",IF(TODAY()=AA44,"Follow up today","")))))))))</f>
        <v/>
      </c>
    </row>
    <row r="45" customFormat="false" ht="15" hidden="false" customHeight="false" outlineLevel="0" collapsed="false">
      <c r="A45" s="17"/>
      <c r="B45" s="40"/>
      <c r="C45" s="17"/>
      <c r="D45" s="17"/>
      <c r="E45" s="17"/>
      <c r="F45" s="17"/>
      <c r="G45" s="17"/>
      <c r="H45" s="42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44" t="str">
        <f aca="false">IF(OR(D45="",COUNTA(N45:S45)=0),"",SUMIFS(Settings!$AA$2:$AA$21,Settings!$Y$2:$Y$21,"Budget AED 5k+/mo?",Settings!$Z$2:$Z$21,N45)+SUMIFS(Settings!$AA$2:$AA$21,Settings!$Y$2:$Y$21,"Decision-maker?",Settings!$Z$2:$Z$21,O45)+SUMIFS(Settings!$AA$2:$AA$21,Settings!$Y$2:$Y$21,"Someone on camera?",Settings!$Z$2:$Z$21,P45)+SUMIFS(Settings!$AA$2:$AA$21,Settings!$Y$2:$Y$21,"OK with 3-month term?",Settings!$Z$2:$Z$21,Q45)+SUMIFS(Settings!$AA$2:$AA$21,Settings!$Y$2:$Y$21,"Start timeline",Settings!$Z$2:$Z$21,R45)+SUMIFS(Settings!$AA$2:$AA$21,Settings!$Y$2:$Y$21,"Social media gap",Settings!$Z$2:$Z$21,S45)+IF(E45="",0,IF(COUNTIF(Settings!$AC$2:$AC$6,E45)&gt;0,Settings!$AA$20,Settings!$AA$21)))</f>
        <v/>
      </c>
      <c r="U45" s="44" t="str">
        <f aca="false">IF(D45="","",IF(COUNTA(N45:S45)=0,"Not scored",IF(COUNTA(N45:S45)&lt;6,"Partly scored ("&amp;COUNTA(N45:S45)&amp;"/6)",IF(T45&gt;=Settings!$S$8,"Hot",IF(T45&gt;=Settings!$S$9,"Warm","Cold")))))</f>
        <v/>
      </c>
      <c r="V45" s="44" t="str">
        <f aca="false">IF(D45="","",IF(AND(N45="No",P45="No"),"🚩 Budget  ·  🚩 No one on camera",IF(N45="No","🚩 Budget under AED 5k",IF(P45="No","🚩 No one on camera",""))))</f>
        <v/>
      </c>
      <c r="W45" s="17"/>
      <c r="X45" s="17"/>
      <c r="Y45" s="40"/>
      <c r="Z45" s="17"/>
      <c r="AA45" s="45" t="str">
        <f aca="false">IF(OR(D45="",Y45="",OR(X45="Contract signed + paid",X45="Closed – No response",X45="Lost"),N(Z45)&gt;=Settings!$S$3),"",Y45+Settings!$S$2)</f>
        <v/>
      </c>
      <c r="AB45" s="40"/>
      <c r="AC45" s="41"/>
      <c r="AD45" s="17"/>
      <c r="AE45" s="17"/>
      <c r="AF45" s="17"/>
      <c r="AG45" s="46" t="str">
        <f aca="true">IF(OR(D45="",B45=""),"",INT(TODAY()-B45))</f>
        <v/>
      </c>
      <c r="AH45" s="44" t="str">
        <f aca="true">IF(D45="","",IF(OR(COUNTIFS(Clients!$C$2:$C$501,D45,Clients!$S$2:$S$501,"Paid")&gt;0,AND(H45&lt;&gt;"",COUNTIFS(Clients!$E$2:$E$501,H45,Clients!$S$2:$S$501,"Paid")&gt;0)),"⚠ Refunded before – no free video",IF(OR(X45="Contract signed + paid",X45="Closed – No response",X45="Lost"),"",IF(X45="","Set a stage",IF(AND(X45="Proposal sent",COUNTA(N45:S45)&lt;6),"Score this lead – proposal sent unscored",IF(N(Z45)&gt;=Settings!$S$3,"Close – 4 follow-ups sent",IF(AA45="",IF(Y45="","Make first contact",""),IF(TODAY()&gt;AA45,"OVERDUE follow-up",IF(TODAY()=AA45,"Follow up today","")))))))))</f>
        <v/>
      </c>
    </row>
    <row r="46" customFormat="false" ht="15" hidden="false" customHeight="false" outlineLevel="0" collapsed="false">
      <c r="A46" s="17"/>
      <c r="B46" s="40"/>
      <c r="C46" s="17"/>
      <c r="D46" s="17"/>
      <c r="E46" s="17"/>
      <c r="F46" s="17"/>
      <c r="G46" s="17"/>
      <c r="H46" s="42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44" t="str">
        <f aca="false">IF(OR(D46="",COUNTA(N46:S46)=0),"",SUMIFS(Settings!$AA$2:$AA$21,Settings!$Y$2:$Y$21,"Budget AED 5k+/mo?",Settings!$Z$2:$Z$21,N46)+SUMIFS(Settings!$AA$2:$AA$21,Settings!$Y$2:$Y$21,"Decision-maker?",Settings!$Z$2:$Z$21,O46)+SUMIFS(Settings!$AA$2:$AA$21,Settings!$Y$2:$Y$21,"Someone on camera?",Settings!$Z$2:$Z$21,P46)+SUMIFS(Settings!$AA$2:$AA$21,Settings!$Y$2:$Y$21,"OK with 3-month term?",Settings!$Z$2:$Z$21,Q46)+SUMIFS(Settings!$AA$2:$AA$21,Settings!$Y$2:$Y$21,"Start timeline",Settings!$Z$2:$Z$21,R46)+SUMIFS(Settings!$AA$2:$AA$21,Settings!$Y$2:$Y$21,"Social media gap",Settings!$Z$2:$Z$21,S46)+IF(E46="",0,IF(COUNTIF(Settings!$AC$2:$AC$6,E46)&gt;0,Settings!$AA$20,Settings!$AA$21)))</f>
        <v/>
      </c>
      <c r="U46" s="44" t="str">
        <f aca="false">IF(D46="","",IF(COUNTA(N46:S46)=0,"Not scored",IF(COUNTA(N46:S46)&lt;6,"Partly scored ("&amp;COUNTA(N46:S46)&amp;"/6)",IF(T46&gt;=Settings!$S$8,"Hot",IF(T46&gt;=Settings!$S$9,"Warm","Cold")))))</f>
        <v/>
      </c>
      <c r="V46" s="44" t="str">
        <f aca="false">IF(D46="","",IF(AND(N46="No",P46="No"),"🚩 Budget  ·  🚩 No one on camera",IF(N46="No","🚩 Budget under AED 5k",IF(P46="No","🚩 No one on camera",""))))</f>
        <v/>
      </c>
      <c r="W46" s="17"/>
      <c r="X46" s="17"/>
      <c r="Y46" s="40"/>
      <c r="Z46" s="17"/>
      <c r="AA46" s="45" t="str">
        <f aca="false">IF(OR(D46="",Y46="",OR(X46="Contract signed + paid",X46="Closed – No response",X46="Lost"),N(Z46)&gt;=Settings!$S$3),"",Y46+Settings!$S$2)</f>
        <v/>
      </c>
      <c r="AB46" s="40"/>
      <c r="AC46" s="41"/>
      <c r="AD46" s="17"/>
      <c r="AE46" s="17"/>
      <c r="AF46" s="17"/>
      <c r="AG46" s="46" t="str">
        <f aca="true">IF(OR(D46="",B46=""),"",INT(TODAY()-B46))</f>
        <v/>
      </c>
      <c r="AH46" s="44" t="str">
        <f aca="true">IF(D46="","",IF(OR(COUNTIFS(Clients!$C$2:$C$501,D46,Clients!$S$2:$S$501,"Paid")&gt;0,AND(H46&lt;&gt;"",COUNTIFS(Clients!$E$2:$E$501,H46,Clients!$S$2:$S$501,"Paid")&gt;0)),"⚠ Refunded before – no free video",IF(OR(X46="Contract signed + paid",X46="Closed – No response",X46="Lost"),"",IF(X46="","Set a stage",IF(AND(X46="Proposal sent",COUNTA(N46:S46)&lt;6),"Score this lead – proposal sent unscored",IF(N(Z46)&gt;=Settings!$S$3,"Close – 4 follow-ups sent",IF(AA46="",IF(Y46="","Make first contact",""),IF(TODAY()&gt;AA46,"OVERDUE follow-up",IF(TODAY()=AA46,"Follow up today","")))))))))</f>
        <v/>
      </c>
    </row>
    <row r="47" customFormat="false" ht="15" hidden="false" customHeight="false" outlineLevel="0" collapsed="false">
      <c r="A47" s="17"/>
      <c r="B47" s="40"/>
      <c r="C47" s="17"/>
      <c r="D47" s="17"/>
      <c r="E47" s="17"/>
      <c r="F47" s="17"/>
      <c r="G47" s="17"/>
      <c r="H47" s="42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44" t="str">
        <f aca="false">IF(OR(D47="",COUNTA(N47:S47)=0),"",SUMIFS(Settings!$AA$2:$AA$21,Settings!$Y$2:$Y$21,"Budget AED 5k+/mo?",Settings!$Z$2:$Z$21,N47)+SUMIFS(Settings!$AA$2:$AA$21,Settings!$Y$2:$Y$21,"Decision-maker?",Settings!$Z$2:$Z$21,O47)+SUMIFS(Settings!$AA$2:$AA$21,Settings!$Y$2:$Y$21,"Someone on camera?",Settings!$Z$2:$Z$21,P47)+SUMIFS(Settings!$AA$2:$AA$21,Settings!$Y$2:$Y$21,"OK with 3-month term?",Settings!$Z$2:$Z$21,Q47)+SUMIFS(Settings!$AA$2:$AA$21,Settings!$Y$2:$Y$21,"Start timeline",Settings!$Z$2:$Z$21,R47)+SUMIFS(Settings!$AA$2:$AA$21,Settings!$Y$2:$Y$21,"Social media gap",Settings!$Z$2:$Z$21,S47)+IF(E47="",0,IF(COUNTIF(Settings!$AC$2:$AC$6,E47)&gt;0,Settings!$AA$20,Settings!$AA$21)))</f>
        <v/>
      </c>
      <c r="U47" s="44" t="str">
        <f aca="false">IF(D47="","",IF(COUNTA(N47:S47)=0,"Not scored",IF(COUNTA(N47:S47)&lt;6,"Partly scored ("&amp;COUNTA(N47:S47)&amp;"/6)",IF(T47&gt;=Settings!$S$8,"Hot",IF(T47&gt;=Settings!$S$9,"Warm","Cold")))))</f>
        <v/>
      </c>
      <c r="V47" s="44" t="str">
        <f aca="false">IF(D47="","",IF(AND(N47="No",P47="No"),"🚩 Budget  ·  🚩 No one on camera",IF(N47="No","🚩 Budget under AED 5k",IF(P47="No","🚩 No one on camera",""))))</f>
        <v/>
      </c>
      <c r="W47" s="17"/>
      <c r="X47" s="17"/>
      <c r="Y47" s="40"/>
      <c r="Z47" s="17"/>
      <c r="AA47" s="45" t="str">
        <f aca="false">IF(OR(D47="",Y47="",OR(X47="Contract signed + paid",X47="Closed – No response",X47="Lost"),N(Z47)&gt;=Settings!$S$3),"",Y47+Settings!$S$2)</f>
        <v/>
      </c>
      <c r="AB47" s="40"/>
      <c r="AC47" s="41"/>
      <c r="AD47" s="17"/>
      <c r="AE47" s="17"/>
      <c r="AF47" s="17"/>
      <c r="AG47" s="46" t="str">
        <f aca="true">IF(OR(D47="",B47=""),"",INT(TODAY()-B47))</f>
        <v/>
      </c>
      <c r="AH47" s="44" t="str">
        <f aca="true">IF(D47="","",IF(OR(COUNTIFS(Clients!$C$2:$C$501,D47,Clients!$S$2:$S$501,"Paid")&gt;0,AND(H47&lt;&gt;"",COUNTIFS(Clients!$E$2:$E$501,H47,Clients!$S$2:$S$501,"Paid")&gt;0)),"⚠ Refunded before – no free video",IF(OR(X47="Contract signed + paid",X47="Closed – No response",X47="Lost"),"",IF(X47="","Set a stage",IF(AND(X47="Proposal sent",COUNTA(N47:S47)&lt;6),"Score this lead – proposal sent unscored",IF(N(Z47)&gt;=Settings!$S$3,"Close – 4 follow-ups sent",IF(AA47="",IF(Y47="","Make first contact",""),IF(TODAY()&gt;AA47,"OVERDUE follow-up",IF(TODAY()=AA47,"Follow up today","")))))))))</f>
        <v/>
      </c>
    </row>
    <row r="48" customFormat="false" ht="15" hidden="false" customHeight="false" outlineLevel="0" collapsed="false">
      <c r="A48" s="17"/>
      <c r="B48" s="40"/>
      <c r="C48" s="17"/>
      <c r="D48" s="17"/>
      <c r="E48" s="17"/>
      <c r="F48" s="17"/>
      <c r="G48" s="17"/>
      <c r="H48" s="42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44" t="str">
        <f aca="false">IF(OR(D48="",COUNTA(N48:S48)=0),"",SUMIFS(Settings!$AA$2:$AA$21,Settings!$Y$2:$Y$21,"Budget AED 5k+/mo?",Settings!$Z$2:$Z$21,N48)+SUMIFS(Settings!$AA$2:$AA$21,Settings!$Y$2:$Y$21,"Decision-maker?",Settings!$Z$2:$Z$21,O48)+SUMIFS(Settings!$AA$2:$AA$21,Settings!$Y$2:$Y$21,"Someone on camera?",Settings!$Z$2:$Z$21,P48)+SUMIFS(Settings!$AA$2:$AA$21,Settings!$Y$2:$Y$21,"OK with 3-month term?",Settings!$Z$2:$Z$21,Q48)+SUMIFS(Settings!$AA$2:$AA$21,Settings!$Y$2:$Y$21,"Start timeline",Settings!$Z$2:$Z$21,R48)+SUMIFS(Settings!$AA$2:$AA$21,Settings!$Y$2:$Y$21,"Social media gap",Settings!$Z$2:$Z$21,S48)+IF(E48="",0,IF(COUNTIF(Settings!$AC$2:$AC$6,E48)&gt;0,Settings!$AA$20,Settings!$AA$21)))</f>
        <v/>
      </c>
      <c r="U48" s="44" t="str">
        <f aca="false">IF(D48="","",IF(COUNTA(N48:S48)=0,"Not scored",IF(COUNTA(N48:S48)&lt;6,"Partly scored ("&amp;COUNTA(N48:S48)&amp;"/6)",IF(T48&gt;=Settings!$S$8,"Hot",IF(T48&gt;=Settings!$S$9,"Warm","Cold")))))</f>
        <v/>
      </c>
      <c r="V48" s="44" t="str">
        <f aca="false">IF(D48="","",IF(AND(N48="No",P48="No"),"🚩 Budget  ·  🚩 No one on camera",IF(N48="No","🚩 Budget under AED 5k",IF(P48="No","🚩 No one on camera",""))))</f>
        <v/>
      </c>
      <c r="W48" s="17"/>
      <c r="X48" s="17"/>
      <c r="Y48" s="40"/>
      <c r="Z48" s="17"/>
      <c r="AA48" s="45" t="str">
        <f aca="false">IF(OR(D48="",Y48="",OR(X48="Contract signed + paid",X48="Closed – No response",X48="Lost"),N(Z48)&gt;=Settings!$S$3),"",Y48+Settings!$S$2)</f>
        <v/>
      </c>
      <c r="AB48" s="40"/>
      <c r="AC48" s="41"/>
      <c r="AD48" s="17"/>
      <c r="AE48" s="17"/>
      <c r="AF48" s="17"/>
      <c r="AG48" s="46" t="str">
        <f aca="true">IF(OR(D48="",B48=""),"",INT(TODAY()-B48))</f>
        <v/>
      </c>
      <c r="AH48" s="44" t="str">
        <f aca="true">IF(D48="","",IF(OR(COUNTIFS(Clients!$C$2:$C$501,D48,Clients!$S$2:$S$501,"Paid")&gt;0,AND(H48&lt;&gt;"",COUNTIFS(Clients!$E$2:$E$501,H48,Clients!$S$2:$S$501,"Paid")&gt;0)),"⚠ Refunded before – no free video",IF(OR(X48="Contract signed + paid",X48="Closed – No response",X48="Lost"),"",IF(X48="","Set a stage",IF(AND(X48="Proposal sent",COUNTA(N48:S48)&lt;6),"Score this lead – proposal sent unscored",IF(N(Z48)&gt;=Settings!$S$3,"Close – 4 follow-ups sent",IF(AA48="",IF(Y48="","Make first contact",""),IF(TODAY()&gt;AA48,"OVERDUE follow-up",IF(TODAY()=AA48,"Follow up today","")))))))))</f>
        <v/>
      </c>
    </row>
    <row r="49" customFormat="false" ht="15" hidden="false" customHeight="false" outlineLevel="0" collapsed="false">
      <c r="A49" s="17"/>
      <c r="B49" s="40"/>
      <c r="C49" s="17"/>
      <c r="D49" s="17"/>
      <c r="E49" s="17"/>
      <c r="F49" s="17"/>
      <c r="G49" s="17"/>
      <c r="H49" s="42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44" t="str">
        <f aca="false">IF(OR(D49="",COUNTA(N49:S49)=0),"",SUMIFS(Settings!$AA$2:$AA$21,Settings!$Y$2:$Y$21,"Budget AED 5k+/mo?",Settings!$Z$2:$Z$21,N49)+SUMIFS(Settings!$AA$2:$AA$21,Settings!$Y$2:$Y$21,"Decision-maker?",Settings!$Z$2:$Z$21,O49)+SUMIFS(Settings!$AA$2:$AA$21,Settings!$Y$2:$Y$21,"Someone on camera?",Settings!$Z$2:$Z$21,P49)+SUMIFS(Settings!$AA$2:$AA$21,Settings!$Y$2:$Y$21,"OK with 3-month term?",Settings!$Z$2:$Z$21,Q49)+SUMIFS(Settings!$AA$2:$AA$21,Settings!$Y$2:$Y$21,"Start timeline",Settings!$Z$2:$Z$21,R49)+SUMIFS(Settings!$AA$2:$AA$21,Settings!$Y$2:$Y$21,"Social media gap",Settings!$Z$2:$Z$21,S49)+IF(E49="",0,IF(COUNTIF(Settings!$AC$2:$AC$6,E49)&gt;0,Settings!$AA$20,Settings!$AA$21)))</f>
        <v/>
      </c>
      <c r="U49" s="44" t="str">
        <f aca="false">IF(D49="","",IF(COUNTA(N49:S49)=0,"Not scored",IF(COUNTA(N49:S49)&lt;6,"Partly scored ("&amp;COUNTA(N49:S49)&amp;"/6)",IF(T49&gt;=Settings!$S$8,"Hot",IF(T49&gt;=Settings!$S$9,"Warm","Cold")))))</f>
        <v/>
      </c>
      <c r="V49" s="44" t="str">
        <f aca="false">IF(D49="","",IF(AND(N49="No",P49="No"),"🚩 Budget  ·  🚩 No one on camera",IF(N49="No","🚩 Budget under AED 5k",IF(P49="No","🚩 No one on camera",""))))</f>
        <v/>
      </c>
      <c r="W49" s="17"/>
      <c r="X49" s="17"/>
      <c r="Y49" s="40"/>
      <c r="Z49" s="17"/>
      <c r="AA49" s="45" t="str">
        <f aca="false">IF(OR(D49="",Y49="",OR(X49="Contract signed + paid",X49="Closed – No response",X49="Lost"),N(Z49)&gt;=Settings!$S$3),"",Y49+Settings!$S$2)</f>
        <v/>
      </c>
      <c r="AB49" s="40"/>
      <c r="AC49" s="41"/>
      <c r="AD49" s="17"/>
      <c r="AE49" s="17"/>
      <c r="AF49" s="17"/>
      <c r="AG49" s="46" t="str">
        <f aca="true">IF(OR(D49="",B49=""),"",INT(TODAY()-B49))</f>
        <v/>
      </c>
      <c r="AH49" s="44" t="str">
        <f aca="true">IF(D49="","",IF(OR(COUNTIFS(Clients!$C$2:$C$501,D49,Clients!$S$2:$S$501,"Paid")&gt;0,AND(H49&lt;&gt;"",COUNTIFS(Clients!$E$2:$E$501,H49,Clients!$S$2:$S$501,"Paid")&gt;0)),"⚠ Refunded before – no free video",IF(OR(X49="Contract signed + paid",X49="Closed – No response",X49="Lost"),"",IF(X49="","Set a stage",IF(AND(X49="Proposal sent",COUNTA(N49:S49)&lt;6),"Score this lead – proposal sent unscored",IF(N(Z49)&gt;=Settings!$S$3,"Close – 4 follow-ups sent",IF(AA49="",IF(Y49="","Make first contact",""),IF(TODAY()&gt;AA49,"OVERDUE follow-up",IF(TODAY()=AA49,"Follow up today","")))))))))</f>
        <v/>
      </c>
    </row>
    <row r="50" customFormat="false" ht="15" hidden="false" customHeight="false" outlineLevel="0" collapsed="false">
      <c r="A50" s="17"/>
      <c r="B50" s="40"/>
      <c r="C50" s="17"/>
      <c r="D50" s="17"/>
      <c r="E50" s="17"/>
      <c r="F50" s="17"/>
      <c r="G50" s="17"/>
      <c r="H50" s="42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44" t="str">
        <f aca="false">IF(OR(D50="",COUNTA(N50:S50)=0),"",SUMIFS(Settings!$AA$2:$AA$21,Settings!$Y$2:$Y$21,"Budget AED 5k+/mo?",Settings!$Z$2:$Z$21,N50)+SUMIFS(Settings!$AA$2:$AA$21,Settings!$Y$2:$Y$21,"Decision-maker?",Settings!$Z$2:$Z$21,O50)+SUMIFS(Settings!$AA$2:$AA$21,Settings!$Y$2:$Y$21,"Someone on camera?",Settings!$Z$2:$Z$21,P50)+SUMIFS(Settings!$AA$2:$AA$21,Settings!$Y$2:$Y$21,"OK with 3-month term?",Settings!$Z$2:$Z$21,Q50)+SUMIFS(Settings!$AA$2:$AA$21,Settings!$Y$2:$Y$21,"Start timeline",Settings!$Z$2:$Z$21,R50)+SUMIFS(Settings!$AA$2:$AA$21,Settings!$Y$2:$Y$21,"Social media gap",Settings!$Z$2:$Z$21,S50)+IF(E50="",0,IF(COUNTIF(Settings!$AC$2:$AC$6,E50)&gt;0,Settings!$AA$20,Settings!$AA$21)))</f>
        <v/>
      </c>
      <c r="U50" s="44" t="str">
        <f aca="false">IF(D50="","",IF(COUNTA(N50:S50)=0,"Not scored",IF(COUNTA(N50:S50)&lt;6,"Partly scored ("&amp;COUNTA(N50:S50)&amp;"/6)",IF(T50&gt;=Settings!$S$8,"Hot",IF(T50&gt;=Settings!$S$9,"Warm","Cold")))))</f>
        <v/>
      </c>
      <c r="V50" s="44" t="str">
        <f aca="false">IF(D50="","",IF(AND(N50="No",P50="No"),"🚩 Budget  ·  🚩 No one on camera",IF(N50="No","🚩 Budget under AED 5k",IF(P50="No","🚩 No one on camera",""))))</f>
        <v/>
      </c>
      <c r="W50" s="17"/>
      <c r="X50" s="17"/>
      <c r="Y50" s="40"/>
      <c r="Z50" s="17"/>
      <c r="AA50" s="45" t="str">
        <f aca="false">IF(OR(D50="",Y50="",OR(X50="Contract signed + paid",X50="Closed – No response",X50="Lost"),N(Z50)&gt;=Settings!$S$3),"",Y50+Settings!$S$2)</f>
        <v/>
      </c>
      <c r="AB50" s="40"/>
      <c r="AC50" s="41"/>
      <c r="AD50" s="17"/>
      <c r="AE50" s="17"/>
      <c r="AF50" s="17"/>
      <c r="AG50" s="46" t="str">
        <f aca="true">IF(OR(D50="",B50=""),"",INT(TODAY()-B50))</f>
        <v/>
      </c>
      <c r="AH50" s="44" t="str">
        <f aca="true">IF(D50="","",IF(OR(COUNTIFS(Clients!$C$2:$C$501,D50,Clients!$S$2:$S$501,"Paid")&gt;0,AND(H50&lt;&gt;"",COUNTIFS(Clients!$E$2:$E$501,H50,Clients!$S$2:$S$501,"Paid")&gt;0)),"⚠ Refunded before – no free video",IF(OR(X50="Contract signed + paid",X50="Closed – No response",X50="Lost"),"",IF(X50="","Set a stage",IF(AND(X50="Proposal sent",COUNTA(N50:S50)&lt;6),"Score this lead – proposal sent unscored",IF(N(Z50)&gt;=Settings!$S$3,"Close – 4 follow-ups sent",IF(AA50="",IF(Y50="","Make first contact",""),IF(TODAY()&gt;AA50,"OVERDUE follow-up",IF(TODAY()=AA50,"Follow up today","")))))))))</f>
        <v/>
      </c>
    </row>
    <row r="51" customFormat="false" ht="15" hidden="false" customHeight="false" outlineLevel="0" collapsed="false">
      <c r="A51" s="17"/>
      <c r="B51" s="40"/>
      <c r="C51" s="17"/>
      <c r="D51" s="17"/>
      <c r="E51" s="17"/>
      <c r="F51" s="17"/>
      <c r="G51" s="17"/>
      <c r="H51" s="42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44" t="str">
        <f aca="false">IF(OR(D51="",COUNTA(N51:S51)=0),"",SUMIFS(Settings!$AA$2:$AA$21,Settings!$Y$2:$Y$21,"Budget AED 5k+/mo?",Settings!$Z$2:$Z$21,N51)+SUMIFS(Settings!$AA$2:$AA$21,Settings!$Y$2:$Y$21,"Decision-maker?",Settings!$Z$2:$Z$21,O51)+SUMIFS(Settings!$AA$2:$AA$21,Settings!$Y$2:$Y$21,"Someone on camera?",Settings!$Z$2:$Z$21,P51)+SUMIFS(Settings!$AA$2:$AA$21,Settings!$Y$2:$Y$21,"OK with 3-month term?",Settings!$Z$2:$Z$21,Q51)+SUMIFS(Settings!$AA$2:$AA$21,Settings!$Y$2:$Y$21,"Start timeline",Settings!$Z$2:$Z$21,R51)+SUMIFS(Settings!$AA$2:$AA$21,Settings!$Y$2:$Y$21,"Social media gap",Settings!$Z$2:$Z$21,S51)+IF(E51="",0,IF(COUNTIF(Settings!$AC$2:$AC$6,E51)&gt;0,Settings!$AA$20,Settings!$AA$21)))</f>
        <v/>
      </c>
      <c r="U51" s="44" t="str">
        <f aca="false">IF(D51="","",IF(COUNTA(N51:S51)=0,"Not scored",IF(COUNTA(N51:S51)&lt;6,"Partly scored ("&amp;COUNTA(N51:S51)&amp;"/6)",IF(T51&gt;=Settings!$S$8,"Hot",IF(T51&gt;=Settings!$S$9,"Warm","Cold")))))</f>
        <v/>
      </c>
      <c r="V51" s="44" t="str">
        <f aca="false">IF(D51="","",IF(AND(N51="No",P51="No"),"🚩 Budget  ·  🚩 No one on camera",IF(N51="No","🚩 Budget under AED 5k",IF(P51="No","🚩 No one on camera",""))))</f>
        <v/>
      </c>
      <c r="W51" s="17"/>
      <c r="X51" s="17"/>
      <c r="Y51" s="40"/>
      <c r="Z51" s="17"/>
      <c r="AA51" s="45" t="str">
        <f aca="false">IF(OR(D51="",Y51="",OR(X51="Contract signed + paid",X51="Closed – No response",X51="Lost"),N(Z51)&gt;=Settings!$S$3),"",Y51+Settings!$S$2)</f>
        <v/>
      </c>
      <c r="AB51" s="40"/>
      <c r="AC51" s="41"/>
      <c r="AD51" s="17"/>
      <c r="AE51" s="17"/>
      <c r="AF51" s="17"/>
      <c r="AG51" s="46" t="str">
        <f aca="true">IF(OR(D51="",B51=""),"",INT(TODAY()-B51))</f>
        <v/>
      </c>
      <c r="AH51" s="44" t="str">
        <f aca="true">IF(D51="","",IF(OR(COUNTIFS(Clients!$C$2:$C$501,D51,Clients!$S$2:$S$501,"Paid")&gt;0,AND(H51&lt;&gt;"",COUNTIFS(Clients!$E$2:$E$501,H51,Clients!$S$2:$S$501,"Paid")&gt;0)),"⚠ Refunded before – no free video",IF(OR(X51="Contract signed + paid",X51="Closed – No response",X51="Lost"),"",IF(X51="","Set a stage",IF(AND(X51="Proposal sent",COUNTA(N51:S51)&lt;6),"Score this lead – proposal sent unscored",IF(N(Z51)&gt;=Settings!$S$3,"Close – 4 follow-ups sent",IF(AA51="",IF(Y51="","Make first contact",""),IF(TODAY()&gt;AA51,"OVERDUE follow-up",IF(TODAY()=AA51,"Follow up today","")))))))))</f>
        <v/>
      </c>
    </row>
    <row r="52" customFormat="false" ht="15" hidden="false" customHeight="false" outlineLevel="0" collapsed="false">
      <c r="A52" s="17"/>
      <c r="B52" s="40"/>
      <c r="C52" s="17"/>
      <c r="D52" s="17"/>
      <c r="E52" s="17"/>
      <c r="F52" s="17"/>
      <c r="G52" s="17"/>
      <c r="H52" s="42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44" t="str">
        <f aca="false">IF(OR(D52="",COUNTA(N52:S52)=0),"",SUMIFS(Settings!$AA$2:$AA$21,Settings!$Y$2:$Y$21,"Budget AED 5k+/mo?",Settings!$Z$2:$Z$21,N52)+SUMIFS(Settings!$AA$2:$AA$21,Settings!$Y$2:$Y$21,"Decision-maker?",Settings!$Z$2:$Z$21,O52)+SUMIFS(Settings!$AA$2:$AA$21,Settings!$Y$2:$Y$21,"Someone on camera?",Settings!$Z$2:$Z$21,P52)+SUMIFS(Settings!$AA$2:$AA$21,Settings!$Y$2:$Y$21,"OK with 3-month term?",Settings!$Z$2:$Z$21,Q52)+SUMIFS(Settings!$AA$2:$AA$21,Settings!$Y$2:$Y$21,"Start timeline",Settings!$Z$2:$Z$21,R52)+SUMIFS(Settings!$AA$2:$AA$21,Settings!$Y$2:$Y$21,"Social media gap",Settings!$Z$2:$Z$21,S52)+IF(E52="",0,IF(COUNTIF(Settings!$AC$2:$AC$6,E52)&gt;0,Settings!$AA$20,Settings!$AA$21)))</f>
        <v/>
      </c>
      <c r="U52" s="44" t="str">
        <f aca="false">IF(D52="","",IF(COUNTA(N52:S52)=0,"Not scored",IF(COUNTA(N52:S52)&lt;6,"Partly scored ("&amp;COUNTA(N52:S52)&amp;"/6)",IF(T52&gt;=Settings!$S$8,"Hot",IF(T52&gt;=Settings!$S$9,"Warm","Cold")))))</f>
        <v/>
      </c>
      <c r="V52" s="44" t="str">
        <f aca="false">IF(D52="","",IF(AND(N52="No",P52="No"),"🚩 Budget  ·  🚩 No one on camera",IF(N52="No","🚩 Budget under AED 5k",IF(P52="No","🚩 No one on camera",""))))</f>
        <v/>
      </c>
      <c r="W52" s="17"/>
      <c r="X52" s="17"/>
      <c r="Y52" s="40"/>
      <c r="Z52" s="17"/>
      <c r="AA52" s="45" t="str">
        <f aca="false">IF(OR(D52="",Y52="",OR(X52="Contract signed + paid",X52="Closed – No response",X52="Lost"),N(Z52)&gt;=Settings!$S$3),"",Y52+Settings!$S$2)</f>
        <v/>
      </c>
      <c r="AB52" s="40"/>
      <c r="AC52" s="41"/>
      <c r="AD52" s="17"/>
      <c r="AE52" s="17"/>
      <c r="AF52" s="17"/>
      <c r="AG52" s="46" t="str">
        <f aca="true">IF(OR(D52="",B52=""),"",INT(TODAY()-B52))</f>
        <v/>
      </c>
      <c r="AH52" s="44" t="str">
        <f aca="true">IF(D52="","",IF(OR(COUNTIFS(Clients!$C$2:$C$501,D52,Clients!$S$2:$S$501,"Paid")&gt;0,AND(H52&lt;&gt;"",COUNTIFS(Clients!$E$2:$E$501,H52,Clients!$S$2:$S$501,"Paid")&gt;0)),"⚠ Refunded before – no free video",IF(OR(X52="Contract signed + paid",X52="Closed – No response",X52="Lost"),"",IF(X52="","Set a stage",IF(AND(X52="Proposal sent",COUNTA(N52:S52)&lt;6),"Score this lead – proposal sent unscored",IF(N(Z52)&gt;=Settings!$S$3,"Close – 4 follow-ups sent",IF(AA52="",IF(Y52="","Make first contact",""),IF(TODAY()&gt;AA52,"OVERDUE follow-up",IF(TODAY()=AA52,"Follow up today","")))))))))</f>
        <v/>
      </c>
    </row>
    <row r="53" customFormat="false" ht="15" hidden="false" customHeight="false" outlineLevel="0" collapsed="false">
      <c r="A53" s="17"/>
      <c r="B53" s="40"/>
      <c r="C53" s="17"/>
      <c r="D53" s="17"/>
      <c r="E53" s="17"/>
      <c r="F53" s="17"/>
      <c r="G53" s="17"/>
      <c r="H53" s="42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44" t="str">
        <f aca="false">IF(OR(D53="",COUNTA(N53:S53)=0),"",SUMIFS(Settings!$AA$2:$AA$21,Settings!$Y$2:$Y$21,"Budget AED 5k+/mo?",Settings!$Z$2:$Z$21,N53)+SUMIFS(Settings!$AA$2:$AA$21,Settings!$Y$2:$Y$21,"Decision-maker?",Settings!$Z$2:$Z$21,O53)+SUMIFS(Settings!$AA$2:$AA$21,Settings!$Y$2:$Y$21,"Someone on camera?",Settings!$Z$2:$Z$21,P53)+SUMIFS(Settings!$AA$2:$AA$21,Settings!$Y$2:$Y$21,"OK with 3-month term?",Settings!$Z$2:$Z$21,Q53)+SUMIFS(Settings!$AA$2:$AA$21,Settings!$Y$2:$Y$21,"Start timeline",Settings!$Z$2:$Z$21,R53)+SUMIFS(Settings!$AA$2:$AA$21,Settings!$Y$2:$Y$21,"Social media gap",Settings!$Z$2:$Z$21,S53)+IF(E53="",0,IF(COUNTIF(Settings!$AC$2:$AC$6,E53)&gt;0,Settings!$AA$20,Settings!$AA$21)))</f>
        <v/>
      </c>
      <c r="U53" s="44" t="str">
        <f aca="false">IF(D53="","",IF(COUNTA(N53:S53)=0,"Not scored",IF(COUNTA(N53:S53)&lt;6,"Partly scored ("&amp;COUNTA(N53:S53)&amp;"/6)",IF(T53&gt;=Settings!$S$8,"Hot",IF(T53&gt;=Settings!$S$9,"Warm","Cold")))))</f>
        <v/>
      </c>
      <c r="V53" s="44" t="str">
        <f aca="false">IF(D53="","",IF(AND(N53="No",P53="No"),"🚩 Budget  ·  🚩 No one on camera",IF(N53="No","🚩 Budget under AED 5k",IF(P53="No","🚩 No one on camera",""))))</f>
        <v/>
      </c>
      <c r="W53" s="17"/>
      <c r="X53" s="17"/>
      <c r="Y53" s="40"/>
      <c r="Z53" s="17"/>
      <c r="AA53" s="45" t="str">
        <f aca="false">IF(OR(D53="",Y53="",OR(X53="Contract signed + paid",X53="Closed – No response",X53="Lost"),N(Z53)&gt;=Settings!$S$3),"",Y53+Settings!$S$2)</f>
        <v/>
      </c>
      <c r="AB53" s="40"/>
      <c r="AC53" s="41"/>
      <c r="AD53" s="17"/>
      <c r="AE53" s="17"/>
      <c r="AF53" s="17"/>
      <c r="AG53" s="46" t="str">
        <f aca="true">IF(OR(D53="",B53=""),"",INT(TODAY()-B53))</f>
        <v/>
      </c>
      <c r="AH53" s="44" t="str">
        <f aca="true">IF(D53="","",IF(OR(COUNTIFS(Clients!$C$2:$C$501,D53,Clients!$S$2:$S$501,"Paid")&gt;0,AND(H53&lt;&gt;"",COUNTIFS(Clients!$E$2:$E$501,H53,Clients!$S$2:$S$501,"Paid")&gt;0)),"⚠ Refunded before – no free video",IF(OR(X53="Contract signed + paid",X53="Closed – No response",X53="Lost"),"",IF(X53="","Set a stage",IF(AND(X53="Proposal sent",COUNTA(N53:S53)&lt;6),"Score this lead – proposal sent unscored",IF(N(Z53)&gt;=Settings!$S$3,"Close – 4 follow-ups sent",IF(AA53="",IF(Y53="","Make first contact",""),IF(TODAY()&gt;AA53,"OVERDUE follow-up",IF(TODAY()=AA53,"Follow up today","")))))))))</f>
        <v/>
      </c>
    </row>
    <row r="54" customFormat="false" ht="15" hidden="false" customHeight="false" outlineLevel="0" collapsed="false">
      <c r="A54" s="17"/>
      <c r="B54" s="40"/>
      <c r="C54" s="17"/>
      <c r="D54" s="17"/>
      <c r="E54" s="17"/>
      <c r="F54" s="17"/>
      <c r="G54" s="17"/>
      <c r="H54" s="42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44" t="str">
        <f aca="false">IF(OR(D54="",COUNTA(N54:S54)=0),"",SUMIFS(Settings!$AA$2:$AA$21,Settings!$Y$2:$Y$21,"Budget AED 5k+/mo?",Settings!$Z$2:$Z$21,N54)+SUMIFS(Settings!$AA$2:$AA$21,Settings!$Y$2:$Y$21,"Decision-maker?",Settings!$Z$2:$Z$21,O54)+SUMIFS(Settings!$AA$2:$AA$21,Settings!$Y$2:$Y$21,"Someone on camera?",Settings!$Z$2:$Z$21,P54)+SUMIFS(Settings!$AA$2:$AA$21,Settings!$Y$2:$Y$21,"OK with 3-month term?",Settings!$Z$2:$Z$21,Q54)+SUMIFS(Settings!$AA$2:$AA$21,Settings!$Y$2:$Y$21,"Start timeline",Settings!$Z$2:$Z$21,R54)+SUMIFS(Settings!$AA$2:$AA$21,Settings!$Y$2:$Y$21,"Social media gap",Settings!$Z$2:$Z$21,S54)+IF(E54="",0,IF(COUNTIF(Settings!$AC$2:$AC$6,E54)&gt;0,Settings!$AA$20,Settings!$AA$21)))</f>
        <v/>
      </c>
      <c r="U54" s="44" t="str">
        <f aca="false">IF(D54="","",IF(COUNTA(N54:S54)=0,"Not scored",IF(COUNTA(N54:S54)&lt;6,"Partly scored ("&amp;COUNTA(N54:S54)&amp;"/6)",IF(T54&gt;=Settings!$S$8,"Hot",IF(T54&gt;=Settings!$S$9,"Warm","Cold")))))</f>
        <v/>
      </c>
      <c r="V54" s="44" t="str">
        <f aca="false">IF(D54="","",IF(AND(N54="No",P54="No"),"🚩 Budget  ·  🚩 No one on camera",IF(N54="No","🚩 Budget under AED 5k",IF(P54="No","🚩 No one on camera",""))))</f>
        <v/>
      </c>
      <c r="W54" s="17"/>
      <c r="X54" s="17"/>
      <c r="Y54" s="40"/>
      <c r="Z54" s="17"/>
      <c r="AA54" s="45" t="str">
        <f aca="false">IF(OR(D54="",Y54="",OR(X54="Contract signed + paid",X54="Closed – No response",X54="Lost"),N(Z54)&gt;=Settings!$S$3),"",Y54+Settings!$S$2)</f>
        <v/>
      </c>
      <c r="AB54" s="40"/>
      <c r="AC54" s="41"/>
      <c r="AD54" s="17"/>
      <c r="AE54" s="17"/>
      <c r="AF54" s="17"/>
      <c r="AG54" s="46" t="str">
        <f aca="true">IF(OR(D54="",B54=""),"",INT(TODAY()-B54))</f>
        <v/>
      </c>
      <c r="AH54" s="44" t="str">
        <f aca="true">IF(D54="","",IF(OR(COUNTIFS(Clients!$C$2:$C$501,D54,Clients!$S$2:$S$501,"Paid")&gt;0,AND(H54&lt;&gt;"",COUNTIFS(Clients!$E$2:$E$501,H54,Clients!$S$2:$S$501,"Paid")&gt;0)),"⚠ Refunded before – no free video",IF(OR(X54="Contract signed + paid",X54="Closed – No response",X54="Lost"),"",IF(X54="","Set a stage",IF(AND(X54="Proposal sent",COUNTA(N54:S54)&lt;6),"Score this lead – proposal sent unscored",IF(N(Z54)&gt;=Settings!$S$3,"Close – 4 follow-ups sent",IF(AA54="",IF(Y54="","Make first contact",""),IF(TODAY()&gt;AA54,"OVERDUE follow-up",IF(TODAY()=AA54,"Follow up today","")))))))))</f>
        <v/>
      </c>
    </row>
    <row r="55" customFormat="false" ht="15" hidden="false" customHeight="false" outlineLevel="0" collapsed="false">
      <c r="A55" s="17"/>
      <c r="B55" s="40"/>
      <c r="C55" s="17"/>
      <c r="D55" s="17"/>
      <c r="E55" s="17"/>
      <c r="F55" s="17"/>
      <c r="G55" s="17"/>
      <c r="H55" s="42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44" t="str">
        <f aca="false">IF(OR(D55="",COUNTA(N55:S55)=0),"",SUMIFS(Settings!$AA$2:$AA$21,Settings!$Y$2:$Y$21,"Budget AED 5k+/mo?",Settings!$Z$2:$Z$21,N55)+SUMIFS(Settings!$AA$2:$AA$21,Settings!$Y$2:$Y$21,"Decision-maker?",Settings!$Z$2:$Z$21,O55)+SUMIFS(Settings!$AA$2:$AA$21,Settings!$Y$2:$Y$21,"Someone on camera?",Settings!$Z$2:$Z$21,P55)+SUMIFS(Settings!$AA$2:$AA$21,Settings!$Y$2:$Y$21,"OK with 3-month term?",Settings!$Z$2:$Z$21,Q55)+SUMIFS(Settings!$AA$2:$AA$21,Settings!$Y$2:$Y$21,"Start timeline",Settings!$Z$2:$Z$21,R55)+SUMIFS(Settings!$AA$2:$AA$21,Settings!$Y$2:$Y$21,"Social media gap",Settings!$Z$2:$Z$21,S55)+IF(E55="",0,IF(COUNTIF(Settings!$AC$2:$AC$6,E55)&gt;0,Settings!$AA$20,Settings!$AA$21)))</f>
        <v/>
      </c>
      <c r="U55" s="44" t="str">
        <f aca="false">IF(D55="","",IF(COUNTA(N55:S55)=0,"Not scored",IF(COUNTA(N55:S55)&lt;6,"Partly scored ("&amp;COUNTA(N55:S55)&amp;"/6)",IF(T55&gt;=Settings!$S$8,"Hot",IF(T55&gt;=Settings!$S$9,"Warm","Cold")))))</f>
        <v/>
      </c>
      <c r="V55" s="44" t="str">
        <f aca="false">IF(D55="","",IF(AND(N55="No",P55="No"),"🚩 Budget  ·  🚩 No one on camera",IF(N55="No","🚩 Budget under AED 5k",IF(P55="No","🚩 No one on camera",""))))</f>
        <v/>
      </c>
      <c r="W55" s="17"/>
      <c r="X55" s="17"/>
      <c r="Y55" s="40"/>
      <c r="Z55" s="17"/>
      <c r="AA55" s="45" t="str">
        <f aca="false">IF(OR(D55="",Y55="",OR(X55="Contract signed + paid",X55="Closed – No response",X55="Lost"),N(Z55)&gt;=Settings!$S$3),"",Y55+Settings!$S$2)</f>
        <v/>
      </c>
      <c r="AB55" s="40"/>
      <c r="AC55" s="41"/>
      <c r="AD55" s="17"/>
      <c r="AE55" s="17"/>
      <c r="AF55" s="17"/>
      <c r="AG55" s="46" t="str">
        <f aca="true">IF(OR(D55="",B55=""),"",INT(TODAY()-B55))</f>
        <v/>
      </c>
      <c r="AH55" s="44" t="str">
        <f aca="true">IF(D55="","",IF(OR(COUNTIFS(Clients!$C$2:$C$501,D55,Clients!$S$2:$S$501,"Paid")&gt;0,AND(H55&lt;&gt;"",COUNTIFS(Clients!$E$2:$E$501,H55,Clients!$S$2:$S$501,"Paid")&gt;0)),"⚠ Refunded before – no free video",IF(OR(X55="Contract signed + paid",X55="Closed – No response",X55="Lost"),"",IF(X55="","Set a stage",IF(AND(X55="Proposal sent",COUNTA(N55:S55)&lt;6),"Score this lead – proposal sent unscored",IF(N(Z55)&gt;=Settings!$S$3,"Close – 4 follow-ups sent",IF(AA55="",IF(Y55="","Make first contact",""),IF(TODAY()&gt;AA55,"OVERDUE follow-up",IF(TODAY()=AA55,"Follow up today","")))))))))</f>
        <v/>
      </c>
    </row>
    <row r="56" customFormat="false" ht="15" hidden="false" customHeight="false" outlineLevel="0" collapsed="false">
      <c r="A56" s="17"/>
      <c r="B56" s="40"/>
      <c r="C56" s="17"/>
      <c r="D56" s="17"/>
      <c r="E56" s="17"/>
      <c r="F56" s="17"/>
      <c r="G56" s="17"/>
      <c r="H56" s="42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44" t="str">
        <f aca="false">IF(OR(D56="",COUNTA(N56:S56)=0),"",SUMIFS(Settings!$AA$2:$AA$21,Settings!$Y$2:$Y$21,"Budget AED 5k+/mo?",Settings!$Z$2:$Z$21,N56)+SUMIFS(Settings!$AA$2:$AA$21,Settings!$Y$2:$Y$21,"Decision-maker?",Settings!$Z$2:$Z$21,O56)+SUMIFS(Settings!$AA$2:$AA$21,Settings!$Y$2:$Y$21,"Someone on camera?",Settings!$Z$2:$Z$21,P56)+SUMIFS(Settings!$AA$2:$AA$21,Settings!$Y$2:$Y$21,"OK with 3-month term?",Settings!$Z$2:$Z$21,Q56)+SUMIFS(Settings!$AA$2:$AA$21,Settings!$Y$2:$Y$21,"Start timeline",Settings!$Z$2:$Z$21,R56)+SUMIFS(Settings!$AA$2:$AA$21,Settings!$Y$2:$Y$21,"Social media gap",Settings!$Z$2:$Z$21,S56)+IF(E56="",0,IF(COUNTIF(Settings!$AC$2:$AC$6,E56)&gt;0,Settings!$AA$20,Settings!$AA$21)))</f>
        <v/>
      </c>
      <c r="U56" s="44" t="str">
        <f aca="false">IF(D56="","",IF(COUNTA(N56:S56)=0,"Not scored",IF(COUNTA(N56:S56)&lt;6,"Partly scored ("&amp;COUNTA(N56:S56)&amp;"/6)",IF(T56&gt;=Settings!$S$8,"Hot",IF(T56&gt;=Settings!$S$9,"Warm","Cold")))))</f>
        <v/>
      </c>
      <c r="V56" s="44" t="str">
        <f aca="false">IF(D56="","",IF(AND(N56="No",P56="No"),"🚩 Budget  ·  🚩 No one on camera",IF(N56="No","🚩 Budget under AED 5k",IF(P56="No","🚩 No one on camera",""))))</f>
        <v/>
      </c>
      <c r="W56" s="17"/>
      <c r="X56" s="17"/>
      <c r="Y56" s="40"/>
      <c r="Z56" s="17"/>
      <c r="AA56" s="45" t="str">
        <f aca="false">IF(OR(D56="",Y56="",OR(X56="Contract signed + paid",X56="Closed – No response",X56="Lost"),N(Z56)&gt;=Settings!$S$3),"",Y56+Settings!$S$2)</f>
        <v/>
      </c>
      <c r="AB56" s="40"/>
      <c r="AC56" s="41"/>
      <c r="AD56" s="17"/>
      <c r="AE56" s="17"/>
      <c r="AF56" s="17"/>
      <c r="AG56" s="46" t="str">
        <f aca="true">IF(OR(D56="",B56=""),"",INT(TODAY()-B56))</f>
        <v/>
      </c>
      <c r="AH56" s="44" t="str">
        <f aca="true">IF(D56="","",IF(OR(COUNTIFS(Clients!$C$2:$C$501,D56,Clients!$S$2:$S$501,"Paid")&gt;0,AND(H56&lt;&gt;"",COUNTIFS(Clients!$E$2:$E$501,H56,Clients!$S$2:$S$501,"Paid")&gt;0)),"⚠ Refunded before – no free video",IF(OR(X56="Contract signed + paid",X56="Closed – No response",X56="Lost"),"",IF(X56="","Set a stage",IF(AND(X56="Proposal sent",COUNTA(N56:S56)&lt;6),"Score this lead – proposal sent unscored",IF(N(Z56)&gt;=Settings!$S$3,"Close – 4 follow-ups sent",IF(AA56="",IF(Y56="","Make first contact",""),IF(TODAY()&gt;AA56,"OVERDUE follow-up",IF(TODAY()=AA56,"Follow up today","")))))))))</f>
        <v/>
      </c>
    </row>
    <row r="57" customFormat="false" ht="15" hidden="false" customHeight="false" outlineLevel="0" collapsed="false">
      <c r="A57" s="17"/>
      <c r="B57" s="40"/>
      <c r="C57" s="17"/>
      <c r="D57" s="17"/>
      <c r="E57" s="17"/>
      <c r="F57" s="17"/>
      <c r="G57" s="17"/>
      <c r="H57" s="42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44" t="str">
        <f aca="false">IF(OR(D57="",COUNTA(N57:S57)=0),"",SUMIFS(Settings!$AA$2:$AA$21,Settings!$Y$2:$Y$21,"Budget AED 5k+/mo?",Settings!$Z$2:$Z$21,N57)+SUMIFS(Settings!$AA$2:$AA$21,Settings!$Y$2:$Y$21,"Decision-maker?",Settings!$Z$2:$Z$21,O57)+SUMIFS(Settings!$AA$2:$AA$21,Settings!$Y$2:$Y$21,"Someone on camera?",Settings!$Z$2:$Z$21,P57)+SUMIFS(Settings!$AA$2:$AA$21,Settings!$Y$2:$Y$21,"OK with 3-month term?",Settings!$Z$2:$Z$21,Q57)+SUMIFS(Settings!$AA$2:$AA$21,Settings!$Y$2:$Y$21,"Start timeline",Settings!$Z$2:$Z$21,R57)+SUMIFS(Settings!$AA$2:$AA$21,Settings!$Y$2:$Y$21,"Social media gap",Settings!$Z$2:$Z$21,S57)+IF(E57="",0,IF(COUNTIF(Settings!$AC$2:$AC$6,E57)&gt;0,Settings!$AA$20,Settings!$AA$21)))</f>
        <v/>
      </c>
      <c r="U57" s="44" t="str">
        <f aca="false">IF(D57="","",IF(COUNTA(N57:S57)=0,"Not scored",IF(COUNTA(N57:S57)&lt;6,"Partly scored ("&amp;COUNTA(N57:S57)&amp;"/6)",IF(T57&gt;=Settings!$S$8,"Hot",IF(T57&gt;=Settings!$S$9,"Warm","Cold")))))</f>
        <v/>
      </c>
      <c r="V57" s="44" t="str">
        <f aca="false">IF(D57="","",IF(AND(N57="No",P57="No"),"🚩 Budget  ·  🚩 No one on camera",IF(N57="No","🚩 Budget under AED 5k",IF(P57="No","🚩 No one on camera",""))))</f>
        <v/>
      </c>
      <c r="W57" s="17"/>
      <c r="X57" s="17"/>
      <c r="Y57" s="40"/>
      <c r="Z57" s="17"/>
      <c r="AA57" s="45" t="str">
        <f aca="false">IF(OR(D57="",Y57="",OR(X57="Contract signed + paid",X57="Closed – No response",X57="Lost"),N(Z57)&gt;=Settings!$S$3),"",Y57+Settings!$S$2)</f>
        <v/>
      </c>
      <c r="AB57" s="40"/>
      <c r="AC57" s="41"/>
      <c r="AD57" s="17"/>
      <c r="AE57" s="17"/>
      <c r="AF57" s="17"/>
      <c r="AG57" s="46" t="str">
        <f aca="true">IF(OR(D57="",B57=""),"",INT(TODAY()-B57))</f>
        <v/>
      </c>
      <c r="AH57" s="44" t="str">
        <f aca="true">IF(D57="","",IF(OR(COUNTIFS(Clients!$C$2:$C$501,D57,Clients!$S$2:$S$501,"Paid")&gt;0,AND(H57&lt;&gt;"",COUNTIFS(Clients!$E$2:$E$501,H57,Clients!$S$2:$S$501,"Paid")&gt;0)),"⚠ Refunded before – no free video",IF(OR(X57="Contract signed + paid",X57="Closed – No response",X57="Lost"),"",IF(X57="","Set a stage",IF(AND(X57="Proposal sent",COUNTA(N57:S57)&lt;6),"Score this lead – proposal sent unscored",IF(N(Z57)&gt;=Settings!$S$3,"Close – 4 follow-ups sent",IF(AA57="",IF(Y57="","Make first contact",""),IF(TODAY()&gt;AA57,"OVERDUE follow-up",IF(TODAY()=AA57,"Follow up today","")))))))))</f>
        <v/>
      </c>
    </row>
    <row r="58" customFormat="false" ht="15" hidden="false" customHeight="false" outlineLevel="0" collapsed="false">
      <c r="A58" s="17"/>
      <c r="B58" s="40"/>
      <c r="C58" s="17"/>
      <c r="D58" s="17"/>
      <c r="E58" s="17"/>
      <c r="F58" s="17"/>
      <c r="G58" s="17"/>
      <c r="H58" s="42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44" t="str">
        <f aca="false">IF(OR(D58="",COUNTA(N58:S58)=0),"",SUMIFS(Settings!$AA$2:$AA$21,Settings!$Y$2:$Y$21,"Budget AED 5k+/mo?",Settings!$Z$2:$Z$21,N58)+SUMIFS(Settings!$AA$2:$AA$21,Settings!$Y$2:$Y$21,"Decision-maker?",Settings!$Z$2:$Z$21,O58)+SUMIFS(Settings!$AA$2:$AA$21,Settings!$Y$2:$Y$21,"Someone on camera?",Settings!$Z$2:$Z$21,P58)+SUMIFS(Settings!$AA$2:$AA$21,Settings!$Y$2:$Y$21,"OK with 3-month term?",Settings!$Z$2:$Z$21,Q58)+SUMIFS(Settings!$AA$2:$AA$21,Settings!$Y$2:$Y$21,"Start timeline",Settings!$Z$2:$Z$21,R58)+SUMIFS(Settings!$AA$2:$AA$21,Settings!$Y$2:$Y$21,"Social media gap",Settings!$Z$2:$Z$21,S58)+IF(E58="",0,IF(COUNTIF(Settings!$AC$2:$AC$6,E58)&gt;0,Settings!$AA$20,Settings!$AA$21)))</f>
        <v/>
      </c>
      <c r="U58" s="44" t="str">
        <f aca="false">IF(D58="","",IF(COUNTA(N58:S58)=0,"Not scored",IF(COUNTA(N58:S58)&lt;6,"Partly scored ("&amp;COUNTA(N58:S58)&amp;"/6)",IF(T58&gt;=Settings!$S$8,"Hot",IF(T58&gt;=Settings!$S$9,"Warm","Cold")))))</f>
        <v/>
      </c>
      <c r="V58" s="44" t="str">
        <f aca="false">IF(D58="","",IF(AND(N58="No",P58="No"),"🚩 Budget  ·  🚩 No one on camera",IF(N58="No","🚩 Budget under AED 5k",IF(P58="No","🚩 No one on camera",""))))</f>
        <v/>
      </c>
      <c r="W58" s="17"/>
      <c r="X58" s="17"/>
      <c r="Y58" s="40"/>
      <c r="Z58" s="17"/>
      <c r="AA58" s="45" t="str">
        <f aca="false">IF(OR(D58="",Y58="",OR(X58="Contract signed + paid",X58="Closed – No response",X58="Lost"),N(Z58)&gt;=Settings!$S$3),"",Y58+Settings!$S$2)</f>
        <v/>
      </c>
      <c r="AB58" s="40"/>
      <c r="AC58" s="41"/>
      <c r="AD58" s="17"/>
      <c r="AE58" s="17"/>
      <c r="AF58" s="17"/>
      <c r="AG58" s="46" t="str">
        <f aca="true">IF(OR(D58="",B58=""),"",INT(TODAY()-B58))</f>
        <v/>
      </c>
      <c r="AH58" s="44" t="str">
        <f aca="true">IF(D58="","",IF(OR(COUNTIFS(Clients!$C$2:$C$501,D58,Clients!$S$2:$S$501,"Paid")&gt;0,AND(H58&lt;&gt;"",COUNTIFS(Clients!$E$2:$E$501,H58,Clients!$S$2:$S$501,"Paid")&gt;0)),"⚠ Refunded before – no free video",IF(OR(X58="Contract signed + paid",X58="Closed – No response",X58="Lost"),"",IF(X58="","Set a stage",IF(AND(X58="Proposal sent",COUNTA(N58:S58)&lt;6),"Score this lead – proposal sent unscored",IF(N(Z58)&gt;=Settings!$S$3,"Close – 4 follow-ups sent",IF(AA58="",IF(Y58="","Make first contact",""),IF(TODAY()&gt;AA58,"OVERDUE follow-up",IF(TODAY()=AA58,"Follow up today","")))))))))</f>
        <v/>
      </c>
    </row>
    <row r="59" customFormat="false" ht="15" hidden="false" customHeight="false" outlineLevel="0" collapsed="false">
      <c r="A59" s="17"/>
      <c r="B59" s="40"/>
      <c r="C59" s="17"/>
      <c r="D59" s="17"/>
      <c r="E59" s="17"/>
      <c r="F59" s="17"/>
      <c r="G59" s="17"/>
      <c r="H59" s="42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44" t="str">
        <f aca="false">IF(OR(D59="",COUNTA(N59:S59)=0),"",SUMIFS(Settings!$AA$2:$AA$21,Settings!$Y$2:$Y$21,"Budget AED 5k+/mo?",Settings!$Z$2:$Z$21,N59)+SUMIFS(Settings!$AA$2:$AA$21,Settings!$Y$2:$Y$21,"Decision-maker?",Settings!$Z$2:$Z$21,O59)+SUMIFS(Settings!$AA$2:$AA$21,Settings!$Y$2:$Y$21,"Someone on camera?",Settings!$Z$2:$Z$21,P59)+SUMIFS(Settings!$AA$2:$AA$21,Settings!$Y$2:$Y$21,"OK with 3-month term?",Settings!$Z$2:$Z$21,Q59)+SUMIFS(Settings!$AA$2:$AA$21,Settings!$Y$2:$Y$21,"Start timeline",Settings!$Z$2:$Z$21,R59)+SUMIFS(Settings!$AA$2:$AA$21,Settings!$Y$2:$Y$21,"Social media gap",Settings!$Z$2:$Z$21,S59)+IF(E59="",0,IF(COUNTIF(Settings!$AC$2:$AC$6,E59)&gt;0,Settings!$AA$20,Settings!$AA$21)))</f>
        <v/>
      </c>
      <c r="U59" s="44" t="str">
        <f aca="false">IF(D59="","",IF(COUNTA(N59:S59)=0,"Not scored",IF(COUNTA(N59:S59)&lt;6,"Partly scored ("&amp;COUNTA(N59:S59)&amp;"/6)",IF(T59&gt;=Settings!$S$8,"Hot",IF(T59&gt;=Settings!$S$9,"Warm","Cold")))))</f>
        <v/>
      </c>
      <c r="V59" s="44" t="str">
        <f aca="false">IF(D59="","",IF(AND(N59="No",P59="No"),"🚩 Budget  ·  🚩 No one on camera",IF(N59="No","🚩 Budget under AED 5k",IF(P59="No","🚩 No one on camera",""))))</f>
        <v/>
      </c>
      <c r="W59" s="17"/>
      <c r="X59" s="17"/>
      <c r="Y59" s="40"/>
      <c r="Z59" s="17"/>
      <c r="AA59" s="45" t="str">
        <f aca="false">IF(OR(D59="",Y59="",OR(X59="Contract signed + paid",X59="Closed – No response",X59="Lost"),N(Z59)&gt;=Settings!$S$3),"",Y59+Settings!$S$2)</f>
        <v/>
      </c>
      <c r="AB59" s="40"/>
      <c r="AC59" s="41"/>
      <c r="AD59" s="17"/>
      <c r="AE59" s="17"/>
      <c r="AF59" s="17"/>
      <c r="AG59" s="46" t="str">
        <f aca="true">IF(OR(D59="",B59=""),"",INT(TODAY()-B59))</f>
        <v/>
      </c>
      <c r="AH59" s="44" t="str">
        <f aca="true">IF(D59="","",IF(OR(COUNTIFS(Clients!$C$2:$C$501,D59,Clients!$S$2:$S$501,"Paid")&gt;0,AND(H59&lt;&gt;"",COUNTIFS(Clients!$E$2:$E$501,H59,Clients!$S$2:$S$501,"Paid")&gt;0)),"⚠ Refunded before – no free video",IF(OR(X59="Contract signed + paid",X59="Closed – No response",X59="Lost"),"",IF(X59="","Set a stage",IF(AND(X59="Proposal sent",COUNTA(N59:S59)&lt;6),"Score this lead – proposal sent unscored",IF(N(Z59)&gt;=Settings!$S$3,"Close – 4 follow-ups sent",IF(AA59="",IF(Y59="","Make first contact",""),IF(TODAY()&gt;AA59,"OVERDUE follow-up",IF(TODAY()=AA59,"Follow up today","")))))))))</f>
        <v/>
      </c>
    </row>
    <row r="60" customFormat="false" ht="15" hidden="false" customHeight="false" outlineLevel="0" collapsed="false">
      <c r="A60" s="17"/>
      <c r="B60" s="40"/>
      <c r="C60" s="17"/>
      <c r="D60" s="17"/>
      <c r="E60" s="17"/>
      <c r="F60" s="17"/>
      <c r="G60" s="17"/>
      <c r="H60" s="42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44" t="str">
        <f aca="false">IF(OR(D60="",COUNTA(N60:S60)=0),"",SUMIFS(Settings!$AA$2:$AA$21,Settings!$Y$2:$Y$21,"Budget AED 5k+/mo?",Settings!$Z$2:$Z$21,N60)+SUMIFS(Settings!$AA$2:$AA$21,Settings!$Y$2:$Y$21,"Decision-maker?",Settings!$Z$2:$Z$21,O60)+SUMIFS(Settings!$AA$2:$AA$21,Settings!$Y$2:$Y$21,"Someone on camera?",Settings!$Z$2:$Z$21,P60)+SUMIFS(Settings!$AA$2:$AA$21,Settings!$Y$2:$Y$21,"OK with 3-month term?",Settings!$Z$2:$Z$21,Q60)+SUMIFS(Settings!$AA$2:$AA$21,Settings!$Y$2:$Y$21,"Start timeline",Settings!$Z$2:$Z$21,R60)+SUMIFS(Settings!$AA$2:$AA$21,Settings!$Y$2:$Y$21,"Social media gap",Settings!$Z$2:$Z$21,S60)+IF(E60="",0,IF(COUNTIF(Settings!$AC$2:$AC$6,E60)&gt;0,Settings!$AA$20,Settings!$AA$21)))</f>
        <v/>
      </c>
      <c r="U60" s="44" t="str">
        <f aca="false">IF(D60="","",IF(COUNTA(N60:S60)=0,"Not scored",IF(COUNTA(N60:S60)&lt;6,"Partly scored ("&amp;COUNTA(N60:S60)&amp;"/6)",IF(T60&gt;=Settings!$S$8,"Hot",IF(T60&gt;=Settings!$S$9,"Warm","Cold")))))</f>
        <v/>
      </c>
      <c r="V60" s="44" t="str">
        <f aca="false">IF(D60="","",IF(AND(N60="No",P60="No"),"🚩 Budget  ·  🚩 No one on camera",IF(N60="No","🚩 Budget under AED 5k",IF(P60="No","🚩 No one on camera",""))))</f>
        <v/>
      </c>
      <c r="W60" s="17"/>
      <c r="X60" s="17"/>
      <c r="Y60" s="40"/>
      <c r="Z60" s="17"/>
      <c r="AA60" s="45" t="str">
        <f aca="false">IF(OR(D60="",Y60="",OR(X60="Contract signed + paid",X60="Closed – No response",X60="Lost"),N(Z60)&gt;=Settings!$S$3),"",Y60+Settings!$S$2)</f>
        <v/>
      </c>
      <c r="AB60" s="40"/>
      <c r="AC60" s="41"/>
      <c r="AD60" s="17"/>
      <c r="AE60" s="17"/>
      <c r="AF60" s="17"/>
      <c r="AG60" s="46" t="str">
        <f aca="true">IF(OR(D60="",B60=""),"",INT(TODAY()-B60))</f>
        <v/>
      </c>
      <c r="AH60" s="44" t="str">
        <f aca="true">IF(D60="","",IF(OR(COUNTIFS(Clients!$C$2:$C$501,D60,Clients!$S$2:$S$501,"Paid")&gt;0,AND(H60&lt;&gt;"",COUNTIFS(Clients!$E$2:$E$501,H60,Clients!$S$2:$S$501,"Paid")&gt;0)),"⚠ Refunded before – no free video",IF(OR(X60="Contract signed + paid",X60="Closed – No response",X60="Lost"),"",IF(X60="","Set a stage",IF(AND(X60="Proposal sent",COUNTA(N60:S60)&lt;6),"Score this lead – proposal sent unscored",IF(N(Z60)&gt;=Settings!$S$3,"Close – 4 follow-ups sent",IF(AA60="",IF(Y60="","Make first contact",""),IF(TODAY()&gt;AA60,"OVERDUE follow-up",IF(TODAY()=AA60,"Follow up today","")))))))))</f>
        <v/>
      </c>
    </row>
    <row r="61" customFormat="false" ht="15" hidden="false" customHeight="false" outlineLevel="0" collapsed="false">
      <c r="A61" s="17"/>
      <c r="B61" s="40"/>
      <c r="C61" s="17"/>
      <c r="D61" s="17"/>
      <c r="E61" s="17"/>
      <c r="F61" s="17"/>
      <c r="G61" s="17"/>
      <c r="H61" s="42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44" t="str">
        <f aca="false">IF(OR(D61="",COUNTA(N61:S61)=0),"",SUMIFS(Settings!$AA$2:$AA$21,Settings!$Y$2:$Y$21,"Budget AED 5k+/mo?",Settings!$Z$2:$Z$21,N61)+SUMIFS(Settings!$AA$2:$AA$21,Settings!$Y$2:$Y$21,"Decision-maker?",Settings!$Z$2:$Z$21,O61)+SUMIFS(Settings!$AA$2:$AA$21,Settings!$Y$2:$Y$21,"Someone on camera?",Settings!$Z$2:$Z$21,P61)+SUMIFS(Settings!$AA$2:$AA$21,Settings!$Y$2:$Y$21,"OK with 3-month term?",Settings!$Z$2:$Z$21,Q61)+SUMIFS(Settings!$AA$2:$AA$21,Settings!$Y$2:$Y$21,"Start timeline",Settings!$Z$2:$Z$21,R61)+SUMIFS(Settings!$AA$2:$AA$21,Settings!$Y$2:$Y$21,"Social media gap",Settings!$Z$2:$Z$21,S61)+IF(E61="",0,IF(COUNTIF(Settings!$AC$2:$AC$6,E61)&gt;0,Settings!$AA$20,Settings!$AA$21)))</f>
        <v/>
      </c>
      <c r="U61" s="44" t="str">
        <f aca="false">IF(D61="","",IF(COUNTA(N61:S61)=0,"Not scored",IF(COUNTA(N61:S61)&lt;6,"Partly scored ("&amp;COUNTA(N61:S61)&amp;"/6)",IF(T61&gt;=Settings!$S$8,"Hot",IF(T61&gt;=Settings!$S$9,"Warm","Cold")))))</f>
        <v/>
      </c>
      <c r="V61" s="44" t="str">
        <f aca="false">IF(D61="","",IF(AND(N61="No",P61="No"),"🚩 Budget  ·  🚩 No one on camera",IF(N61="No","🚩 Budget under AED 5k",IF(P61="No","🚩 No one on camera",""))))</f>
        <v/>
      </c>
      <c r="W61" s="17"/>
      <c r="X61" s="17"/>
      <c r="Y61" s="40"/>
      <c r="Z61" s="17"/>
      <c r="AA61" s="45" t="str">
        <f aca="false">IF(OR(D61="",Y61="",OR(X61="Contract signed + paid",X61="Closed – No response",X61="Lost"),N(Z61)&gt;=Settings!$S$3),"",Y61+Settings!$S$2)</f>
        <v/>
      </c>
      <c r="AB61" s="40"/>
      <c r="AC61" s="41"/>
      <c r="AD61" s="17"/>
      <c r="AE61" s="17"/>
      <c r="AF61" s="17"/>
      <c r="AG61" s="46" t="str">
        <f aca="true">IF(OR(D61="",B61=""),"",INT(TODAY()-B61))</f>
        <v/>
      </c>
      <c r="AH61" s="44" t="str">
        <f aca="true">IF(D61="","",IF(OR(COUNTIFS(Clients!$C$2:$C$501,D61,Clients!$S$2:$S$501,"Paid")&gt;0,AND(H61&lt;&gt;"",COUNTIFS(Clients!$E$2:$E$501,H61,Clients!$S$2:$S$501,"Paid")&gt;0)),"⚠ Refunded before – no free video",IF(OR(X61="Contract signed + paid",X61="Closed – No response",X61="Lost"),"",IF(X61="","Set a stage",IF(AND(X61="Proposal sent",COUNTA(N61:S61)&lt;6),"Score this lead – proposal sent unscored",IF(N(Z61)&gt;=Settings!$S$3,"Close – 4 follow-ups sent",IF(AA61="",IF(Y61="","Make first contact",""),IF(TODAY()&gt;AA61,"OVERDUE follow-up",IF(TODAY()=AA61,"Follow up today","")))))))))</f>
        <v/>
      </c>
    </row>
    <row r="62" customFormat="false" ht="15" hidden="false" customHeight="false" outlineLevel="0" collapsed="false">
      <c r="A62" s="17"/>
      <c r="B62" s="40"/>
      <c r="C62" s="17"/>
      <c r="D62" s="17"/>
      <c r="E62" s="17"/>
      <c r="F62" s="17"/>
      <c r="G62" s="17"/>
      <c r="H62" s="42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44" t="str">
        <f aca="false">IF(OR(D62="",COUNTA(N62:S62)=0),"",SUMIFS(Settings!$AA$2:$AA$21,Settings!$Y$2:$Y$21,"Budget AED 5k+/mo?",Settings!$Z$2:$Z$21,N62)+SUMIFS(Settings!$AA$2:$AA$21,Settings!$Y$2:$Y$21,"Decision-maker?",Settings!$Z$2:$Z$21,O62)+SUMIFS(Settings!$AA$2:$AA$21,Settings!$Y$2:$Y$21,"Someone on camera?",Settings!$Z$2:$Z$21,P62)+SUMIFS(Settings!$AA$2:$AA$21,Settings!$Y$2:$Y$21,"OK with 3-month term?",Settings!$Z$2:$Z$21,Q62)+SUMIFS(Settings!$AA$2:$AA$21,Settings!$Y$2:$Y$21,"Start timeline",Settings!$Z$2:$Z$21,R62)+SUMIFS(Settings!$AA$2:$AA$21,Settings!$Y$2:$Y$21,"Social media gap",Settings!$Z$2:$Z$21,S62)+IF(E62="",0,IF(COUNTIF(Settings!$AC$2:$AC$6,E62)&gt;0,Settings!$AA$20,Settings!$AA$21)))</f>
        <v/>
      </c>
      <c r="U62" s="44" t="str">
        <f aca="false">IF(D62="","",IF(COUNTA(N62:S62)=0,"Not scored",IF(COUNTA(N62:S62)&lt;6,"Partly scored ("&amp;COUNTA(N62:S62)&amp;"/6)",IF(T62&gt;=Settings!$S$8,"Hot",IF(T62&gt;=Settings!$S$9,"Warm","Cold")))))</f>
        <v/>
      </c>
      <c r="V62" s="44" t="str">
        <f aca="false">IF(D62="","",IF(AND(N62="No",P62="No"),"🚩 Budget  ·  🚩 No one on camera",IF(N62="No","🚩 Budget under AED 5k",IF(P62="No","🚩 No one on camera",""))))</f>
        <v/>
      </c>
      <c r="W62" s="17"/>
      <c r="X62" s="17"/>
      <c r="Y62" s="40"/>
      <c r="Z62" s="17"/>
      <c r="AA62" s="45" t="str">
        <f aca="false">IF(OR(D62="",Y62="",OR(X62="Contract signed + paid",X62="Closed – No response",X62="Lost"),N(Z62)&gt;=Settings!$S$3),"",Y62+Settings!$S$2)</f>
        <v/>
      </c>
      <c r="AB62" s="40"/>
      <c r="AC62" s="41"/>
      <c r="AD62" s="17"/>
      <c r="AE62" s="17"/>
      <c r="AF62" s="17"/>
      <c r="AG62" s="46" t="str">
        <f aca="true">IF(OR(D62="",B62=""),"",INT(TODAY()-B62))</f>
        <v/>
      </c>
      <c r="AH62" s="44" t="str">
        <f aca="true">IF(D62="","",IF(OR(COUNTIFS(Clients!$C$2:$C$501,D62,Clients!$S$2:$S$501,"Paid")&gt;0,AND(H62&lt;&gt;"",COUNTIFS(Clients!$E$2:$E$501,H62,Clients!$S$2:$S$501,"Paid")&gt;0)),"⚠ Refunded before – no free video",IF(OR(X62="Contract signed + paid",X62="Closed – No response",X62="Lost"),"",IF(X62="","Set a stage",IF(AND(X62="Proposal sent",COUNTA(N62:S62)&lt;6),"Score this lead – proposal sent unscored",IF(N(Z62)&gt;=Settings!$S$3,"Close – 4 follow-ups sent",IF(AA62="",IF(Y62="","Make first contact",""),IF(TODAY()&gt;AA62,"OVERDUE follow-up",IF(TODAY()=AA62,"Follow up today","")))))))))</f>
        <v/>
      </c>
    </row>
    <row r="63" customFormat="false" ht="15" hidden="false" customHeight="false" outlineLevel="0" collapsed="false">
      <c r="A63" s="17"/>
      <c r="B63" s="40"/>
      <c r="C63" s="17"/>
      <c r="D63" s="17"/>
      <c r="E63" s="17"/>
      <c r="F63" s="17"/>
      <c r="G63" s="17"/>
      <c r="H63" s="42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44" t="str">
        <f aca="false">IF(OR(D63="",COUNTA(N63:S63)=0),"",SUMIFS(Settings!$AA$2:$AA$21,Settings!$Y$2:$Y$21,"Budget AED 5k+/mo?",Settings!$Z$2:$Z$21,N63)+SUMIFS(Settings!$AA$2:$AA$21,Settings!$Y$2:$Y$21,"Decision-maker?",Settings!$Z$2:$Z$21,O63)+SUMIFS(Settings!$AA$2:$AA$21,Settings!$Y$2:$Y$21,"Someone on camera?",Settings!$Z$2:$Z$21,P63)+SUMIFS(Settings!$AA$2:$AA$21,Settings!$Y$2:$Y$21,"OK with 3-month term?",Settings!$Z$2:$Z$21,Q63)+SUMIFS(Settings!$AA$2:$AA$21,Settings!$Y$2:$Y$21,"Start timeline",Settings!$Z$2:$Z$21,R63)+SUMIFS(Settings!$AA$2:$AA$21,Settings!$Y$2:$Y$21,"Social media gap",Settings!$Z$2:$Z$21,S63)+IF(E63="",0,IF(COUNTIF(Settings!$AC$2:$AC$6,E63)&gt;0,Settings!$AA$20,Settings!$AA$21)))</f>
        <v/>
      </c>
      <c r="U63" s="44" t="str">
        <f aca="false">IF(D63="","",IF(COUNTA(N63:S63)=0,"Not scored",IF(COUNTA(N63:S63)&lt;6,"Partly scored ("&amp;COUNTA(N63:S63)&amp;"/6)",IF(T63&gt;=Settings!$S$8,"Hot",IF(T63&gt;=Settings!$S$9,"Warm","Cold")))))</f>
        <v/>
      </c>
      <c r="V63" s="44" t="str">
        <f aca="false">IF(D63="","",IF(AND(N63="No",P63="No"),"🚩 Budget  ·  🚩 No one on camera",IF(N63="No","🚩 Budget under AED 5k",IF(P63="No","🚩 No one on camera",""))))</f>
        <v/>
      </c>
      <c r="W63" s="17"/>
      <c r="X63" s="17"/>
      <c r="Y63" s="40"/>
      <c r="Z63" s="17"/>
      <c r="AA63" s="45" t="str">
        <f aca="false">IF(OR(D63="",Y63="",OR(X63="Contract signed + paid",X63="Closed – No response",X63="Lost"),N(Z63)&gt;=Settings!$S$3),"",Y63+Settings!$S$2)</f>
        <v/>
      </c>
      <c r="AB63" s="40"/>
      <c r="AC63" s="41"/>
      <c r="AD63" s="17"/>
      <c r="AE63" s="17"/>
      <c r="AF63" s="17"/>
      <c r="AG63" s="46" t="str">
        <f aca="true">IF(OR(D63="",B63=""),"",INT(TODAY()-B63))</f>
        <v/>
      </c>
      <c r="AH63" s="44" t="str">
        <f aca="true">IF(D63="","",IF(OR(COUNTIFS(Clients!$C$2:$C$501,D63,Clients!$S$2:$S$501,"Paid")&gt;0,AND(H63&lt;&gt;"",COUNTIFS(Clients!$E$2:$E$501,H63,Clients!$S$2:$S$501,"Paid")&gt;0)),"⚠ Refunded before – no free video",IF(OR(X63="Contract signed + paid",X63="Closed – No response",X63="Lost"),"",IF(X63="","Set a stage",IF(AND(X63="Proposal sent",COUNTA(N63:S63)&lt;6),"Score this lead – proposal sent unscored",IF(N(Z63)&gt;=Settings!$S$3,"Close – 4 follow-ups sent",IF(AA63="",IF(Y63="","Make first contact",""),IF(TODAY()&gt;AA63,"OVERDUE follow-up",IF(TODAY()=AA63,"Follow up today","")))))))))</f>
        <v/>
      </c>
    </row>
    <row r="64" customFormat="false" ht="15" hidden="false" customHeight="false" outlineLevel="0" collapsed="false">
      <c r="A64" s="17"/>
      <c r="B64" s="40"/>
      <c r="C64" s="17"/>
      <c r="D64" s="17"/>
      <c r="E64" s="17"/>
      <c r="F64" s="17"/>
      <c r="G64" s="17"/>
      <c r="H64" s="42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44" t="str">
        <f aca="false">IF(OR(D64="",COUNTA(N64:S64)=0),"",SUMIFS(Settings!$AA$2:$AA$21,Settings!$Y$2:$Y$21,"Budget AED 5k+/mo?",Settings!$Z$2:$Z$21,N64)+SUMIFS(Settings!$AA$2:$AA$21,Settings!$Y$2:$Y$21,"Decision-maker?",Settings!$Z$2:$Z$21,O64)+SUMIFS(Settings!$AA$2:$AA$21,Settings!$Y$2:$Y$21,"Someone on camera?",Settings!$Z$2:$Z$21,P64)+SUMIFS(Settings!$AA$2:$AA$21,Settings!$Y$2:$Y$21,"OK with 3-month term?",Settings!$Z$2:$Z$21,Q64)+SUMIFS(Settings!$AA$2:$AA$21,Settings!$Y$2:$Y$21,"Start timeline",Settings!$Z$2:$Z$21,R64)+SUMIFS(Settings!$AA$2:$AA$21,Settings!$Y$2:$Y$21,"Social media gap",Settings!$Z$2:$Z$21,S64)+IF(E64="",0,IF(COUNTIF(Settings!$AC$2:$AC$6,E64)&gt;0,Settings!$AA$20,Settings!$AA$21)))</f>
        <v/>
      </c>
      <c r="U64" s="44" t="str">
        <f aca="false">IF(D64="","",IF(COUNTA(N64:S64)=0,"Not scored",IF(COUNTA(N64:S64)&lt;6,"Partly scored ("&amp;COUNTA(N64:S64)&amp;"/6)",IF(T64&gt;=Settings!$S$8,"Hot",IF(T64&gt;=Settings!$S$9,"Warm","Cold")))))</f>
        <v/>
      </c>
      <c r="V64" s="44" t="str">
        <f aca="false">IF(D64="","",IF(AND(N64="No",P64="No"),"🚩 Budget  ·  🚩 No one on camera",IF(N64="No","🚩 Budget under AED 5k",IF(P64="No","🚩 No one on camera",""))))</f>
        <v/>
      </c>
      <c r="W64" s="17"/>
      <c r="X64" s="17"/>
      <c r="Y64" s="40"/>
      <c r="Z64" s="17"/>
      <c r="AA64" s="45" t="str">
        <f aca="false">IF(OR(D64="",Y64="",OR(X64="Contract signed + paid",X64="Closed – No response",X64="Lost"),N(Z64)&gt;=Settings!$S$3),"",Y64+Settings!$S$2)</f>
        <v/>
      </c>
      <c r="AB64" s="40"/>
      <c r="AC64" s="41"/>
      <c r="AD64" s="17"/>
      <c r="AE64" s="17"/>
      <c r="AF64" s="17"/>
      <c r="AG64" s="46" t="str">
        <f aca="true">IF(OR(D64="",B64=""),"",INT(TODAY()-B64))</f>
        <v/>
      </c>
      <c r="AH64" s="44" t="str">
        <f aca="true">IF(D64="","",IF(OR(COUNTIFS(Clients!$C$2:$C$501,D64,Clients!$S$2:$S$501,"Paid")&gt;0,AND(H64&lt;&gt;"",COUNTIFS(Clients!$E$2:$E$501,H64,Clients!$S$2:$S$501,"Paid")&gt;0)),"⚠ Refunded before – no free video",IF(OR(X64="Contract signed + paid",X64="Closed – No response",X64="Lost"),"",IF(X64="","Set a stage",IF(AND(X64="Proposal sent",COUNTA(N64:S64)&lt;6),"Score this lead – proposal sent unscored",IF(N(Z64)&gt;=Settings!$S$3,"Close – 4 follow-ups sent",IF(AA64="",IF(Y64="","Make first contact",""),IF(TODAY()&gt;AA64,"OVERDUE follow-up",IF(TODAY()=AA64,"Follow up today","")))))))))</f>
        <v/>
      </c>
    </row>
    <row r="65" customFormat="false" ht="15" hidden="false" customHeight="false" outlineLevel="0" collapsed="false">
      <c r="A65" s="17"/>
      <c r="B65" s="40"/>
      <c r="C65" s="17"/>
      <c r="D65" s="17"/>
      <c r="E65" s="17"/>
      <c r="F65" s="17"/>
      <c r="G65" s="17"/>
      <c r="H65" s="42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44" t="str">
        <f aca="false">IF(OR(D65="",COUNTA(N65:S65)=0),"",SUMIFS(Settings!$AA$2:$AA$21,Settings!$Y$2:$Y$21,"Budget AED 5k+/mo?",Settings!$Z$2:$Z$21,N65)+SUMIFS(Settings!$AA$2:$AA$21,Settings!$Y$2:$Y$21,"Decision-maker?",Settings!$Z$2:$Z$21,O65)+SUMIFS(Settings!$AA$2:$AA$21,Settings!$Y$2:$Y$21,"Someone on camera?",Settings!$Z$2:$Z$21,P65)+SUMIFS(Settings!$AA$2:$AA$21,Settings!$Y$2:$Y$21,"OK with 3-month term?",Settings!$Z$2:$Z$21,Q65)+SUMIFS(Settings!$AA$2:$AA$21,Settings!$Y$2:$Y$21,"Start timeline",Settings!$Z$2:$Z$21,R65)+SUMIFS(Settings!$AA$2:$AA$21,Settings!$Y$2:$Y$21,"Social media gap",Settings!$Z$2:$Z$21,S65)+IF(E65="",0,IF(COUNTIF(Settings!$AC$2:$AC$6,E65)&gt;0,Settings!$AA$20,Settings!$AA$21)))</f>
        <v/>
      </c>
      <c r="U65" s="44" t="str">
        <f aca="false">IF(D65="","",IF(COUNTA(N65:S65)=0,"Not scored",IF(COUNTA(N65:S65)&lt;6,"Partly scored ("&amp;COUNTA(N65:S65)&amp;"/6)",IF(T65&gt;=Settings!$S$8,"Hot",IF(T65&gt;=Settings!$S$9,"Warm","Cold")))))</f>
        <v/>
      </c>
      <c r="V65" s="44" t="str">
        <f aca="false">IF(D65="","",IF(AND(N65="No",P65="No"),"🚩 Budget  ·  🚩 No one on camera",IF(N65="No","🚩 Budget under AED 5k",IF(P65="No","🚩 No one on camera",""))))</f>
        <v/>
      </c>
      <c r="W65" s="17"/>
      <c r="X65" s="17"/>
      <c r="Y65" s="40"/>
      <c r="Z65" s="17"/>
      <c r="AA65" s="45" t="str">
        <f aca="false">IF(OR(D65="",Y65="",OR(X65="Contract signed + paid",X65="Closed – No response",X65="Lost"),N(Z65)&gt;=Settings!$S$3),"",Y65+Settings!$S$2)</f>
        <v/>
      </c>
      <c r="AB65" s="40"/>
      <c r="AC65" s="41"/>
      <c r="AD65" s="17"/>
      <c r="AE65" s="17"/>
      <c r="AF65" s="17"/>
      <c r="AG65" s="46" t="str">
        <f aca="true">IF(OR(D65="",B65=""),"",INT(TODAY()-B65))</f>
        <v/>
      </c>
      <c r="AH65" s="44" t="str">
        <f aca="true">IF(D65="","",IF(OR(COUNTIFS(Clients!$C$2:$C$501,D65,Clients!$S$2:$S$501,"Paid")&gt;0,AND(H65&lt;&gt;"",COUNTIFS(Clients!$E$2:$E$501,H65,Clients!$S$2:$S$501,"Paid")&gt;0)),"⚠ Refunded before – no free video",IF(OR(X65="Contract signed + paid",X65="Closed – No response",X65="Lost"),"",IF(X65="","Set a stage",IF(AND(X65="Proposal sent",COUNTA(N65:S65)&lt;6),"Score this lead – proposal sent unscored",IF(N(Z65)&gt;=Settings!$S$3,"Close – 4 follow-ups sent",IF(AA65="",IF(Y65="","Make first contact",""),IF(TODAY()&gt;AA65,"OVERDUE follow-up",IF(TODAY()=AA65,"Follow up today","")))))))))</f>
        <v/>
      </c>
    </row>
    <row r="66" customFormat="false" ht="15" hidden="false" customHeight="false" outlineLevel="0" collapsed="false">
      <c r="A66" s="17"/>
      <c r="B66" s="40"/>
      <c r="C66" s="17"/>
      <c r="D66" s="17"/>
      <c r="E66" s="17"/>
      <c r="F66" s="17"/>
      <c r="G66" s="17"/>
      <c r="H66" s="42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44" t="str">
        <f aca="false">IF(OR(D66="",COUNTA(N66:S66)=0),"",SUMIFS(Settings!$AA$2:$AA$21,Settings!$Y$2:$Y$21,"Budget AED 5k+/mo?",Settings!$Z$2:$Z$21,N66)+SUMIFS(Settings!$AA$2:$AA$21,Settings!$Y$2:$Y$21,"Decision-maker?",Settings!$Z$2:$Z$21,O66)+SUMIFS(Settings!$AA$2:$AA$21,Settings!$Y$2:$Y$21,"Someone on camera?",Settings!$Z$2:$Z$21,P66)+SUMIFS(Settings!$AA$2:$AA$21,Settings!$Y$2:$Y$21,"OK with 3-month term?",Settings!$Z$2:$Z$21,Q66)+SUMIFS(Settings!$AA$2:$AA$21,Settings!$Y$2:$Y$21,"Start timeline",Settings!$Z$2:$Z$21,R66)+SUMIFS(Settings!$AA$2:$AA$21,Settings!$Y$2:$Y$21,"Social media gap",Settings!$Z$2:$Z$21,S66)+IF(E66="",0,IF(COUNTIF(Settings!$AC$2:$AC$6,E66)&gt;0,Settings!$AA$20,Settings!$AA$21)))</f>
        <v/>
      </c>
      <c r="U66" s="44" t="str">
        <f aca="false">IF(D66="","",IF(COUNTA(N66:S66)=0,"Not scored",IF(COUNTA(N66:S66)&lt;6,"Partly scored ("&amp;COUNTA(N66:S66)&amp;"/6)",IF(T66&gt;=Settings!$S$8,"Hot",IF(T66&gt;=Settings!$S$9,"Warm","Cold")))))</f>
        <v/>
      </c>
      <c r="V66" s="44" t="str">
        <f aca="false">IF(D66="","",IF(AND(N66="No",P66="No"),"🚩 Budget  ·  🚩 No one on camera",IF(N66="No","🚩 Budget under AED 5k",IF(P66="No","🚩 No one on camera",""))))</f>
        <v/>
      </c>
      <c r="W66" s="17"/>
      <c r="X66" s="17"/>
      <c r="Y66" s="40"/>
      <c r="Z66" s="17"/>
      <c r="AA66" s="45" t="str">
        <f aca="false">IF(OR(D66="",Y66="",OR(X66="Contract signed + paid",X66="Closed – No response",X66="Lost"),N(Z66)&gt;=Settings!$S$3),"",Y66+Settings!$S$2)</f>
        <v/>
      </c>
      <c r="AB66" s="40"/>
      <c r="AC66" s="41"/>
      <c r="AD66" s="17"/>
      <c r="AE66" s="17"/>
      <c r="AF66" s="17"/>
      <c r="AG66" s="46" t="str">
        <f aca="true">IF(OR(D66="",B66=""),"",INT(TODAY()-B66))</f>
        <v/>
      </c>
      <c r="AH66" s="44" t="str">
        <f aca="true">IF(D66="","",IF(OR(COUNTIFS(Clients!$C$2:$C$501,D66,Clients!$S$2:$S$501,"Paid")&gt;0,AND(H66&lt;&gt;"",COUNTIFS(Clients!$E$2:$E$501,H66,Clients!$S$2:$S$501,"Paid")&gt;0)),"⚠ Refunded before – no free video",IF(OR(X66="Contract signed + paid",X66="Closed – No response",X66="Lost"),"",IF(X66="","Set a stage",IF(AND(X66="Proposal sent",COUNTA(N66:S66)&lt;6),"Score this lead – proposal sent unscored",IF(N(Z66)&gt;=Settings!$S$3,"Close – 4 follow-ups sent",IF(AA66="",IF(Y66="","Make first contact",""),IF(TODAY()&gt;AA66,"OVERDUE follow-up",IF(TODAY()=AA66,"Follow up today","")))))))))</f>
        <v/>
      </c>
    </row>
    <row r="67" customFormat="false" ht="15" hidden="false" customHeight="false" outlineLevel="0" collapsed="false">
      <c r="A67" s="17"/>
      <c r="B67" s="40"/>
      <c r="C67" s="17"/>
      <c r="D67" s="17"/>
      <c r="E67" s="17"/>
      <c r="F67" s="17"/>
      <c r="G67" s="17"/>
      <c r="H67" s="42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44" t="str">
        <f aca="false">IF(OR(D67="",COUNTA(N67:S67)=0),"",SUMIFS(Settings!$AA$2:$AA$21,Settings!$Y$2:$Y$21,"Budget AED 5k+/mo?",Settings!$Z$2:$Z$21,N67)+SUMIFS(Settings!$AA$2:$AA$21,Settings!$Y$2:$Y$21,"Decision-maker?",Settings!$Z$2:$Z$21,O67)+SUMIFS(Settings!$AA$2:$AA$21,Settings!$Y$2:$Y$21,"Someone on camera?",Settings!$Z$2:$Z$21,P67)+SUMIFS(Settings!$AA$2:$AA$21,Settings!$Y$2:$Y$21,"OK with 3-month term?",Settings!$Z$2:$Z$21,Q67)+SUMIFS(Settings!$AA$2:$AA$21,Settings!$Y$2:$Y$21,"Start timeline",Settings!$Z$2:$Z$21,R67)+SUMIFS(Settings!$AA$2:$AA$21,Settings!$Y$2:$Y$21,"Social media gap",Settings!$Z$2:$Z$21,S67)+IF(E67="",0,IF(COUNTIF(Settings!$AC$2:$AC$6,E67)&gt;0,Settings!$AA$20,Settings!$AA$21)))</f>
        <v/>
      </c>
      <c r="U67" s="44" t="str">
        <f aca="false">IF(D67="","",IF(COUNTA(N67:S67)=0,"Not scored",IF(COUNTA(N67:S67)&lt;6,"Partly scored ("&amp;COUNTA(N67:S67)&amp;"/6)",IF(T67&gt;=Settings!$S$8,"Hot",IF(T67&gt;=Settings!$S$9,"Warm","Cold")))))</f>
        <v/>
      </c>
      <c r="V67" s="44" t="str">
        <f aca="false">IF(D67="","",IF(AND(N67="No",P67="No"),"🚩 Budget  ·  🚩 No one on camera",IF(N67="No","🚩 Budget under AED 5k",IF(P67="No","🚩 No one on camera",""))))</f>
        <v/>
      </c>
      <c r="W67" s="17"/>
      <c r="X67" s="17"/>
      <c r="Y67" s="40"/>
      <c r="Z67" s="17"/>
      <c r="AA67" s="45" t="str">
        <f aca="false">IF(OR(D67="",Y67="",OR(X67="Contract signed + paid",X67="Closed – No response",X67="Lost"),N(Z67)&gt;=Settings!$S$3),"",Y67+Settings!$S$2)</f>
        <v/>
      </c>
      <c r="AB67" s="40"/>
      <c r="AC67" s="41"/>
      <c r="AD67" s="17"/>
      <c r="AE67" s="17"/>
      <c r="AF67" s="17"/>
      <c r="AG67" s="46" t="str">
        <f aca="true">IF(OR(D67="",B67=""),"",INT(TODAY()-B67))</f>
        <v/>
      </c>
      <c r="AH67" s="44" t="str">
        <f aca="true">IF(D67="","",IF(OR(COUNTIFS(Clients!$C$2:$C$501,D67,Clients!$S$2:$S$501,"Paid")&gt;0,AND(H67&lt;&gt;"",COUNTIFS(Clients!$E$2:$E$501,H67,Clients!$S$2:$S$501,"Paid")&gt;0)),"⚠ Refunded before – no free video",IF(OR(X67="Contract signed + paid",X67="Closed – No response",X67="Lost"),"",IF(X67="","Set a stage",IF(AND(X67="Proposal sent",COUNTA(N67:S67)&lt;6),"Score this lead – proposal sent unscored",IF(N(Z67)&gt;=Settings!$S$3,"Close – 4 follow-ups sent",IF(AA67="",IF(Y67="","Make first contact",""),IF(TODAY()&gt;AA67,"OVERDUE follow-up",IF(TODAY()=AA67,"Follow up today","")))))))))</f>
        <v/>
      </c>
    </row>
    <row r="68" customFormat="false" ht="15" hidden="false" customHeight="false" outlineLevel="0" collapsed="false">
      <c r="A68" s="17"/>
      <c r="B68" s="40"/>
      <c r="C68" s="17"/>
      <c r="D68" s="17"/>
      <c r="E68" s="17"/>
      <c r="F68" s="17"/>
      <c r="G68" s="17"/>
      <c r="H68" s="42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44" t="str">
        <f aca="false">IF(OR(D68="",COUNTA(N68:S68)=0),"",SUMIFS(Settings!$AA$2:$AA$21,Settings!$Y$2:$Y$21,"Budget AED 5k+/mo?",Settings!$Z$2:$Z$21,N68)+SUMIFS(Settings!$AA$2:$AA$21,Settings!$Y$2:$Y$21,"Decision-maker?",Settings!$Z$2:$Z$21,O68)+SUMIFS(Settings!$AA$2:$AA$21,Settings!$Y$2:$Y$21,"Someone on camera?",Settings!$Z$2:$Z$21,P68)+SUMIFS(Settings!$AA$2:$AA$21,Settings!$Y$2:$Y$21,"OK with 3-month term?",Settings!$Z$2:$Z$21,Q68)+SUMIFS(Settings!$AA$2:$AA$21,Settings!$Y$2:$Y$21,"Start timeline",Settings!$Z$2:$Z$21,R68)+SUMIFS(Settings!$AA$2:$AA$21,Settings!$Y$2:$Y$21,"Social media gap",Settings!$Z$2:$Z$21,S68)+IF(E68="",0,IF(COUNTIF(Settings!$AC$2:$AC$6,E68)&gt;0,Settings!$AA$20,Settings!$AA$21)))</f>
        <v/>
      </c>
      <c r="U68" s="44" t="str">
        <f aca="false">IF(D68="","",IF(COUNTA(N68:S68)=0,"Not scored",IF(COUNTA(N68:S68)&lt;6,"Partly scored ("&amp;COUNTA(N68:S68)&amp;"/6)",IF(T68&gt;=Settings!$S$8,"Hot",IF(T68&gt;=Settings!$S$9,"Warm","Cold")))))</f>
        <v/>
      </c>
      <c r="V68" s="44" t="str">
        <f aca="false">IF(D68="","",IF(AND(N68="No",P68="No"),"🚩 Budget  ·  🚩 No one on camera",IF(N68="No","🚩 Budget under AED 5k",IF(P68="No","🚩 No one on camera",""))))</f>
        <v/>
      </c>
      <c r="W68" s="17"/>
      <c r="X68" s="17"/>
      <c r="Y68" s="40"/>
      <c r="Z68" s="17"/>
      <c r="AA68" s="45" t="str">
        <f aca="false">IF(OR(D68="",Y68="",OR(X68="Contract signed + paid",X68="Closed – No response",X68="Lost"),N(Z68)&gt;=Settings!$S$3),"",Y68+Settings!$S$2)</f>
        <v/>
      </c>
      <c r="AB68" s="40"/>
      <c r="AC68" s="41"/>
      <c r="AD68" s="17"/>
      <c r="AE68" s="17"/>
      <c r="AF68" s="17"/>
      <c r="AG68" s="46" t="str">
        <f aca="true">IF(OR(D68="",B68=""),"",INT(TODAY()-B68))</f>
        <v/>
      </c>
      <c r="AH68" s="44" t="str">
        <f aca="true">IF(D68="","",IF(OR(COUNTIFS(Clients!$C$2:$C$501,D68,Clients!$S$2:$S$501,"Paid")&gt;0,AND(H68&lt;&gt;"",COUNTIFS(Clients!$E$2:$E$501,H68,Clients!$S$2:$S$501,"Paid")&gt;0)),"⚠ Refunded before – no free video",IF(OR(X68="Contract signed + paid",X68="Closed – No response",X68="Lost"),"",IF(X68="","Set a stage",IF(AND(X68="Proposal sent",COUNTA(N68:S68)&lt;6),"Score this lead – proposal sent unscored",IF(N(Z68)&gt;=Settings!$S$3,"Close – 4 follow-ups sent",IF(AA68="",IF(Y68="","Make first contact",""),IF(TODAY()&gt;AA68,"OVERDUE follow-up",IF(TODAY()=AA68,"Follow up today","")))))))))</f>
        <v/>
      </c>
    </row>
    <row r="69" customFormat="false" ht="15" hidden="false" customHeight="false" outlineLevel="0" collapsed="false">
      <c r="A69" s="17"/>
      <c r="B69" s="40"/>
      <c r="C69" s="17"/>
      <c r="D69" s="17"/>
      <c r="E69" s="17"/>
      <c r="F69" s="17"/>
      <c r="G69" s="17"/>
      <c r="H69" s="42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44" t="str">
        <f aca="false">IF(OR(D69="",COUNTA(N69:S69)=0),"",SUMIFS(Settings!$AA$2:$AA$21,Settings!$Y$2:$Y$21,"Budget AED 5k+/mo?",Settings!$Z$2:$Z$21,N69)+SUMIFS(Settings!$AA$2:$AA$21,Settings!$Y$2:$Y$21,"Decision-maker?",Settings!$Z$2:$Z$21,O69)+SUMIFS(Settings!$AA$2:$AA$21,Settings!$Y$2:$Y$21,"Someone on camera?",Settings!$Z$2:$Z$21,P69)+SUMIFS(Settings!$AA$2:$AA$21,Settings!$Y$2:$Y$21,"OK with 3-month term?",Settings!$Z$2:$Z$21,Q69)+SUMIFS(Settings!$AA$2:$AA$21,Settings!$Y$2:$Y$21,"Start timeline",Settings!$Z$2:$Z$21,R69)+SUMIFS(Settings!$AA$2:$AA$21,Settings!$Y$2:$Y$21,"Social media gap",Settings!$Z$2:$Z$21,S69)+IF(E69="",0,IF(COUNTIF(Settings!$AC$2:$AC$6,E69)&gt;0,Settings!$AA$20,Settings!$AA$21)))</f>
        <v/>
      </c>
      <c r="U69" s="44" t="str">
        <f aca="false">IF(D69="","",IF(COUNTA(N69:S69)=0,"Not scored",IF(COUNTA(N69:S69)&lt;6,"Partly scored ("&amp;COUNTA(N69:S69)&amp;"/6)",IF(T69&gt;=Settings!$S$8,"Hot",IF(T69&gt;=Settings!$S$9,"Warm","Cold")))))</f>
        <v/>
      </c>
      <c r="V69" s="44" t="str">
        <f aca="false">IF(D69="","",IF(AND(N69="No",P69="No"),"🚩 Budget  ·  🚩 No one on camera",IF(N69="No","🚩 Budget under AED 5k",IF(P69="No","🚩 No one on camera",""))))</f>
        <v/>
      </c>
      <c r="W69" s="17"/>
      <c r="X69" s="17"/>
      <c r="Y69" s="40"/>
      <c r="Z69" s="17"/>
      <c r="AA69" s="45" t="str">
        <f aca="false">IF(OR(D69="",Y69="",OR(X69="Contract signed + paid",X69="Closed – No response",X69="Lost"),N(Z69)&gt;=Settings!$S$3),"",Y69+Settings!$S$2)</f>
        <v/>
      </c>
      <c r="AB69" s="40"/>
      <c r="AC69" s="41"/>
      <c r="AD69" s="17"/>
      <c r="AE69" s="17"/>
      <c r="AF69" s="17"/>
      <c r="AG69" s="46" t="str">
        <f aca="true">IF(OR(D69="",B69=""),"",INT(TODAY()-B69))</f>
        <v/>
      </c>
      <c r="AH69" s="44" t="str">
        <f aca="true">IF(D69="","",IF(OR(COUNTIFS(Clients!$C$2:$C$501,D69,Clients!$S$2:$S$501,"Paid")&gt;0,AND(H69&lt;&gt;"",COUNTIFS(Clients!$E$2:$E$501,H69,Clients!$S$2:$S$501,"Paid")&gt;0)),"⚠ Refunded before – no free video",IF(OR(X69="Contract signed + paid",X69="Closed – No response",X69="Lost"),"",IF(X69="","Set a stage",IF(AND(X69="Proposal sent",COUNTA(N69:S69)&lt;6),"Score this lead – proposal sent unscored",IF(N(Z69)&gt;=Settings!$S$3,"Close – 4 follow-ups sent",IF(AA69="",IF(Y69="","Make first contact",""),IF(TODAY()&gt;AA69,"OVERDUE follow-up",IF(TODAY()=AA69,"Follow up today","")))))))))</f>
        <v/>
      </c>
    </row>
    <row r="70" customFormat="false" ht="15" hidden="false" customHeight="false" outlineLevel="0" collapsed="false">
      <c r="A70" s="17"/>
      <c r="B70" s="40"/>
      <c r="C70" s="17"/>
      <c r="D70" s="17"/>
      <c r="E70" s="17"/>
      <c r="F70" s="17"/>
      <c r="G70" s="17"/>
      <c r="H70" s="42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44" t="str">
        <f aca="false">IF(OR(D70="",COUNTA(N70:S70)=0),"",SUMIFS(Settings!$AA$2:$AA$21,Settings!$Y$2:$Y$21,"Budget AED 5k+/mo?",Settings!$Z$2:$Z$21,N70)+SUMIFS(Settings!$AA$2:$AA$21,Settings!$Y$2:$Y$21,"Decision-maker?",Settings!$Z$2:$Z$21,O70)+SUMIFS(Settings!$AA$2:$AA$21,Settings!$Y$2:$Y$21,"Someone on camera?",Settings!$Z$2:$Z$21,P70)+SUMIFS(Settings!$AA$2:$AA$21,Settings!$Y$2:$Y$21,"OK with 3-month term?",Settings!$Z$2:$Z$21,Q70)+SUMIFS(Settings!$AA$2:$AA$21,Settings!$Y$2:$Y$21,"Start timeline",Settings!$Z$2:$Z$21,R70)+SUMIFS(Settings!$AA$2:$AA$21,Settings!$Y$2:$Y$21,"Social media gap",Settings!$Z$2:$Z$21,S70)+IF(E70="",0,IF(COUNTIF(Settings!$AC$2:$AC$6,E70)&gt;0,Settings!$AA$20,Settings!$AA$21)))</f>
        <v/>
      </c>
      <c r="U70" s="44" t="str">
        <f aca="false">IF(D70="","",IF(COUNTA(N70:S70)=0,"Not scored",IF(COUNTA(N70:S70)&lt;6,"Partly scored ("&amp;COUNTA(N70:S70)&amp;"/6)",IF(T70&gt;=Settings!$S$8,"Hot",IF(T70&gt;=Settings!$S$9,"Warm","Cold")))))</f>
        <v/>
      </c>
      <c r="V70" s="44" t="str">
        <f aca="false">IF(D70="","",IF(AND(N70="No",P70="No"),"🚩 Budget  ·  🚩 No one on camera",IF(N70="No","🚩 Budget under AED 5k",IF(P70="No","🚩 No one on camera",""))))</f>
        <v/>
      </c>
      <c r="W70" s="17"/>
      <c r="X70" s="17"/>
      <c r="Y70" s="40"/>
      <c r="Z70" s="17"/>
      <c r="AA70" s="45" t="str">
        <f aca="false">IF(OR(D70="",Y70="",OR(X70="Contract signed + paid",X70="Closed – No response",X70="Lost"),N(Z70)&gt;=Settings!$S$3),"",Y70+Settings!$S$2)</f>
        <v/>
      </c>
      <c r="AB70" s="40"/>
      <c r="AC70" s="41"/>
      <c r="AD70" s="17"/>
      <c r="AE70" s="17"/>
      <c r="AF70" s="17"/>
      <c r="AG70" s="46" t="str">
        <f aca="true">IF(OR(D70="",B70=""),"",INT(TODAY()-B70))</f>
        <v/>
      </c>
      <c r="AH70" s="44" t="str">
        <f aca="true">IF(D70="","",IF(OR(COUNTIFS(Clients!$C$2:$C$501,D70,Clients!$S$2:$S$501,"Paid")&gt;0,AND(H70&lt;&gt;"",COUNTIFS(Clients!$E$2:$E$501,H70,Clients!$S$2:$S$501,"Paid")&gt;0)),"⚠ Refunded before – no free video",IF(OR(X70="Contract signed + paid",X70="Closed – No response",X70="Lost"),"",IF(X70="","Set a stage",IF(AND(X70="Proposal sent",COUNTA(N70:S70)&lt;6),"Score this lead – proposal sent unscored",IF(N(Z70)&gt;=Settings!$S$3,"Close – 4 follow-ups sent",IF(AA70="",IF(Y70="","Make first contact",""),IF(TODAY()&gt;AA70,"OVERDUE follow-up",IF(TODAY()=AA70,"Follow up today","")))))))))</f>
        <v/>
      </c>
    </row>
    <row r="71" customFormat="false" ht="15" hidden="false" customHeight="false" outlineLevel="0" collapsed="false">
      <c r="A71" s="17"/>
      <c r="B71" s="40"/>
      <c r="C71" s="17"/>
      <c r="D71" s="17"/>
      <c r="E71" s="17"/>
      <c r="F71" s="17"/>
      <c r="G71" s="17"/>
      <c r="H71" s="42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44" t="str">
        <f aca="false">IF(OR(D71="",COUNTA(N71:S71)=0),"",SUMIFS(Settings!$AA$2:$AA$21,Settings!$Y$2:$Y$21,"Budget AED 5k+/mo?",Settings!$Z$2:$Z$21,N71)+SUMIFS(Settings!$AA$2:$AA$21,Settings!$Y$2:$Y$21,"Decision-maker?",Settings!$Z$2:$Z$21,O71)+SUMIFS(Settings!$AA$2:$AA$21,Settings!$Y$2:$Y$21,"Someone on camera?",Settings!$Z$2:$Z$21,P71)+SUMIFS(Settings!$AA$2:$AA$21,Settings!$Y$2:$Y$21,"OK with 3-month term?",Settings!$Z$2:$Z$21,Q71)+SUMIFS(Settings!$AA$2:$AA$21,Settings!$Y$2:$Y$21,"Start timeline",Settings!$Z$2:$Z$21,R71)+SUMIFS(Settings!$AA$2:$AA$21,Settings!$Y$2:$Y$21,"Social media gap",Settings!$Z$2:$Z$21,S71)+IF(E71="",0,IF(COUNTIF(Settings!$AC$2:$AC$6,E71)&gt;0,Settings!$AA$20,Settings!$AA$21)))</f>
        <v/>
      </c>
      <c r="U71" s="44" t="str">
        <f aca="false">IF(D71="","",IF(COUNTA(N71:S71)=0,"Not scored",IF(COUNTA(N71:S71)&lt;6,"Partly scored ("&amp;COUNTA(N71:S71)&amp;"/6)",IF(T71&gt;=Settings!$S$8,"Hot",IF(T71&gt;=Settings!$S$9,"Warm","Cold")))))</f>
        <v/>
      </c>
      <c r="V71" s="44" t="str">
        <f aca="false">IF(D71="","",IF(AND(N71="No",P71="No"),"🚩 Budget  ·  🚩 No one on camera",IF(N71="No","🚩 Budget under AED 5k",IF(P71="No","🚩 No one on camera",""))))</f>
        <v/>
      </c>
      <c r="W71" s="17"/>
      <c r="X71" s="17"/>
      <c r="Y71" s="40"/>
      <c r="Z71" s="17"/>
      <c r="AA71" s="45" t="str">
        <f aca="false">IF(OR(D71="",Y71="",OR(X71="Contract signed + paid",X71="Closed – No response",X71="Lost"),N(Z71)&gt;=Settings!$S$3),"",Y71+Settings!$S$2)</f>
        <v/>
      </c>
      <c r="AB71" s="40"/>
      <c r="AC71" s="41"/>
      <c r="AD71" s="17"/>
      <c r="AE71" s="17"/>
      <c r="AF71" s="17"/>
      <c r="AG71" s="46" t="str">
        <f aca="true">IF(OR(D71="",B71=""),"",INT(TODAY()-B71))</f>
        <v/>
      </c>
      <c r="AH71" s="44" t="str">
        <f aca="true">IF(D71="","",IF(OR(COUNTIFS(Clients!$C$2:$C$501,D71,Clients!$S$2:$S$501,"Paid")&gt;0,AND(H71&lt;&gt;"",COUNTIFS(Clients!$E$2:$E$501,H71,Clients!$S$2:$S$501,"Paid")&gt;0)),"⚠ Refunded before – no free video",IF(OR(X71="Contract signed + paid",X71="Closed – No response",X71="Lost"),"",IF(X71="","Set a stage",IF(AND(X71="Proposal sent",COUNTA(N71:S71)&lt;6),"Score this lead – proposal sent unscored",IF(N(Z71)&gt;=Settings!$S$3,"Close – 4 follow-ups sent",IF(AA71="",IF(Y71="","Make first contact",""),IF(TODAY()&gt;AA71,"OVERDUE follow-up",IF(TODAY()=AA71,"Follow up today","")))))))))</f>
        <v/>
      </c>
    </row>
    <row r="72" customFormat="false" ht="15" hidden="false" customHeight="false" outlineLevel="0" collapsed="false">
      <c r="A72" s="17"/>
      <c r="B72" s="40"/>
      <c r="C72" s="17"/>
      <c r="D72" s="17"/>
      <c r="E72" s="17"/>
      <c r="F72" s="17"/>
      <c r="G72" s="17"/>
      <c r="H72" s="42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44" t="str">
        <f aca="false">IF(OR(D72="",COUNTA(N72:S72)=0),"",SUMIFS(Settings!$AA$2:$AA$21,Settings!$Y$2:$Y$21,"Budget AED 5k+/mo?",Settings!$Z$2:$Z$21,N72)+SUMIFS(Settings!$AA$2:$AA$21,Settings!$Y$2:$Y$21,"Decision-maker?",Settings!$Z$2:$Z$21,O72)+SUMIFS(Settings!$AA$2:$AA$21,Settings!$Y$2:$Y$21,"Someone on camera?",Settings!$Z$2:$Z$21,P72)+SUMIFS(Settings!$AA$2:$AA$21,Settings!$Y$2:$Y$21,"OK with 3-month term?",Settings!$Z$2:$Z$21,Q72)+SUMIFS(Settings!$AA$2:$AA$21,Settings!$Y$2:$Y$21,"Start timeline",Settings!$Z$2:$Z$21,R72)+SUMIFS(Settings!$AA$2:$AA$21,Settings!$Y$2:$Y$21,"Social media gap",Settings!$Z$2:$Z$21,S72)+IF(E72="",0,IF(COUNTIF(Settings!$AC$2:$AC$6,E72)&gt;0,Settings!$AA$20,Settings!$AA$21)))</f>
        <v/>
      </c>
      <c r="U72" s="44" t="str">
        <f aca="false">IF(D72="","",IF(COUNTA(N72:S72)=0,"Not scored",IF(COUNTA(N72:S72)&lt;6,"Partly scored ("&amp;COUNTA(N72:S72)&amp;"/6)",IF(T72&gt;=Settings!$S$8,"Hot",IF(T72&gt;=Settings!$S$9,"Warm","Cold")))))</f>
        <v/>
      </c>
      <c r="V72" s="44" t="str">
        <f aca="false">IF(D72="","",IF(AND(N72="No",P72="No"),"🚩 Budget  ·  🚩 No one on camera",IF(N72="No","🚩 Budget under AED 5k",IF(P72="No","🚩 No one on camera",""))))</f>
        <v/>
      </c>
      <c r="W72" s="17"/>
      <c r="X72" s="17"/>
      <c r="Y72" s="40"/>
      <c r="Z72" s="17"/>
      <c r="AA72" s="45" t="str">
        <f aca="false">IF(OR(D72="",Y72="",OR(X72="Contract signed + paid",X72="Closed – No response",X72="Lost"),N(Z72)&gt;=Settings!$S$3),"",Y72+Settings!$S$2)</f>
        <v/>
      </c>
      <c r="AB72" s="40"/>
      <c r="AC72" s="41"/>
      <c r="AD72" s="17"/>
      <c r="AE72" s="17"/>
      <c r="AF72" s="17"/>
      <c r="AG72" s="46" t="str">
        <f aca="true">IF(OR(D72="",B72=""),"",INT(TODAY()-B72))</f>
        <v/>
      </c>
      <c r="AH72" s="44" t="str">
        <f aca="true">IF(D72="","",IF(OR(COUNTIFS(Clients!$C$2:$C$501,D72,Clients!$S$2:$S$501,"Paid")&gt;0,AND(H72&lt;&gt;"",COUNTIFS(Clients!$E$2:$E$501,H72,Clients!$S$2:$S$501,"Paid")&gt;0)),"⚠ Refunded before – no free video",IF(OR(X72="Contract signed + paid",X72="Closed – No response",X72="Lost"),"",IF(X72="","Set a stage",IF(AND(X72="Proposal sent",COUNTA(N72:S72)&lt;6),"Score this lead – proposal sent unscored",IF(N(Z72)&gt;=Settings!$S$3,"Close – 4 follow-ups sent",IF(AA72="",IF(Y72="","Make first contact",""),IF(TODAY()&gt;AA72,"OVERDUE follow-up",IF(TODAY()=AA72,"Follow up today","")))))))))</f>
        <v/>
      </c>
    </row>
    <row r="73" customFormat="false" ht="15" hidden="false" customHeight="false" outlineLevel="0" collapsed="false">
      <c r="A73" s="17"/>
      <c r="B73" s="40"/>
      <c r="C73" s="17"/>
      <c r="D73" s="17"/>
      <c r="E73" s="17"/>
      <c r="F73" s="17"/>
      <c r="G73" s="17"/>
      <c r="H73" s="42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44" t="str">
        <f aca="false">IF(OR(D73="",COUNTA(N73:S73)=0),"",SUMIFS(Settings!$AA$2:$AA$21,Settings!$Y$2:$Y$21,"Budget AED 5k+/mo?",Settings!$Z$2:$Z$21,N73)+SUMIFS(Settings!$AA$2:$AA$21,Settings!$Y$2:$Y$21,"Decision-maker?",Settings!$Z$2:$Z$21,O73)+SUMIFS(Settings!$AA$2:$AA$21,Settings!$Y$2:$Y$21,"Someone on camera?",Settings!$Z$2:$Z$21,P73)+SUMIFS(Settings!$AA$2:$AA$21,Settings!$Y$2:$Y$21,"OK with 3-month term?",Settings!$Z$2:$Z$21,Q73)+SUMIFS(Settings!$AA$2:$AA$21,Settings!$Y$2:$Y$21,"Start timeline",Settings!$Z$2:$Z$21,R73)+SUMIFS(Settings!$AA$2:$AA$21,Settings!$Y$2:$Y$21,"Social media gap",Settings!$Z$2:$Z$21,S73)+IF(E73="",0,IF(COUNTIF(Settings!$AC$2:$AC$6,E73)&gt;0,Settings!$AA$20,Settings!$AA$21)))</f>
        <v/>
      </c>
      <c r="U73" s="44" t="str">
        <f aca="false">IF(D73="","",IF(COUNTA(N73:S73)=0,"Not scored",IF(COUNTA(N73:S73)&lt;6,"Partly scored ("&amp;COUNTA(N73:S73)&amp;"/6)",IF(T73&gt;=Settings!$S$8,"Hot",IF(T73&gt;=Settings!$S$9,"Warm","Cold")))))</f>
        <v/>
      </c>
      <c r="V73" s="44" t="str">
        <f aca="false">IF(D73="","",IF(AND(N73="No",P73="No"),"🚩 Budget  ·  🚩 No one on camera",IF(N73="No","🚩 Budget under AED 5k",IF(P73="No","🚩 No one on camera",""))))</f>
        <v/>
      </c>
      <c r="W73" s="17"/>
      <c r="X73" s="17"/>
      <c r="Y73" s="40"/>
      <c r="Z73" s="17"/>
      <c r="AA73" s="45" t="str">
        <f aca="false">IF(OR(D73="",Y73="",OR(X73="Contract signed + paid",X73="Closed – No response",X73="Lost"),N(Z73)&gt;=Settings!$S$3),"",Y73+Settings!$S$2)</f>
        <v/>
      </c>
      <c r="AB73" s="40"/>
      <c r="AC73" s="41"/>
      <c r="AD73" s="17"/>
      <c r="AE73" s="17"/>
      <c r="AF73" s="17"/>
      <c r="AG73" s="46" t="str">
        <f aca="true">IF(OR(D73="",B73=""),"",INT(TODAY()-B73))</f>
        <v/>
      </c>
      <c r="AH73" s="44" t="str">
        <f aca="true">IF(D73="","",IF(OR(COUNTIFS(Clients!$C$2:$C$501,D73,Clients!$S$2:$S$501,"Paid")&gt;0,AND(H73&lt;&gt;"",COUNTIFS(Clients!$E$2:$E$501,H73,Clients!$S$2:$S$501,"Paid")&gt;0)),"⚠ Refunded before – no free video",IF(OR(X73="Contract signed + paid",X73="Closed – No response",X73="Lost"),"",IF(X73="","Set a stage",IF(AND(X73="Proposal sent",COUNTA(N73:S73)&lt;6),"Score this lead – proposal sent unscored",IF(N(Z73)&gt;=Settings!$S$3,"Close – 4 follow-ups sent",IF(AA73="",IF(Y73="","Make first contact",""),IF(TODAY()&gt;AA73,"OVERDUE follow-up",IF(TODAY()=AA73,"Follow up today","")))))))))</f>
        <v/>
      </c>
    </row>
    <row r="74" customFormat="false" ht="15" hidden="false" customHeight="false" outlineLevel="0" collapsed="false">
      <c r="A74" s="17"/>
      <c r="B74" s="40"/>
      <c r="C74" s="17"/>
      <c r="D74" s="17"/>
      <c r="E74" s="17"/>
      <c r="F74" s="17"/>
      <c r="G74" s="17"/>
      <c r="H74" s="42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44" t="str">
        <f aca="false">IF(OR(D74="",COUNTA(N74:S74)=0),"",SUMIFS(Settings!$AA$2:$AA$21,Settings!$Y$2:$Y$21,"Budget AED 5k+/mo?",Settings!$Z$2:$Z$21,N74)+SUMIFS(Settings!$AA$2:$AA$21,Settings!$Y$2:$Y$21,"Decision-maker?",Settings!$Z$2:$Z$21,O74)+SUMIFS(Settings!$AA$2:$AA$21,Settings!$Y$2:$Y$21,"Someone on camera?",Settings!$Z$2:$Z$21,P74)+SUMIFS(Settings!$AA$2:$AA$21,Settings!$Y$2:$Y$21,"OK with 3-month term?",Settings!$Z$2:$Z$21,Q74)+SUMIFS(Settings!$AA$2:$AA$21,Settings!$Y$2:$Y$21,"Start timeline",Settings!$Z$2:$Z$21,R74)+SUMIFS(Settings!$AA$2:$AA$21,Settings!$Y$2:$Y$21,"Social media gap",Settings!$Z$2:$Z$21,S74)+IF(E74="",0,IF(COUNTIF(Settings!$AC$2:$AC$6,E74)&gt;0,Settings!$AA$20,Settings!$AA$21)))</f>
        <v/>
      </c>
      <c r="U74" s="44" t="str">
        <f aca="false">IF(D74="","",IF(COUNTA(N74:S74)=0,"Not scored",IF(COUNTA(N74:S74)&lt;6,"Partly scored ("&amp;COUNTA(N74:S74)&amp;"/6)",IF(T74&gt;=Settings!$S$8,"Hot",IF(T74&gt;=Settings!$S$9,"Warm","Cold")))))</f>
        <v/>
      </c>
      <c r="V74" s="44" t="str">
        <f aca="false">IF(D74="","",IF(AND(N74="No",P74="No"),"🚩 Budget  ·  🚩 No one on camera",IF(N74="No","🚩 Budget under AED 5k",IF(P74="No","🚩 No one on camera",""))))</f>
        <v/>
      </c>
      <c r="W74" s="17"/>
      <c r="X74" s="17"/>
      <c r="Y74" s="40"/>
      <c r="Z74" s="17"/>
      <c r="AA74" s="45" t="str">
        <f aca="false">IF(OR(D74="",Y74="",OR(X74="Contract signed + paid",X74="Closed – No response",X74="Lost"),N(Z74)&gt;=Settings!$S$3),"",Y74+Settings!$S$2)</f>
        <v/>
      </c>
      <c r="AB74" s="40"/>
      <c r="AC74" s="41"/>
      <c r="AD74" s="17"/>
      <c r="AE74" s="17"/>
      <c r="AF74" s="17"/>
      <c r="AG74" s="46" t="str">
        <f aca="true">IF(OR(D74="",B74=""),"",INT(TODAY()-B74))</f>
        <v/>
      </c>
      <c r="AH74" s="44" t="str">
        <f aca="true">IF(D74="","",IF(OR(COUNTIFS(Clients!$C$2:$C$501,D74,Clients!$S$2:$S$501,"Paid")&gt;0,AND(H74&lt;&gt;"",COUNTIFS(Clients!$E$2:$E$501,H74,Clients!$S$2:$S$501,"Paid")&gt;0)),"⚠ Refunded before – no free video",IF(OR(X74="Contract signed + paid",X74="Closed – No response",X74="Lost"),"",IF(X74="","Set a stage",IF(AND(X74="Proposal sent",COUNTA(N74:S74)&lt;6),"Score this lead – proposal sent unscored",IF(N(Z74)&gt;=Settings!$S$3,"Close – 4 follow-ups sent",IF(AA74="",IF(Y74="","Make first contact",""),IF(TODAY()&gt;AA74,"OVERDUE follow-up",IF(TODAY()=AA74,"Follow up today","")))))))))</f>
        <v/>
      </c>
    </row>
    <row r="75" customFormat="false" ht="15" hidden="false" customHeight="false" outlineLevel="0" collapsed="false">
      <c r="A75" s="17"/>
      <c r="B75" s="40"/>
      <c r="C75" s="17"/>
      <c r="D75" s="17"/>
      <c r="E75" s="17"/>
      <c r="F75" s="17"/>
      <c r="G75" s="17"/>
      <c r="H75" s="42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44" t="str">
        <f aca="false">IF(OR(D75="",COUNTA(N75:S75)=0),"",SUMIFS(Settings!$AA$2:$AA$21,Settings!$Y$2:$Y$21,"Budget AED 5k+/mo?",Settings!$Z$2:$Z$21,N75)+SUMIFS(Settings!$AA$2:$AA$21,Settings!$Y$2:$Y$21,"Decision-maker?",Settings!$Z$2:$Z$21,O75)+SUMIFS(Settings!$AA$2:$AA$21,Settings!$Y$2:$Y$21,"Someone on camera?",Settings!$Z$2:$Z$21,P75)+SUMIFS(Settings!$AA$2:$AA$21,Settings!$Y$2:$Y$21,"OK with 3-month term?",Settings!$Z$2:$Z$21,Q75)+SUMIFS(Settings!$AA$2:$AA$21,Settings!$Y$2:$Y$21,"Start timeline",Settings!$Z$2:$Z$21,R75)+SUMIFS(Settings!$AA$2:$AA$21,Settings!$Y$2:$Y$21,"Social media gap",Settings!$Z$2:$Z$21,S75)+IF(E75="",0,IF(COUNTIF(Settings!$AC$2:$AC$6,E75)&gt;0,Settings!$AA$20,Settings!$AA$21)))</f>
        <v/>
      </c>
      <c r="U75" s="44" t="str">
        <f aca="false">IF(D75="","",IF(COUNTA(N75:S75)=0,"Not scored",IF(COUNTA(N75:S75)&lt;6,"Partly scored ("&amp;COUNTA(N75:S75)&amp;"/6)",IF(T75&gt;=Settings!$S$8,"Hot",IF(T75&gt;=Settings!$S$9,"Warm","Cold")))))</f>
        <v/>
      </c>
      <c r="V75" s="44" t="str">
        <f aca="false">IF(D75="","",IF(AND(N75="No",P75="No"),"🚩 Budget  ·  🚩 No one on camera",IF(N75="No","🚩 Budget under AED 5k",IF(P75="No","🚩 No one on camera",""))))</f>
        <v/>
      </c>
      <c r="W75" s="17"/>
      <c r="X75" s="17"/>
      <c r="Y75" s="40"/>
      <c r="Z75" s="17"/>
      <c r="AA75" s="45" t="str">
        <f aca="false">IF(OR(D75="",Y75="",OR(X75="Contract signed + paid",X75="Closed – No response",X75="Lost"),N(Z75)&gt;=Settings!$S$3),"",Y75+Settings!$S$2)</f>
        <v/>
      </c>
      <c r="AB75" s="40"/>
      <c r="AC75" s="41"/>
      <c r="AD75" s="17"/>
      <c r="AE75" s="17"/>
      <c r="AF75" s="17"/>
      <c r="AG75" s="46" t="str">
        <f aca="true">IF(OR(D75="",B75=""),"",INT(TODAY()-B75))</f>
        <v/>
      </c>
      <c r="AH75" s="44" t="str">
        <f aca="true">IF(D75="","",IF(OR(COUNTIFS(Clients!$C$2:$C$501,D75,Clients!$S$2:$S$501,"Paid")&gt;0,AND(H75&lt;&gt;"",COUNTIFS(Clients!$E$2:$E$501,H75,Clients!$S$2:$S$501,"Paid")&gt;0)),"⚠ Refunded before – no free video",IF(OR(X75="Contract signed + paid",X75="Closed – No response",X75="Lost"),"",IF(X75="","Set a stage",IF(AND(X75="Proposal sent",COUNTA(N75:S75)&lt;6),"Score this lead – proposal sent unscored",IF(N(Z75)&gt;=Settings!$S$3,"Close – 4 follow-ups sent",IF(AA75="",IF(Y75="","Make first contact",""),IF(TODAY()&gt;AA75,"OVERDUE follow-up",IF(TODAY()=AA75,"Follow up today","")))))))))</f>
        <v/>
      </c>
    </row>
    <row r="76" customFormat="false" ht="15" hidden="false" customHeight="false" outlineLevel="0" collapsed="false">
      <c r="A76" s="17"/>
      <c r="B76" s="40"/>
      <c r="C76" s="17"/>
      <c r="D76" s="17"/>
      <c r="E76" s="17"/>
      <c r="F76" s="17"/>
      <c r="G76" s="17"/>
      <c r="H76" s="42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44" t="str">
        <f aca="false">IF(OR(D76="",COUNTA(N76:S76)=0),"",SUMIFS(Settings!$AA$2:$AA$21,Settings!$Y$2:$Y$21,"Budget AED 5k+/mo?",Settings!$Z$2:$Z$21,N76)+SUMIFS(Settings!$AA$2:$AA$21,Settings!$Y$2:$Y$21,"Decision-maker?",Settings!$Z$2:$Z$21,O76)+SUMIFS(Settings!$AA$2:$AA$21,Settings!$Y$2:$Y$21,"Someone on camera?",Settings!$Z$2:$Z$21,P76)+SUMIFS(Settings!$AA$2:$AA$21,Settings!$Y$2:$Y$21,"OK with 3-month term?",Settings!$Z$2:$Z$21,Q76)+SUMIFS(Settings!$AA$2:$AA$21,Settings!$Y$2:$Y$21,"Start timeline",Settings!$Z$2:$Z$21,R76)+SUMIFS(Settings!$AA$2:$AA$21,Settings!$Y$2:$Y$21,"Social media gap",Settings!$Z$2:$Z$21,S76)+IF(E76="",0,IF(COUNTIF(Settings!$AC$2:$AC$6,E76)&gt;0,Settings!$AA$20,Settings!$AA$21)))</f>
        <v/>
      </c>
      <c r="U76" s="44" t="str">
        <f aca="false">IF(D76="","",IF(COUNTA(N76:S76)=0,"Not scored",IF(COUNTA(N76:S76)&lt;6,"Partly scored ("&amp;COUNTA(N76:S76)&amp;"/6)",IF(T76&gt;=Settings!$S$8,"Hot",IF(T76&gt;=Settings!$S$9,"Warm","Cold")))))</f>
        <v/>
      </c>
      <c r="V76" s="44" t="str">
        <f aca="false">IF(D76="","",IF(AND(N76="No",P76="No"),"🚩 Budget  ·  🚩 No one on camera",IF(N76="No","🚩 Budget under AED 5k",IF(P76="No","🚩 No one on camera",""))))</f>
        <v/>
      </c>
      <c r="W76" s="17"/>
      <c r="X76" s="17"/>
      <c r="Y76" s="40"/>
      <c r="Z76" s="17"/>
      <c r="AA76" s="45" t="str">
        <f aca="false">IF(OR(D76="",Y76="",OR(X76="Contract signed + paid",X76="Closed – No response",X76="Lost"),N(Z76)&gt;=Settings!$S$3),"",Y76+Settings!$S$2)</f>
        <v/>
      </c>
      <c r="AB76" s="40"/>
      <c r="AC76" s="41"/>
      <c r="AD76" s="17"/>
      <c r="AE76" s="17"/>
      <c r="AF76" s="17"/>
      <c r="AG76" s="46" t="str">
        <f aca="true">IF(OR(D76="",B76=""),"",INT(TODAY()-B76))</f>
        <v/>
      </c>
      <c r="AH76" s="44" t="str">
        <f aca="true">IF(D76="","",IF(OR(COUNTIFS(Clients!$C$2:$C$501,D76,Clients!$S$2:$S$501,"Paid")&gt;0,AND(H76&lt;&gt;"",COUNTIFS(Clients!$E$2:$E$501,H76,Clients!$S$2:$S$501,"Paid")&gt;0)),"⚠ Refunded before – no free video",IF(OR(X76="Contract signed + paid",X76="Closed – No response",X76="Lost"),"",IF(X76="","Set a stage",IF(AND(X76="Proposal sent",COUNTA(N76:S76)&lt;6),"Score this lead – proposal sent unscored",IF(N(Z76)&gt;=Settings!$S$3,"Close – 4 follow-ups sent",IF(AA76="",IF(Y76="","Make first contact",""),IF(TODAY()&gt;AA76,"OVERDUE follow-up",IF(TODAY()=AA76,"Follow up today","")))))))))</f>
        <v/>
      </c>
    </row>
    <row r="77" customFormat="false" ht="15" hidden="false" customHeight="false" outlineLevel="0" collapsed="false">
      <c r="A77" s="17"/>
      <c r="B77" s="40"/>
      <c r="C77" s="17"/>
      <c r="D77" s="17"/>
      <c r="E77" s="17"/>
      <c r="F77" s="17"/>
      <c r="G77" s="17"/>
      <c r="H77" s="42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44" t="str">
        <f aca="false">IF(OR(D77="",COUNTA(N77:S77)=0),"",SUMIFS(Settings!$AA$2:$AA$21,Settings!$Y$2:$Y$21,"Budget AED 5k+/mo?",Settings!$Z$2:$Z$21,N77)+SUMIFS(Settings!$AA$2:$AA$21,Settings!$Y$2:$Y$21,"Decision-maker?",Settings!$Z$2:$Z$21,O77)+SUMIFS(Settings!$AA$2:$AA$21,Settings!$Y$2:$Y$21,"Someone on camera?",Settings!$Z$2:$Z$21,P77)+SUMIFS(Settings!$AA$2:$AA$21,Settings!$Y$2:$Y$21,"OK with 3-month term?",Settings!$Z$2:$Z$21,Q77)+SUMIFS(Settings!$AA$2:$AA$21,Settings!$Y$2:$Y$21,"Start timeline",Settings!$Z$2:$Z$21,R77)+SUMIFS(Settings!$AA$2:$AA$21,Settings!$Y$2:$Y$21,"Social media gap",Settings!$Z$2:$Z$21,S77)+IF(E77="",0,IF(COUNTIF(Settings!$AC$2:$AC$6,E77)&gt;0,Settings!$AA$20,Settings!$AA$21)))</f>
        <v/>
      </c>
      <c r="U77" s="44" t="str">
        <f aca="false">IF(D77="","",IF(COUNTA(N77:S77)=0,"Not scored",IF(COUNTA(N77:S77)&lt;6,"Partly scored ("&amp;COUNTA(N77:S77)&amp;"/6)",IF(T77&gt;=Settings!$S$8,"Hot",IF(T77&gt;=Settings!$S$9,"Warm","Cold")))))</f>
        <v/>
      </c>
      <c r="V77" s="44" t="str">
        <f aca="false">IF(D77="","",IF(AND(N77="No",P77="No"),"🚩 Budget  ·  🚩 No one on camera",IF(N77="No","🚩 Budget under AED 5k",IF(P77="No","🚩 No one on camera",""))))</f>
        <v/>
      </c>
      <c r="W77" s="17"/>
      <c r="X77" s="17"/>
      <c r="Y77" s="40"/>
      <c r="Z77" s="17"/>
      <c r="AA77" s="45" t="str">
        <f aca="false">IF(OR(D77="",Y77="",OR(X77="Contract signed + paid",X77="Closed – No response",X77="Lost"),N(Z77)&gt;=Settings!$S$3),"",Y77+Settings!$S$2)</f>
        <v/>
      </c>
      <c r="AB77" s="40"/>
      <c r="AC77" s="41"/>
      <c r="AD77" s="17"/>
      <c r="AE77" s="17"/>
      <c r="AF77" s="17"/>
      <c r="AG77" s="46" t="str">
        <f aca="true">IF(OR(D77="",B77=""),"",INT(TODAY()-B77))</f>
        <v/>
      </c>
      <c r="AH77" s="44" t="str">
        <f aca="true">IF(D77="","",IF(OR(COUNTIFS(Clients!$C$2:$C$501,D77,Clients!$S$2:$S$501,"Paid")&gt;0,AND(H77&lt;&gt;"",COUNTIFS(Clients!$E$2:$E$501,H77,Clients!$S$2:$S$501,"Paid")&gt;0)),"⚠ Refunded before – no free video",IF(OR(X77="Contract signed + paid",X77="Closed – No response",X77="Lost"),"",IF(X77="","Set a stage",IF(AND(X77="Proposal sent",COUNTA(N77:S77)&lt;6),"Score this lead – proposal sent unscored",IF(N(Z77)&gt;=Settings!$S$3,"Close – 4 follow-ups sent",IF(AA77="",IF(Y77="","Make first contact",""),IF(TODAY()&gt;AA77,"OVERDUE follow-up",IF(TODAY()=AA77,"Follow up today","")))))))))</f>
        <v/>
      </c>
    </row>
    <row r="78" customFormat="false" ht="15" hidden="false" customHeight="false" outlineLevel="0" collapsed="false">
      <c r="A78" s="17"/>
      <c r="B78" s="40"/>
      <c r="C78" s="17"/>
      <c r="D78" s="17"/>
      <c r="E78" s="17"/>
      <c r="F78" s="17"/>
      <c r="G78" s="17"/>
      <c r="H78" s="42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44" t="str">
        <f aca="false">IF(OR(D78="",COUNTA(N78:S78)=0),"",SUMIFS(Settings!$AA$2:$AA$21,Settings!$Y$2:$Y$21,"Budget AED 5k+/mo?",Settings!$Z$2:$Z$21,N78)+SUMIFS(Settings!$AA$2:$AA$21,Settings!$Y$2:$Y$21,"Decision-maker?",Settings!$Z$2:$Z$21,O78)+SUMIFS(Settings!$AA$2:$AA$21,Settings!$Y$2:$Y$21,"Someone on camera?",Settings!$Z$2:$Z$21,P78)+SUMIFS(Settings!$AA$2:$AA$21,Settings!$Y$2:$Y$21,"OK with 3-month term?",Settings!$Z$2:$Z$21,Q78)+SUMIFS(Settings!$AA$2:$AA$21,Settings!$Y$2:$Y$21,"Start timeline",Settings!$Z$2:$Z$21,R78)+SUMIFS(Settings!$AA$2:$AA$21,Settings!$Y$2:$Y$21,"Social media gap",Settings!$Z$2:$Z$21,S78)+IF(E78="",0,IF(COUNTIF(Settings!$AC$2:$AC$6,E78)&gt;0,Settings!$AA$20,Settings!$AA$21)))</f>
        <v/>
      </c>
      <c r="U78" s="44" t="str">
        <f aca="false">IF(D78="","",IF(COUNTA(N78:S78)=0,"Not scored",IF(COUNTA(N78:S78)&lt;6,"Partly scored ("&amp;COUNTA(N78:S78)&amp;"/6)",IF(T78&gt;=Settings!$S$8,"Hot",IF(T78&gt;=Settings!$S$9,"Warm","Cold")))))</f>
        <v/>
      </c>
      <c r="V78" s="44" t="str">
        <f aca="false">IF(D78="","",IF(AND(N78="No",P78="No"),"🚩 Budget  ·  🚩 No one on camera",IF(N78="No","🚩 Budget under AED 5k",IF(P78="No","🚩 No one on camera",""))))</f>
        <v/>
      </c>
      <c r="W78" s="17"/>
      <c r="X78" s="17"/>
      <c r="Y78" s="40"/>
      <c r="Z78" s="17"/>
      <c r="AA78" s="45" t="str">
        <f aca="false">IF(OR(D78="",Y78="",OR(X78="Contract signed + paid",X78="Closed – No response",X78="Lost"),N(Z78)&gt;=Settings!$S$3),"",Y78+Settings!$S$2)</f>
        <v/>
      </c>
      <c r="AB78" s="40"/>
      <c r="AC78" s="41"/>
      <c r="AD78" s="17"/>
      <c r="AE78" s="17"/>
      <c r="AF78" s="17"/>
      <c r="AG78" s="46" t="str">
        <f aca="true">IF(OR(D78="",B78=""),"",INT(TODAY()-B78))</f>
        <v/>
      </c>
      <c r="AH78" s="44" t="str">
        <f aca="true">IF(D78="","",IF(OR(COUNTIFS(Clients!$C$2:$C$501,D78,Clients!$S$2:$S$501,"Paid")&gt;0,AND(H78&lt;&gt;"",COUNTIFS(Clients!$E$2:$E$501,H78,Clients!$S$2:$S$501,"Paid")&gt;0)),"⚠ Refunded before – no free video",IF(OR(X78="Contract signed + paid",X78="Closed – No response",X78="Lost"),"",IF(X78="","Set a stage",IF(AND(X78="Proposal sent",COUNTA(N78:S78)&lt;6),"Score this lead – proposal sent unscored",IF(N(Z78)&gt;=Settings!$S$3,"Close – 4 follow-ups sent",IF(AA78="",IF(Y78="","Make first contact",""),IF(TODAY()&gt;AA78,"OVERDUE follow-up",IF(TODAY()=AA78,"Follow up today","")))))))))</f>
        <v/>
      </c>
    </row>
    <row r="79" customFormat="false" ht="15" hidden="false" customHeight="false" outlineLevel="0" collapsed="false">
      <c r="A79" s="17"/>
      <c r="B79" s="40"/>
      <c r="C79" s="17"/>
      <c r="D79" s="17"/>
      <c r="E79" s="17"/>
      <c r="F79" s="17"/>
      <c r="G79" s="17"/>
      <c r="H79" s="42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44" t="str">
        <f aca="false">IF(OR(D79="",COUNTA(N79:S79)=0),"",SUMIFS(Settings!$AA$2:$AA$21,Settings!$Y$2:$Y$21,"Budget AED 5k+/mo?",Settings!$Z$2:$Z$21,N79)+SUMIFS(Settings!$AA$2:$AA$21,Settings!$Y$2:$Y$21,"Decision-maker?",Settings!$Z$2:$Z$21,O79)+SUMIFS(Settings!$AA$2:$AA$21,Settings!$Y$2:$Y$21,"Someone on camera?",Settings!$Z$2:$Z$21,P79)+SUMIFS(Settings!$AA$2:$AA$21,Settings!$Y$2:$Y$21,"OK with 3-month term?",Settings!$Z$2:$Z$21,Q79)+SUMIFS(Settings!$AA$2:$AA$21,Settings!$Y$2:$Y$21,"Start timeline",Settings!$Z$2:$Z$21,R79)+SUMIFS(Settings!$AA$2:$AA$21,Settings!$Y$2:$Y$21,"Social media gap",Settings!$Z$2:$Z$21,S79)+IF(E79="",0,IF(COUNTIF(Settings!$AC$2:$AC$6,E79)&gt;0,Settings!$AA$20,Settings!$AA$21)))</f>
        <v/>
      </c>
      <c r="U79" s="44" t="str">
        <f aca="false">IF(D79="","",IF(COUNTA(N79:S79)=0,"Not scored",IF(COUNTA(N79:S79)&lt;6,"Partly scored ("&amp;COUNTA(N79:S79)&amp;"/6)",IF(T79&gt;=Settings!$S$8,"Hot",IF(T79&gt;=Settings!$S$9,"Warm","Cold")))))</f>
        <v/>
      </c>
      <c r="V79" s="44" t="str">
        <f aca="false">IF(D79="","",IF(AND(N79="No",P79="No"),"🚩 Budget  ·  🚩 No one on camera",IF(N79="No","🚩 Budget under AED 5k",IF(P79="No","🚩 No one on camera",""))))</f>
        <v/>
      </c>
      <c r="W79" s="17"/>
      <c r="X79" s="17"/>
      <c r="Y79" s="40"/>
      <c r="Z79" s="17"/>
      <c r="AA79" s="45" t="str">
        <f aca="false">IF(OR(D79="",Y79="",OR(X79="Contract signed + paid",X79="Closed – No response",X79="Lost"),N(Z79)&gt;=Settings!$S$3),"",Y79+Settings!$S$2)</f>
        <v/>
      </c>
      <c r="AB79" s="40"/>
      <c r="AC79" s="41"/>
      <c r="AD79" s="17"/>
      <c r="AE79" s="17"/>
      <c r="AF79" s="17"/>
      <c r="AG79" s="46" t="str">
        <f aca="true">IF(OR(D79="",B79=""),"",INT(TODAY()-B79))</f>
        <v/>
      </c>
      <c r="AH79" s="44" t="str">
        <f aca="true">IF(D79="","",IF(OR(COUNTIFS(Clients!$C$2:$C$501,D79,Clients!$S$2:$S$501,"Paid")&gt;0,AND(H79&lt;&gt;"",COUNTIFS(Clients!$E$2:$E$501,H79,Clients!$S$2:$S$501,"Paid")&gt;0)),"⚠ Refunded before – no free video",IF(OR(X79="Contract signed + paid",X79="Closed – No response",X79="Lost"),"",IF(X79="","Set a stage",IF(AND(X79="Proposal sent",COUNTA(N79:S79)&lt;6),"Score this lead – proposal sent unscored",IF(N(Z79)&gt;=Settings!$S$3,"Close – 4 follow-ups sent",IF(AA79="",IF(Y79="","Make first contact",""),IF(TODAY()&gt;AA79,"OVERDUE follow-up",IF(TODAY()=AA79,"Follow up today","")))))))))</f>
        <v/>
      </c>
    </row>
    <row r="80" customFormat="false" ht="15" hidden="false" customHeight="false" outlineLevel="0" collapsed="false">
      <c r="A80" s="17"/>
      <c r="B80" s="40"/>
      <c r="C80" s="17"/>
      <c r="D80" s="17"/>
      <c r="E80" s="17"/>
      <c r="F80" s="17"/>
      <c r="G80" s="17"/>
      <c r="H80" s="42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44" t="str">
        <f aca="false">IF(OR(D80="",COUNTA(N80:S80)=0),"",SUMIFS(Settings!$AA$2:$AA$21,Settings!$Y$2:$Y$21,"Budget AED 5k+/mo?",Settings!$Z$2:$Z$21,N80)+SUMIFS(Settings!$AA$2:$AA$21,Settings!$Y$2:$Y$21,"Decision-maker?",Settings!$Z$2:$Z$21,O80)+SUMIFS(Settings!$AA$2:$AA$21,Settings!$Y$2:$Y$21,"Someone on camera?",Settings!$Z$2:$Z$21,P80)+SUMIFS(Settings!$AA$2:$AA$21,Settings!$Y$2:$Y$21,"OK with 3-month term?",Settings!$Z$2:$Z$21,Q80)+SUMIFS(Settings!$AA$2:$AA$21,Settings!$Y$2:$Y$21,"Start timeline",Settings!$Z$2:$Z$21,R80)+SUMIFS(Settings!$AA$2:$AA$21,Settings!$Y$2:$Y$21,"Social media gap",Settings!$Z$2:$Z$21,S80)+IF(E80="",0,IF(COUNTIF(Settings!$AC$2:$AC$6,E80)&gt;0,Settings!$AA$20,Settings!$AA$21)))</f>
        <v/>
      </c>
      <c r="U80" s="44" t="str">
        <f aca="false">IF(D80="","",IF(COUNTA(N80:S80)=0,"Not scored",IF(COUNTA(N80:S80)&lt;6,"Partly scored ("&amp;COUNTA(N80:S80)&amp;"/6)",IF(T80&gt;=Settings!$S$8,"Hot",IF(T80&gt;=Settings!$S$9,"Warm","Cold")))))</f>
        <v/>
      </c>
      <c r="V80" s="44" t="str">
        <f aca="false">IF(D80="","",IF(AND(N80="No",P80="No"),"🚩 Budget  ·  🚩 No one on camera",IF(N80="No","🚩 Budget under AED 5k",IF(P80="No","🚩 No one on camera",""))))</f>
        <v/>
      </c>
      <c r="W80" s="17"/>
      <c r="X80" s="17"/>
      <c r="Y80" s="40"/>
      <c r="Z80" s="17"/>
      <c r="AA80" s="45" t="str">
        <f aca="false">IF(OR(D80="",Y80="",OR(X80="Contract signed + paid",X80="Closed – No response",X80="Lost"),N(Z80)&gt;=Settings!$S$3),"",Y80+Settings!$S$2)</f>
        <v/>
      </c>
      <c r="AB80" s="40"/>
      <c r="AC80" s="41"/>
      <c r="AD80" s="17"/>
      <c r="AE80" s="17"/>
      <c r="AF80" s="17"/>
      <c r="AG80" s="46" t="str">
        <f aca="true">IF(OR(D80="",B80=""),"",INT(TODAY()-B80))</f>
        <v/>
      </c>
      <c r="AH80" s="44" t="str">
        <f aca="true">IF(D80="","",IF(OR(COUNTIFS(Clients!$C$2:$C$501,D80,Clients!$S$2:$S$501,"Paid")&gt;0,AND(H80&lt;&gt;"",COUNTIFS(Clients!$E$2:$E$501,H80,Clients!$S$2:$S$501,"Paid")&gt;0)),"⚠ Refunded before – no free video",IF(OR(X80="Contract signed + paid",X80="Closed – No response",X80="Lost"),"",IF(X80="","Set a stage",IF(AND(X80="Proposal sent",COUNTA(N80:S80)&lt;6),"Score this lead – proposal sent unscored",IF(N(Z80)&gt;=Settings!$S$3,"Close – 4 follow-ups sent",IF(AA80="",IF(Y80="","Make first contact",""),IF(TODAY()&gt;AA80,"OVERDUE follow-up",IF(TODAY()=AA80,"Follow up today","")))))))))</f>
        <v/>
      </c>
    </row>
    <row r="81" customFormat="false" ht="15" hidden="false" customHeight="false" outlineLevel="0" collapsed="false">
      <c r="A81" s="17"/>
      <c r="B81" s="40"/>
      <c r="C81" s="17"/>
      <c r="D81" s="17"/>
      <c r="E81" s="17"/>
      <c r="F81" s="17"/>
      <c r="G81" s="17"/>
      <c r="H81" s="42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44" t="str">
        <f aca="false">IF(OR(D81="",COUNTA(N81:S81)=0),"",SUMIFS(Settings!$AA$2:$AA$21,Settings!$Y$2:$Y$21,"Budget AED 5k+/mo?",Settings!$Z$2:$Z$21,N81)+SUMIFS(Settings!$AA$2:$AA$21,Settings!$Y$2:$Y$21,"Decision-maker?",Settings!$Z$2:$Z$21,O81)+SUMIFS(Settings!$AA$2:$AA$21,Settings!$Y$2:$Y$21,"Someone on camera?",Settings!$Z$2:$Z$21,P81)+SUMIFS(Settings!$AA$2:$AA$21,Settings!$Y$2:$Y$21,"OK with 3-month term?",Settings!$Z$2:$Z$21,Q81)+SUMIFS(Settings!$AA$2:$AA$21,Settings!$Y$2:$Y$21,"Start timeline",Settings!$Z$2:$Z$21,R81)+SUMIFS(Settings!$AA$2:$AA$21,Settings!$Y$2:$Y$21,"Social media gap",Settings!$Z$2:$Z$21,S81)+IF(E81="",0,IF(COUNTIF(Settings!$AC$2:$AC$6,E81)&gt;0,Settings!$AA$20,Settings!$AA$21)))</f>
        <v/>
      </c>
      <c r="U81" s="44" t="str">
        <f aca="false">IF(D81="","",IF(COUNTA(N81:S81)=0,"Not scored",IF(COUNTA(N81:S81)&lt;6,"Partly scored ("&amp;COUNTA(N81:S81)&amp;"/6)",IF(T81&gt;=Settings!$S$8,"Hot",IF(T81&gt;=Settings!$S$9,"Warm","Cold")))))</f>
        <v/>
      </c>
      <c r="V81" s="44" t="str">
        <f aca="false">IF(D81="","",IF(AND(N81="No",P81="No"),"🚩 Budget  ·  🚩 No one on camera",IF(N81="No","🚩 Budget under AED 5k",IF(P81="No","🚩 No one on camera",""))))</f>
        <v/>
      </c>
      <c r="W81" s="17"/>
      <c r="X81" s="17"/>
      <c r="Y81" s="40"/>
      <c r="Z81" s="17"/>
      <c r="AA81" s="45" t="str">
        <f aca="false">IF(OR(D81="",Y81="",OR(X81="Contract signed + paid",X81="Closed – No response",X81="Lost"),N(Z81)&gt;=Settings!$S$3),"",Y81+Settings!$S$2)</f>
        <v/>
      </c>
      <c r="AB81" s="40"/>
      <c r="AC81" s="41"/>
      <c r="AD81" s="17"/>
      <c r="AE81" s="17"/>
      <c r="AF81" s="17"/>
      <c r="AG81" s="46" t="str">
        <f aca="true">IF(OR(D81="",B81=""),"",INT(TODAY()-B81))</f>
        <v/>
      </c>
      <c r="AH81" s="44" t="str">
        <f aca="true">IF(D81="","",IF(OR(COUNTIFS(Clients!$C$2:$C$501,D81,Clients!$S$2:$S$501,"Paid")&gt;0,AND(H81&lt;&gt;"",COUNTIFS(Clients!$E$2:$E$501,H81,Clients!$S$2:$S$501,"Paid")&gt;0)),"⚠ Refunded before – no free video",IF(OR(X81="Contract signed + paid",X81="Closed – No response",X81="Lost"),"",IF(X81="","Set a stage",IF(AND(X81="Proposal sent",COUNTA(N81:S81)&lt;6),"Score this lead – proposal sent unscored",IF(N(Z81)&gt;=Settings!$S$3,"Close – 4 follow-ups sent",IF(AA81="",IF(Y81="","Make first contact",""),IF(TODAY()&gt;AA81,"OVERDUE follow-up",IF(TODAY()=AA81,"Follow up today","")))))))))</f>
        <v/>
      </c>
    </row>
    <row r="82" customFormat="false" ht="15" hidden="false" customHeight="false" outlineLevel="0" collapsed="false">
      <c r="A82" s="17"/>
      <c r="B82" s="40"/>
      <c r="C82" s="17"/>
      <c r="D82" s="17"/>
      <c r="E82" s="17"/>
      <c r="F82" s="17"/>
      <c r="G82" s="17"/>
      <c r="H82" s="42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44" t="str">
        <f aca="false">IF(OR(D82="",COUNTA(N82:S82)=0),"",SUMIFS(Settings!$AA$2:$AA$21,Settings!$Y$2:$Y$21,"Budget AED 5k+/mo?",Settings!$Z$2:$Z$21,N82)+SUMIFS(Settings!$AA$2:$AA$21,Settings!$Y$2:$Y$21,"Decision-maker?",Settings!$Z$2:$Z$21,O82)+SUMIFS(Settings!$AA$2:$AA$21,Settings!$Y$2:$Y$21,"Someone on camera?",Settings!$Z$2:$Z$21,P82)+SUMIFS(Settings!$AA$2:$AA$21,Settings!$Y$2:$Y$21,"OK with 3-month term?",Settings!$Z$2:$Z$21,Q82)+SUMIFS(Settings!$AA$2:$AA$21,Settings!$Y$2:$Y$21,"Start timeline",Settings!$Z$2:$Z$21,R82)+SUMIFS(Settings!$AA$2:$AA$21,Settings!$Y$2:$Y$21,"Social media gap",Settings!$Z$2:$Z$21,S82)+IF(E82="",0,IF(COUNTIF(Settings!$AC$2:$AC$6,E82)&gt;0,Settings!$AA$20,Settings!$AA$21)))</f>
        <v/>
      </c>
      <c r="U82" s="44" t="str">
        <f aca="false">IF(D82="","",IF(COUNTA(N82:S82)=0,"Not scored",IF(COUNTA(N82:S82)&lt;6,"Partly scored ("&amp;COUNTA(N82:S82)&amp;"/6)",IF(T82&gt;=Settings!$S$8,"Hot",IF(T82&gt;=Settings!$S$9,"Warm","Cold")))))</f>
        <v/>
      </c>
      <c r="V82" s="44" t="str">
        <f aca="false">IF(D82="","",IF(AND(N82="No",P82="No"),"🚩 Budget  ·  🚩 No one on camera",IF(N82="No","🚩 Budget under AED 5k",IF(P82="No","🚩 No one on camera",""))))</f>
        <v/>
      </c>
      <c r="W82" s="17"/>
      <c r="X82" s="17"/>
      <c r="Y82" s="40"/>
      <c r="Z82" s="17"/>
      <c r="AA82" s="45" t="str">
        <f aca="false">IF(OR(D82="",Y82="",OR(X82="Contract signed + paid",X82="Closed – No response",X82="Lost"),N(Z82)&gt;=Settings!$S$3),"",Y82+Settings!$S$2)</f>
        <v/>
      </c>
      <c r="AB82" s="40"/>
      <c r="AC82" s="41"/>
      <c r="AD82" s="17"/>
      <c r="AE82" s="17"/>
      <c r="AF82" s="17"/>
      <c r="AG82" s="46" t="str">
        <f aca="true">IF(OR(D82="",B82=""),"",INT(TODAY()-B82))</f>
        <v/>
      </c>
      <c r="AH82" s="44" t="str">
        <f aca="true">IF(D82="","",IF(OR(COUNTIFS(Clients!$C$2:$C$501,D82,Clients!$S$2:$S$501,"Paid")&gt;0,AND(H82&lt;&gt;"",COUNTIFS(Clients!$E$2:$E$501,H82,Clients!$S$2:$S$501,"Paid")&gt;0)),"⚠ Refunded before – no free video",IF(OR(X82="Contract signed + paid",X82="Closed – No response",X82="Lost"),"",IF(X82="","Set a stage",IF(AND(X82="Proposal sent",COUNTA(N82:S82)&lt;6),"Score this lead – proposal sent unscored",IF(N(Z82)&gt;=Settings!$S$3,"Close – 4 follow-ups sent",IF(AA82="",IF(Y82="","Make first contact",""),IF(TODAY()&gt;AA82,"OVERDUE follow-up",IF(TODAY()=AA82,"Follow up today","")))))))))</f>
        <v/>
      </c>
    </row>
    <row r="83" customFormat="false" ht="15" hidden="false" customHeight="false" outlineLevel="0" collapsed="false">
      <c r="A83" s="17"/>
      <c r="B83" s="40"/>
      <c r="C83" s="17"/>
      <c r="D83" s="17"/>
      <c r="E83" s="17"/>
      <c r="F83" s="17"/>
      <c r="G83" s="17"/>
      <c r="H83" s="42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44" t="str">
        <f aca="false">IF(OR(D83="",COUNTA(N83:S83)=0),"",SUMIFS(Settings!$AA$2:$AA$21,Settings!$Y$2:$Y$21,"Budget AED 5k+/mo?",Settings!$Z$2:$Z$21,N83)+SUMIFS(Settings!$AA$2:$AA$21,Settings!$Y$2:$Y$21,"Decision-maker?",Settings!$Z$2:$Z$21,O83)+SUMIFS(Settings!$AA$2:$AA$21,Settings!$Y$2:$Y$21,"Someone on camera?",Settings!$Z$2:$Z$21,P83)+SUMIFS(Settings!$AA$2:$AA$21,Settings!$Y$2:$Y$21,"OK with 3-month term?",Settings!$Z$2:$Z$21,Q83)+SUMIFS(Settings!$AA$2:$AA$21,Settings!$Y$2:$Y$21,"Start timeline",Settings!$Z$2:$Z$21,R83)+SUMIFS(Settings!$AA$2:$AA$21,Settings!$Y$2:$Y$21,"Social media gap",Settings!$Z$2:$Z$21,S83)+IF(E83="",0,IF(COUNTIF(Settings!$AC$2:$AC$6,E83)&gt;0,Settings!$AA$20,Settings!$AA$21)))</f>
        <v/>
      </c>
      <c r="U83" s="44" t="str">
        <f aca="false">IF(D83="","",IF(COUNTA(N83:S83)=0,"Not scored",IF(COUNTA(N83:S83)&lt;6,"Partly scored ("&amp;COUNTA(N83:S83)&amp;"/6)",IF(T83&gt;=Settings!$S$8,"Hot",IF(T83&gt;=Settings!$S$9,"Warm","Cold")))))</f>
        <v/>
      </c>
      <c r="V83" s="44" t="str">
        <f aca="false">IF(D83="","",IF(AND(N83="No",P83="No"),"🚩 Budget  ·  🚩 No one on camera",IF(N83="No","🚩 Budget under AED 5k",IF(P83="No","🚩 No one on camera",""))))</f>
        <v/>
      </c>
      <c r="W83" s="17"/>
      <c r="X83" s="17"/>
      <c r="Y83" s="40"/>
      <c r="Z83" s="17"/>
      <c r="AA83" s="45" t="str">
        <f aca="false">IF(OR(D83="",Y83="",OR(X83="Contract signed + paid",X83="Closed – No response",X83="Lost"),N(Z83)&gt;=Settings!$S$3),"",Y83+Settings!$S$2)</f>
        <v/>
      </c>
      <c r="AB83" s="40"/>
      <c r="AC83" s="41"/>
      <c r="AD83" s="17"/>
      <c r="AE83" s="17"/>
      <c r="AF83" s="17"/>
      <c r="AG83" s="46" t="str">
        <f aca="true">IF(OR(D83="",B83=""),"",INT(TODAY()-B83))</f>
        <v/>
      </c>
      <c r="AH83" s="44" t="str">
        <f aca="true">IF(D83="","",IF(OR(COUNTIFS(Clients!$C$2:$C$501,D83,Clients!$S$2:$S$501,"Paid")&gt;0,AND(H83&lt;&gt;"",COUNTIFS(Clients!$E$2:$E$501,H83,Clients!$S$2:$S$501,"Paid")&gt;0)),"⚠ Refunded before – no free video",IF(OR(X83="Contract signed + paid",X83="Closed – No response",X83="Lost"),"",IF(X83="","Set a stage",IF(AND(X83="Proposal sent",COUNTA(N83:S83)&lt;6),"Score this lead – proposal sent unscored",IF(N(Z83)&gt;=Settings!$S$3,"Close – 4 follow-ups sent",IF(AA83="",IF(Y83="","Make first contact",""),IF(TODAY()&gt;AA83,"OVERDUE follow-up",IF(TODAY()=AA83,"Follow up today","")))))))))</f>
        <v/>
      </c>
    </row>
    <row r="84" customFormat="false" ht="15" hidden="false" customHeight="false" outlineLevel="0" collapsed="false">
      <c r="A84" s="17"/>
      <c r="B84" s="40"/>
      <c r="C84" s="17"/>
      <c r="D84" s="17"/>
      <c r="E84" s="17"/>
      <c r="F84" s="17"/>
      <c r="G84" s="17"/>
      <c r="H84" s="42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44" t="str">
        <f aca="false">IF(OR(D84="",COUNTA(N84:S84)=0),"",SUMIFS(Settings!$AA$2:$AA$21,Settings!$Y$2:$Y$21,"Budget AED 5k+/mo?",Settings!$Z$2:$Z$21,N84)+SUMIFS(Settings!$AA$2:$AA$21,Settings!$Y$2:$Y$21,"Decision-maker?",Settings!$Z$2:$Z$21,O84)+SUMIFS(Settings!$AA$2:$AA$21,Settings!$Y$2:$Y$21,"Someone on camera?",Settings!$Z$2:$Z$21,P84)+SUMIFS(Settings!$AA$2:$AA$21,Settings!$Y$2:$Y$21,"OK with 3-month term?",Settings!$Z$2:$Z$21,Q84)+SUMIFS(Settings!$AA$2:$AA$21,Settings!$Y$2:$Y$21,"Start timeline",Settings!$Z$2:$Z$21,R84)+SUMIFS(Settings!$AA$2:$AA$21,Settings!$Y$2:$Y$21,"Social media gap",Settings!$Z$2:$Z$21,S84)+IF(E84="",0,IF(COUNTIF(Settings!$AC$2:$AC$6,E84)&gt;0,Settings!$AA$20,Settings!$AA$21)))</f>
        <v/>
      </c>
      <c r="U84" s="44" t="str">
        <f aca="false">IF(D84="","",IF(COUNTA(N84:S84)=0,"Not scored",IF(COUNTA(N84:S84)&lt;6,"Partly scored ("&amp;COUNTA(N84:S84)&amp;"/6)",IF(T84&gt;=Settings!$S$8,"Hot",IF(T84&gt;=Settings!$S$9,"Warm","Cold")))))</f>
        <v/>
      </c>
      <c r="V84" s="44" t="str">
        <f aca="false">IF(D84="","",IF(AND(N84="No",P84="No"),"🚩 Budget  ·  🚩 No one on camera",IF(N84="No","🚩 Budget under AED 5k",IF(P84="No","🚩 No one on camera",""))))</f>
        <v/>
      </c>
      <c r="W84" s="17"/>
      <c r="X84" s="17"/>
      <c r="Y84" s="40"/>
      <c r="Z84" s="17"/>
      <c r="AA84" s="45" t="str">
        <f aca="false">IF(OR(D84="",Y84="",OR(X84="Contract signed + paid",X84="Closed – No response",X84="Lost"),N(Z84)&gt;=Settings!$S$3),"",Y84+Settings!$S$2)</f>
        <v/>
      </c>
      <c r="AB84" s="40"/>
      <c r="AC84" s="41"/>
      <c r="AD84" s="17"/>
      <c r="AE84" s="17"/>
      <c r="AF84" s="17"/>
      <c r="AG84" s="46" t="str">
        <f aca="true">IF(OR(D84="",B84=""),"",INT(TODAY()-B84))</f>
        <v/>
      </c>
      <c r="AH84" s="44" t="str">
        <f aca="true">IF(D84="","",IF(OR(COUNTIFS(Clients!$C$2:$C$501,D84,Clients!$S$2:$S$501,"Paid")&gt;0,AND(H84&lt;&gt;"",COUNTIFS(Clients!$E$2:$E$501,H84,Clients!$S$2:$S$501,"Paid")&gt;0)),"⚠ Refunded before – no free video",IF(OR(X84="Contract signed + paid",X84="Closed – No response",X84="Lost"),"",IF(X84="","Set a stage",IF(AND(X84="Proposal sent",COUNTA(N84:S84)&lt;6),"Score this lead – proposal sent unscored",IF(N(Z84)&gt;=Settings!$S$3,"Close – 4 follow-ups sent",IF(AA84="",IF(Y84="","Make first contact",""),IF(TODAY()&gt;AA84,"OVERDUE follow-up",IF(TODAY()=AA84,"Follow up today","")))))))))</f>
        <v/>
      </c>
    </row>
    <row r="85" customFormat="false" ht="15" hidden="false" customHeight="false" outlineLevel="0" collapsed="false">
      <c r="A85" s="17"/>
      <c r="B85" s="40"/>
      <c r="C85" s="17"/>
      <c r="D85" s="17"/>
      <c r="E85" s="17"/>
      <c r="F85" s="17"/>
      <c r="G85" s="17"/>
      <c r="H85" s="42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44" t="str">
        <f aca="false">IF(OR(D85="",COUNTA(N85:S85)=0),"",SUMIFS(Settings!$AA$2:$AA$21,Settings!$Y$2:$Y$21,"Budget AED 5k+/mo?",Settings!$Z$2:$Z$21,N85)+SUMIFS(Settings!$AA$2:$AA$21,Settings!$Y$2:$Y$21,"Decision-maker?",Settings!$Z$2:$Z$21,O85)+SUMIFS(Settings!$AA$2:$AA$21,Settings!$Y$2:$Y$21,"Someone on camera?",Settings!$Z$2:$Z$21,P85)+SUMIFS(Settings!$AA$2:$AA$21,Settings!$Y$2:$Y$21,"OK with 3-month term?",Settings!$Z$2:$Z$21,Q85)+SUMIFS(Settings!$AA$2:$AA$21,Settings!$Y$2:$Y$21,"Start timeline",Settings!$Z$2:$Z$21,R85)+SUMIFS(Settings!$AA$2:$AA$21,Settings!$Y$2:$Y$21,"Social media gap",Settings!$Z$2:$Z$21,S85)+IF(E85="",0,IF(COUNTIF(Settings!$AC$2:$AC$6,E85)&gt;0,Settings!$AA$20,Settings!$AA$21)))</f>
        <v/>
      </c>
      <c r="U85" s="44" t="str">
        <f aca="false">IF(D85="","",IF(COUNTA(N85:S85)=0,"Not scored",IF(COUNTA(N85:S85)&lt;6,"Partly scored ("&amp;COUNTA(N85:S85)&amp;"/6)",IF(T85&gt;=Settings!$S$8,"Hot",IF(T85&gt;=Settings!$S$9,"Warm","Cold")))))</f>
        <v/>
      </c>
      <c r="V85" s="44" t="str">
        <f aca="false">IF(D85="","",IF(AND(N85="No",P85="No"),"🚩 Budget  ·  🚩 No one on camera",IF(N85="No","🚩 Budget under AED 5k",IF(P85="No","🚩 No one on camera",""))))</f>
        <v/>
      </c>
      <c r="W85" s="17"/>
      <c r="X85" s="17"/>
      <c r="Y85" s="40"/>
      <c r="Z85" s="17"/>
      <c r="AA85" s="45" t="str">
        <f aca="false">IF(OR(D85="",Y85="",OR(X85="Contract signed + paid",X85="Closed – No response",X85="Lost"),N(Z85)&gt;=Settings!$S$3),"",Y85+Settings!$S$2)</f>
        <v/>
      </c>
      <c r="AB85" s="40"/>
      <c r="AC85" s="41"/>
      <c r="AD85" s="17"/>
      <c r="AE85" s="17"/>
      <c r="AF85" s="17"/>
      <c r="AG85" s="46" t="str">
        <f aca="true">IF(OR(D85="",B85=""),"",INT(TODAY()-B85))</f>
        <v/>
      </c>
      <c r="AH85" s="44" t="str">
        <f aca="true">IF(D85="","",IF(OR(COUNTIFS(Clients!$C$2:$C$501,D85,Clients!$S$2:$S$501,"Paid")&gt;0,AND(H85&lt;&gt;"",COUNTIFS(Clients!$E$2:$E$501,H85,Clients!$S$2:$S$501,"Paid")&gt;0)),"⚠ Refunded before – no free video",IF(OR(X85="Contract signed + paid",X85="Closed – No response",X85="Lost"),"",IF(X85="","Set a stage",IF(AND(X85="Proposal sent",COUNTA(N85:S85)&lt;6),"Score this lead – proposal sent unscored",IF(N(Z85)&gt;=Settings!$S$3,"Close – 4 follow-ups sent",IF(AA85="",IF(Y85="","Make first contact",""),IF(TODAY()&gt;AA85,"OVERDUE follow-up",IF(TODAY()=AA85,"Follow up today","")))))))))</f>
        <v/>
      </c>
    </row>
    <row r="86" customFormat="false" ht="15" hidden="false" customHeight="false" outlineLevel="0" collapsed="false">
      <c r="A86" s="17"/>
      <c r="B86" s="40"/>
      <c r="C86" s="17"/>
      <c r="D86" s="17"/>
      <c r="E86" s="17"/>
      <c r="F86" s="17"/>
      <c r="G86" s="17"/>
      <c r="H86" s="42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44" t="str">
        <f aca="false">IF(OR(D86="",COUNTA(N86:S86)=0),"",SUMIFS(Settings!$AA$2:$AA$21,Settings!$Y$2:$Y$21,"Budget AED 5k+/mo?",Settings!$Z$2:$Z$21,N86)+SUMIFS(Settings!$AA$2:$AA$21,Settings!$Y$2:$Y$21,"Decision-maker?",Settings!$Z$2:$Z$21,O86)+SUMIFS(Settings!$AA$2:$AA$21,Settings!$Y$2:$Y$21,"Someone on camera?",Settings!$Z$2:$Z$21,P86)+SUMIFS(Settings!$AA$2:$AA$21,Settings!$Y$2:$Y$21,"OK with 3-month term?",Settings!$Z$2:$Z$21,Q86)+SUMIFS(Settings!$AA$2:$AA$21,Settings!$Y$2:$Y$21,"Start timeline",Settings!$Z$2:$Z$21,R86)+SUMIFS(Settings!$AA$2:$AA$21,Settings!$Y$2:$Y$21,"Social media gap",Settings!$Z$2:$Z$21,S86)+IF(E86="",0,IF(COUNTIF(Settings!$AC$2:$AC$6,E86)&gt;0,Settings!$AA$20,Settings!$AA$21)))</f>
        <v/>
      </c>
      <c r="U86" s="44" t="str">
        <f aca="false">IF(D86="","",IF(COUNTA(N86:S86)=0,"Not scored",IF(COUNTA(N86:S86)&lt;6,"Partly scored ("&amp;COUNTA(N86:S86)&amp;"/6)",IF(T86&gt;=Settings!$S$8,"Hot",IF(T86&gt;=Settings!$S$9,"Warm","Cold")))))</f>
        <v/>
      </c>
      <c r="V86" s="44" t="str">
        <f aca="false">IF(D86="","",IF(AND(N86="No",P86="No"),"🚩 Budget  ·  🚩 No one on camera",IF(N86="No","🚩 Budget under AED 5k",IF(P86="No","🚩 No one on camera",""))))</f>
        <v/>
      </c>
      <c r="W86" s="17"/>
      <c r="X86" s="17"/>
      <c r="Y86" s="40"/>
      <c r="Z86" s="17"/>
      <c r="AA86" s="45" t="str">
        <f aca="false">IF(OR(D86="",Y86="",OR(X86="Contract signed + paid",X86="Closed – No response",X86="Lost"),N(Z86)&gt;=Settings!$S$3),"",Y86+Settings!$S$2)</f>
        <v/>
      </c>
      <c r="AB86" s="40"/>
      <c r="AC86" s="41"/>
      <c r="AD86" s="17"/>
      <c r="AE86" s="17"/>
      <c r="AF86" s="17"/>
      <c r="AG86" s="46" t="str">
        <f aca="true">IF(OR(D86="",B86=""),"",INT(TODAY()-B86))</f>
        <v/>
      </c>
      <c r="AH86" s="44" t="str">
        <f aca="true">IF(D86="","",IF(OR(COUNTIFS(Clients!$C$2:$C$501,D86,Clients!$S$2:$S$501,"Paid")&gt;0,AND(H86&lt;&gt;"",COUNTIFS(Clients!$E$2:$E$501,H86,Clients!$S$2:$S$501,"Paid")&gt;0)),"⚠ Refunded before – no free video",IF(OR(X86="Contract signed + paid",X86="Closed – No response",X86="Lost"),"",IF(X86="","Set a stage",IF(AND(X86="Proposal sent",COUNTA(N86:S86)&lt;6),"Score this lead – proposal sent unscored",IF(N(Z86)&gt;=Settings!$S$3,"Close – 4 follow-ups sent",IF(AA86="",IF(Y86="","Make first contact",""),IF(TODAY()&gt;AA86,"OVERDUE follow-up",IF(TODAY()=AA86,"Follow up today","")))))))))</f>
        <v/>
      </c>
    </row>
    <row r="87" customFormat="false" ht="15" hidden="false" customHeight="false" outlineLevel="0" collapsed="false">
      <c r="A87" s="17"/>
      <c r="B87" s="40"/>
      <c r="C87" s="17"/>
      <c r="D87" s="17"/>
      <c r="E87" s="17"/>
      <c r="F87" s="17"/>
      <c r="G87" s="17"/>
      <c r="H87" s="42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44" t="str">
        <f aca="false">IF(OR(D87="",COUNTA(N87:S87)=0),"",SUMIFS(Settings!$AA$2:$AA$21,Settings!$Y$2:$Y$21,"Budget AED 5k+/mo?",Settings!$Z$2:$Z$21,N87)+SUMIFS(Settings!$AA$2:$AA$21,Settings!$Y$2:$Y$21,"Decision-maker?",Settings!$Z$2:$Z$21,O87)+SUMIFS(Settings!$AA$2:$AA$21,Settings!$Y$2:$Y$21,"Someone on camera?",Settings!$Z$2:$Z$21,P87)+SUMIFS(Settings!$AA$2:$AA$21,Settings!$Y$2:$Y$21,"OK with 3-month term?",Settings!$Z$2:$Z$21,Q87)+SUMIFS(Settings!$AA$2:$AA$21,Settings!$Y$2:$Y$21,"Start timeline",Settings!$Z$2:$Z$21,R87)+SUMIFS(Settings!$AA$2:$AA$21,Settings!$Y$2:$Y$21,"Social media gap",Settings!$Z$2:$Z$21,S87)+IF(E87="",0,IF(COUNTIF(Settings!$AC$2:$AC$6,E87)&gt;0,Settings!$AA$20,Settings!$AA$21)))</f>
        <v/>
      </c>
      <c r="U87" s="44" t="str">
        <f aca="false">IF(D87="","",IF(COUNTA(N87:S87)=0,"Not scored",IF(COUNTA(N87:S87)&lt;6,"Partly scored ("&amp;COUNTA(N87:S87)&amp;"/6)",IF(T87&gt;=Settings!$S$8,"Hot",IF(T87&gt;=Settings!$S$9,"Warm","Cold")))))</f>
        <v/>
      </c>
      <c r="V87" s="44" t="str">
        <f aca="false">IF(D87="","",IF(AND(N87="No",P87="No"),"🚩 Budget  ·  🚩 No one on camera",IF(N87="No","🚩 Budget under AED 5k",IF(P87="No","🚩 No one on camera",""))))</f>
        <v/>
      </c>
      <c r="W87" s="17"/>
      <c r="X87" s="17"/>
      <c r="Y87" s="40"/>
      <c r="Z87" s="17"/>
      <c r="AA87" s="45" t="str">
        <f aca="false">IF(OR(D87="",Y87="",OR(X87="Contract signed + paid",X87="Closed – No response",X87="Lost"),N(Z87)&gt;=Settings!$S$3),"",Y87+Settings!$S$2)</f>
        <v/>
      </c>
      <c r="AB87" s="40"/>
      <c r="AC87" s="41"/>
      <c r="AD87" s="17"/>
      <c r="AE87" s="17"/>
      <c r="AF87" s="17"/>
      <c r="AG87" s="46" t="str">
        <f aca="true">IF(OR(D87="",B87=""),"",INT(TODAY()-B87))</f>
        <v/>
      </c>
      <c r="AH87" s="44" t="str">
        <f aca="true">IF(D87="","",IF(OR(COUNTIFS(Clients!$C$2:$C$501,D87,Clients!$S$2:$S$501,"Paid")&gt;0,AND(H87&lt;&gt;"",COUNTIFS(Clients!$E$2:$E$501,H87,Clients!$S$2:$S$501,"Paid")&gt;0)),"⚠ Refunded before – no free video",IF(OR(X87="Contract signed + paid",X87="Closed – No response",X87="Lost"),"",IF(X87="","Set a stage",IF(AND(X87="Proposal sent",COUNTA(N87:S87)&lt;6),"Score this lead – proposal sent unscored",IF(N(Z87)&gt;=Settings!$S$3,"Close – 4 follow-ups sent",IF(AA87="",IF(Y87="","Make first contact",""),IF(TODAY()&gt;AA87,"OVERDUE follow-up",IF(TODAY()=AA87,"Follow up today","")))))))))</f>
        <v/>
      </c>
    </row>
    <row r="88" customFormat="false" ht="15" hidden="false" customHeight="false" outlineLevel="0" collapsed="false">
      <c r="A88" s="17"/>
      <c r="B88" s="40"/>
      <c r="C88" s="17"/>
      <c r="D88" s="17"/>
      <c r="E88" s="17"/>
      <c r="F88" s="17"/>
      <c r="G88" s="17"/>
      <c r="H88" s="42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44" t="str">
        <f aca="false">IF(OR(D88="",COUNTA(N88:S88)=0),"",SUMIFS(Settings!$AA$2:$AA$21,Settings!$Y$2:$Y$21,"Budget AED 5k+/mo?",Settings!$Z$2:$Z$21,N88)+SUMIFS(Settings!$AA$2:$AA$21,Settings!$Y$2:$Y$21,"Decision-maker?",Settings!$Z$2:$Z$21,O88)+SUMIFS(Settings!$AA$2:$AA$21,Settings!$Y$2:$Y$21,"Someone on camera?",Settings!$Z$2:$Z$21,P88)+SUMIFS(Settings!$AA$2:$AA$21,Settings!$Y$2:$Y$21,"OK with 3-month term?",Settings!$Z$2:$Z$21,Q88)+SUMIFS(Settings!$AA$2:$AA$21,Settings!$Y$2:$Y$21,"Start timeline",Settings!$Z$2:$Z$21,R88)+SUMIFS(Settings!$AA$2:$AA$21,Settings!$Y$2:$Y$21,"Social media gap",Settings!$Z$2:$Z$21,S88)+IF(E88="",0,IF(COUNTIF(Settings!$AC$2:$AC$6,E88)&gt;0,Settings!$AA$20,Settings!$AA$21)))</f>
        <v/>
      </c>
      <c r="U88" s="44" t="str">
        <f aca="false">IF(D88="","",IF(COUNTA(N88:S88)=0,"Not scored",IF(COUNTA(N88:S88)&lt;6,"Partly scored ("&amp;COUNTA(N88:S88)&amp;"/6)",IF(T88&gt;=Settings!$S$8,"Hot",IF(T88&gt;=Settings!$S$9,"Warm","Cold")))))</f>
        <v/>
      </c>
      <c r="V88" s="44" t="str">
        <f aca="false">IF(D88="","",IF(AND(N88="No",P88="No"),"🚩 Budget  ·  🚩 No one on camera",IF(N88="No","🚩 Budget under AED 5k",IF(P88="No","🚩 No one on camera",""))))</f>
        <v/>
      </c>
      <c r="W88" s="17"/>
      <c r="X88" s="17"/>
      <c r="Y88" s="40"/>
      <c r="Z88" s="17"/>
      <c r="AA88" s="45" t="str">
        <f aca="false">IF(OR(D88="",Y88="",OR(X88="Contract signed + paid",X88="Closed – No response",X88="Lost"),N(Z88)&gt;=Settings!$S$3),"",Y88+Settings!$S$2)</f>
        <v/>
      </c>
      <c r="AB88" s="40"/>
      <c r="AC88" s="41"/>
      <c r="AD88" s="17"/>
      <c r="AE88" s="17"/>
      <c r="AF88" s="17"/>
      <c r="AG88" s="46" t="str">
        <f aca="true">IF(OR(D88="",B88=""),"",INT(TODAY()-B88))</f>
        <v/>
      </c>
      <c r="AH88" s="44" t="str">
        <f aca="true">IF(D88="","",IF(OR(COUNTIFS(Clients!$C$2:$C$501,D88,Clients!$S$2:$S$501,"Paid")&gt;0,AND(H88&lt;&gt;"",COUNTIFS(Clients!$E$2:$E$501,H88,Clients!$S$2:$S$501,"Paid")&gt;0)),"⚠ Refunded before – no free video",IF(OR(X88="Contract signed + paid",X88="Closed – No response",X88="Lost"),"",IF(X88="","Set a stage",IF(AND(X88="Proposal sent",COUNTA(N88:S88)&lt;6),"Score this lead – proposal sent unscored",IF(N(Z88)&gt;=Settings!$S$3,"Close – 4 follow-ups sent",IF(AA88="",IF(Y88="","Make first contact",""),IF(TODAY()&gt;AA88,"OVERDUE follow-up",IF(TODAY()=AA88,"Follow up today","")))))))))</f>
        <v/>
      </c>
    </row>
    <row r="89" customFormat="false" ht="15" hidden="false" customHeight="false" outlineLevel="0" collapsed="false">
      <c r="A89" s="17"/>
      <c r="B89" s="40"/>
      <c r="C89" s="17"/>
      <c r="D89" s="17"/>
      <c r="E89" s="17"/>
      <c r="F89" s="17"/>
      <c r="G89" s="17"/>
      <c r="H89" s="42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44" t="str">
        <f aca="false">IF(OR(D89="",COUNTA(N89:S89)=0),"",SUMIFS(Settings!$AA$2:$AA$21,Settings!$Y$2:$Y$21,"Budget AED 5k+/mo?",Settings!$Z$2:$Z$21,N89)+SUMIFS(Settings!$AA$2:$AA$21,Settings!$Y$2:$Y$21,"Decision-maker?",Settings!$Z$2:$Z$21,O89)+SUMIFS(Settings!$AA$2:$AA$21,Settings!$Y$2:$Y$21,"Someone on camera?",Settings!$Z$2:$Z$21,P89)+SUMIFS(Settings!$AA$2:$AA$21,Settings!$Y$2:$Y$21,"OK with 3-month term?",Settings!$Z$2:$Z$21,Q89)+SUMIFS(Settings!$AA$2:$AA$21,Settings!$Y$2:$Y$21,"Start timeline",Settings!$Z$2:$Z$21,R89)+SUMIFS(Settings!$AA$2:$AA$21,Settings!$Y$2:$Y$21,"Social media gap",Settings!$Z$2:$Z$21,S89)+IF(E89="",0,IF(COUNTIF(Settings!$AC$2:$AC$6,E89)&gt;0,Settings!$AA$20,Settings!$AA$21)))</f>
        <v/>
      </c>
      <c r="U89" s="44" t="str">
        <f aca="false">IF(D89="","",IF(COUNTA(N89:S89)=0,"Not scored",IF(COUNTA(N89:S89)&lt;6,"Partly scored ("&amp;COUNTA(N89:S89)&amp;"/6)",IF(T89&gt;=Settings!$S$8,"Hot",IF(T89&gt;=Settings!$S$9,"Warm","Cold")))))</f>
        <v/>
      </c>
      <c r="V89" s="44" t="str">
        <f aca="false">IF(D89="","",IF(AND(N89="No",P89="No"),"🚩 Budget  ·  🚩 No one on camera",IF(N89="No","🚩 Budget under AED 5k",IF(P89="No","🚩 No one on camera",""))))</f>
        <v/>
      </c>
      <c r="W89" s="17"/>
      <c r="X89" s="17"/>
      <c r="Y89" s="40"/>
      <c r="Z89" s="17"/>
      <c r="AA89" s="45" t="str">
        <f aca="false">IF(OR(D89="",Y89="",OR(X89="Contract signed + paid",X89="Closed – No response",X89="Lost"),N(Z89)&gt;=Settings!$S$3),"",Y89+Settings!$S$2)</f>
        <v/>
      </c>
      <c r="AB89" s="40"/>
      <c r="AC89" s="41"/>
      <c r="AD89" s="17"/>
      <c r="AE89" s="17"/>
      <c r="AF89" s="17"/>
      <c r="AG89" s="46" t="str">
        <f aca="true">IF(OR(D89="",B89=""),"",INT(TODAY()-B89))</f>
        <v/>
      </c>
      <c r="AH89" s="44" t="str">
        <f aca="true">IF(D89="","",IF(OR(COUNTIFS(Clients!$C$2:$C$501,D89,Clients!$S$2:$S$501,"Paid")&gt;0,AND(H89&lt;&gt;"",COUNTIFS(Clients!$E$2:$E$501,H89,Clients!$S$2:$S$501,"Paid")&gt;0)),"⚠ Refunded before – no free video",IF(OR(X89="Contract signed + paid",X89="Closed – No response",X89="Lost"),"",IF(X89="","Set a stage",IF(AND(X89="Proposal sent",COUNTA(N89:S89)&lt;6),"Score this lead – proposal sent unscored",IF(N(Z89)&gt;=Settings!$S$3,"Close – 4 follow-ups sent",IF(AA89="",IF(Y89="","Make first contact",""),IF(TODAY()&gt;AA89,"OVERDUE follow-up",IF(TODAY()=AA89,"Follow up today","")))))))))</f>
        <v/>
      </c>
    </row>
    <row r="90" customFormat="false" ht="15" hidden="false" customHeight="false" outlineLevel="0" collapsed="false">
      <c r="A90" s="17"/>
      <c r="B90" s="40"/>
      <c r="C90" s="17"/>
      <c r="D90" s="17"/>
      <c r="E90" s="17"/>
      <c r="F90" s="17"/>
      <c r="G90" s="17"/>
      <c r="H90" s="42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44" t="str">
        <f aca="false">IF(OR(D90="",COUNTA(N90:S90)=0),"",SUMIFS(Settings!$AA$2:$AA$21,Settings!$Y$2:$Y$21,"Budget AED 5k+/mo?",Settings!$Z$2:$Z$21,N90)+SUMIFS(Settings!$AA$2:$AA$21,Settings!$Y$2:$Y$21,"Decision-maker?",Settings!$Z$2:$Z$21,O90)+SUMIFS(Settings!$AA$2:$AA$21,Settings!$Y$2:$Y$21,"Someone on camera?",Settings!$Z$2:$Z$21,P90)+SUMIFS(Settings!$AA$2:$AA$21,Settings!$Y$2:$Y$21,"OK with 3-month term?",Settings!$Z$2:$Z$21,Q90)+SUMIFS(Settings!$AA$2:$AA$21,Settings!$Y$2:$Y$21,"Start timeline",Settings!$Z$2:$Z$21,R90)+SUMIFS(Settings!$AA$2:$AA$21,Settings!$Y$2:$Y$21,"Social media gap",Settings!$Z$2:$Z$21,S90)+IF(E90="",0,IF(COUNTIF(Settings!$AC$2:$AC$6,E90)&gt;0,Settings!$AA$20,Settings!$AA$21)))</f>
        <v/>
      </c>
      <c r="U90" s="44" t="str">
        <f aca="false">IF(D90="","",IF(COUNTA(N90:S90)=0,"Not scored",IF(COUNTA(N90:S90)&lt;6,"Partly scored ("&amp;COUNTA(N90:S90)&amp;"/6)",IF(T90&gt;=Settings!$S$8,"Hot",IF(T90&gt;=Settings!$S$9,"Warm","Cold")))))</f>
        <v/>
      </c>
      <c r="V90" s="44" t="str">
        <f aca="false">IF(D90="","",IF(AND(N90="No",P90="No"),"🚩 Budget  ·  🚩 No one on camera",IF(N90="No","🚩 Budget under AED 5k",IF(P90="No","🚩 No one on camera",""))))</f>
        <v/>
      </c>
      <c r="W90" s="17"/>
      <c r="X90" s="17"/>
      <c r="Y90" s="40"/>
      <c r="Z90" s="17"/>
      <c r="AA90" s="45" t="str">
        <f aca="false">IF(OR(D90="",Y90="",OR(X90="Contract signed + paid",X90="Closed – No response",X90="Lost"),N(Z90)&gt;=Settings!$S$3),"",Y90+Settings!$S$2)</f>
        <v/>
      </c>
      <c r="AB90" s="40"/>
      <c r="AC90" s="41"/>
      <c r="AD90" s="17"/>
      <c r="AE90" s="17"/>
      <c r="AF90" s="17"/>
      <c r="AG90" s="46" t="str">
        <f aca="true">IF(OR(D90="",B90=""),"",INT(TODAY()-B90))</f>
        <v/>
      </c>
      <c r="AH90" s="44" t="str">
        <f aca="true">IF(D90="","",IF(OR(COUNTIFS(Clients!$C$2:$C$501,D90,Clients!$S$2:$S$501,"Paid")&gt;0,AND(H90&lt;&gt;"",COUNTIFS(Clients!$E$2:$E$501,H90,Clients!$S$2:$S$501,"Paid")&gt;0)),"⚠ Refunded before – no free video",IF(OR(X90="Contract signed + paid",X90="Closed – No response",X90="Lost"),"",IF(X90="","Set a stage",IF(AND(X90="Proposal sent",COUNTA(N90:S90)&lt;6),"Score this lead – proposal sent unscored",IF(N(Z90)&gt;=Settings!$S$3,"Close – 4 follow-ups sent",IF(AA90="",IF(Y90="","Make first contact",""),IF(TODAY()&gt;AA90,"OVERDUE follow-up",IF(TODAY()=AA90,"Follow up today","")))))))))</f>
        <v/>
      </c>
    </row>
    <row r="91" customFormat="false" ht="15" hidden="false" customHeight="false" outlineLevel="0" collapsed="false">
      <c r="A91" s="17"/>
      <c r="B91" s="40"/>
      <c r="C91" s="17"/>
      <c r="D91" s="17"/>
      <c r="E91" s="17"/>
      <c r="F91" s="17"/>
      <c r="G91" s="17"/>
      <c r="H91" s="42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44" t="str">
        <f aca="false">IF(OR(D91="",COUNTA(N91:S91)=0),"",SUMIFS(Settings!$AA$2:$AA$21,Settings!$Y$2:$Y$21,"Budget AED 5k+/mo?",Settings!$Z$2:$Z$21,N91)+SUMIFS(Settings!$AA$2:$AA$21,Settings!$Y$2:$Y$21,"Decision-maker?",Settings!$Z$2:$Z$21,O91)+SUMIFS(Settings!$AA$2:$AA$21,Settings!$Y$2:$Y$21,"Someone on camera?",Settings!$Z$2:$Z$21,P91)+SUMIFS(Settings!$AA$2:$AA$21,Settings!$Y$2:$Y$21,"OK with 3-month term?",Settings!$Z$2:$Z$21,Q91)+SUMIFS(Settings!$AA$2:$AA$21,Settings!$Y$2:$Y$21,"Start timeline",Settings!$Z$2:$Z$21,R91)+SUMIFS(Settings!$AA$2:$AA$21,Settings!$Y$2:$Y$21,"Social media gap",Settings!$Z$2:$Z$21,S91)+IF(E91="",0,IF(COUNTIF(Settings!$AC$2:$AC$6,E91)&gt;0,Settings!$AA$20,Settings!$AA$21)))</f>
        <v/>
      </c>
      <c r="U91" s="44" t="str">
        <f aca="false">IF(D91="","",IF(COUNTA(N91:S91)=0,"Not scored",IF(COUNTA(N91:S91)&lt;6,"Partly scored ("&amp;COUNTA(N91:S91)&amp;"/6)",IF(T91&gt;=Settings!$S$8,"Hot",IF(T91&gt;=Settings!$S$9,"Warm","Cold")))))</f>
        <v/>
      </c>
      <c r="V91" s="44" t="str">
        <f aca="false">IF(D91="","",IF(AND(N91="No",P91="No"),"🚩 Budget  ·  🚩 No one on camera",IF(N91="No","🚩 Budget under AED 5k",IF(P91="No","🚩 No one on camera",""))))</f>
        <v/>
      </c>
      <c r="W91" s="17"/>
      <c r="X91" s="17"/>
      <c r="Y91" s="40"/>
      <c r="Z91" s="17"/>
      <c r="AA91" s="45" t="str">
        <f aca="false">IF(OR(D91="",Y91="",OR(X91="Contract signed + paid",X91="Closed – No response",X91="Lost"),N(Z91)&gt;=Settings!$S$3),"",Y91+Settings!$S$2)</f>
        <v/>
      </c>
      <c r="AB91" s="40"/>
      <c r="AC91" s="41"/>
      <c r="AD91" s="17"/>
      <c r="AE91" s="17"/>
      <c r="AF91" s="17"/>
      <c r="AG91" s="46" t="str">
        <f aca="true">IF(OR(D91="",B91=""),"",INT(TODAY()-B91))</f>
        <v/>
      </c>
      <c r="AH91" s="44" t="str">
        <f aca="true">IF(D91="","",IF(OR(COUNTIFS(Clients!$C$2:$C$501,D91,Clients!$S$2:$S$501,"Paid")&gt;0,AND(H91&lt;&gt;"",COUNTIFS(Clients!$E$2:$E$501,H91,Clients!$S$2:$S$501,"Paid")&gt;0)),"⚠ Refunded before – no free video",IF(OR(X91="Contract signed + paid",X91="Closed – No response",X91="Lost"),"",IF(X91="","Set a stage",IF(AND(X91="Proposal sent",COUNTA(N91:S91)&lt;6),"Score this lead – proposal sent unscored",IF(N(Z91)&gt;=Settings!$S$3,"Close – 4 follow-ups sent",IF(AA91="",IF(Y91="","Make first contact",""),IF(TODAY()&gt;AA91,"OVERDUE follow-up",IF(TODAY()=AA91,"Follow up today","")))))))))</f>
        <v/>
      </c>
    </row>
    <row r="92" customFormat="false" ht="15" hidden="false" customHeight="false" outlineLevel="0" collapsed="false">
      <c r="A92" s="17"/>
      <c r="B92" s="40"/>
      <c r="C92" s="17"/>
      <c r="D92" s="17"/>
      <c r="E92" s="17"/>
      <c r="F92" s="17"/>
      <c r="G92" s="17"/>
      <c r="H92" s="42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44" t="str">
        <f aca="false">IF(OR(D92="",COUNTA(N92:S92)=0),"",SUMIFS(Settings!$AA$2:$AA$21,Settings!$Y$2:$Y$21,"Budget AED 5k+/mo?",Settings!$Z$2:$Z$21,N92)+SUMIFS(Settings!$AA$2:$AA$21,Settings!$Y$2:$Y$21,"Decision-maker?",Settings!$Z$2:$Z$21,O92)+SUMIFS(Settings!$AA$2:$AA$21,Settings!$Y$2:$Y$21,"Someone on camera?",Settings!$Z$2:$Z$21,P92)+SUMIFS(Settings!$AA$2:$AA$21,Settings!$Y$2:$Y$21,"OK with 3-month term?",Settings!$Z$2:$Z$21,Q92)+SUMIFS(Settings!$AA$2:$AA$21,Settings!$Y$2:$Y$21,"Start timeline",Settings!$Z$2:$Z$21,R92)+SUMIFS(Settings!$AA$2:$AA$21,Settings!$Y$2:$Y$21,"Social media gap",Settings!$Z$2:$Z$21,S92)+IF(E92="",0,IF(COUNTIF(Settings!$AC$2:$AC$6,E92)&gt;0,Settings!$AA$20,Settings!$AA$21)))</f>
        <v/>
      </c>
      <c r="U92" s="44" t="str">
        <f aca="false">IF(D92="","",IF(COUNTA(N92:S92)=0,"Not scored",IF(COUNTA(N92:S92)&lt;6,"Partly scored ("&amp;COUNTA(N92:S92)&amp;"/6)",IF(T92&gt;=Settings!$S$8,"Hot",IF(T92&gt;=Settings!$S$9,"Warm","Cold")))))</f>
        <v/>
      </c>
      <c r="V92" s="44" t="str">
        <f aca="false">IF(D92="","",IF(AND(N92="No",P92="No"),"🚩 Budget  ·  🚩 No one on camera",IF(N92="No","🚩 Budget under AED 5k",IF(P92="No","🚩 No one on camera",""))))</f>
        <v/>
      </c>
      <c r="W92" s="17"/>
      <c r="X92" s="17"/>
      <c r="Y92" s="40"/>
      <c r="Z92" s="17"/>
      <c r="AA92" s="45" t="str">
        <f aca="false">IF(OR(D92="",Y92="",OR(X92="Contract signed + paid",X92="Closed – No response",X92="Lost"),N(Z92)&gt;=Settings!$S$3),"",Y92+Settings!$S$2)</f>
        <v/>
      </c>
      <c r="AB92" s="40"/>
      <c r="AC92" s="41"/>
      <c r="AD92" s="17"/>
      <c r="AE92" s="17"/>
      <c r="AF92" s="17"/>
      <c r="AG92" s="46" t="str">
        <f aca="true">IF(OR(D92="",B92=""),"",INT(TODAY()-B92))</f>
        <v/>
      </c>
      <c r="AH92" s="44" t="str">
        <f aca="true">IF(D92="","",IF(OR(COUNTIFS(Clients!$C$2:$C$501,D92,Clients!$S$2:$S$501,"Paid")&gt;0,AND(H92&lt;&gt;"",COUNTIFS(Clients!$E$2:$E$501,H92,Clients!$S$2:$S$501,"Paid")&gt;0)),"⚠ Refunded before – no free video",IF(OR(X92="Contract signed + paid",X92="Closed – No response",X92="Lost"),"",IF(X92="","Set a stage",IF(AND(X92="Proposal sent",COUNTA(N92:S92)&lt;6),"Score this lead – proposal sent unscored",IF(N(Z92)&gt;=Settings!$S$3,"Close – 4 follow-ups sent",IF(AA92="",IF(Y92="","Make first contact",""),IF(TODAY()&gt;AA92,"OVERDUE follow-up",IF(TODAY()=AA92,"Follow up today","")))))))))</f>
        <v/>
      </c>
    </row>
    <row r="93" customFormat="false" ht="15" hidden="false" customHeight="false" outlineLevel="0" collapsed="false">
      <c r="A93" s="17"/>
      <c r="B93" s="40"/>
      <c r="C93" s="17"/>
      <c r="D93" s="17"/>
      <c r="E93" s="17"/>
      <c r="F93" s="17"/>
      <c r="G93" s="17"/>
      <c r="H93" s="42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44" t="str">
        <f aca="false">IF(OR(D93="",COUNTA(N93:S93)=0),"",SUMIFS(Settings!$AA$2:$AA$21,Settings!$Y$2:$Y$21,"Budget AED 5k+/mo?",Settings!$Z$2:$Z$21,N93)+SUMIFS(Settings!$AA$2:$AA$21,Settings!$Y$2:$Y$21,"Decision-maker?",Settings!$Z$2:$Z$21,O93)+SUMIFS(Settings!$AA$2:$AA$21,Settings!$Y$2:$Y$21,"Someone on camera?",Settings!$Z$2:$Z$21,P93)+SUMIFS(Settings!$AA$2:$AA$21,Settings!$Y$2:$Y$21,"OK with 3-month term?",Settings!$Z$2:$Z$21,Q93)+SUMIFS(Settings!$AA$2:$AA$21,Settings!$Y$2:$Y$21,"Start timeline",Settings!$Z$2:$Z$21,R93)+SUMIFS(Settings!$AA$2:$AA$21,Settings!$Y$2:$Y$21,"Social media gap",Settings!$Z$2:$Z$21,S93)+IF(E93="",0,IF(COUNTIF(Settings!$AC$2:$AC$6,E93)&gt;0,Settings!$AA$20,Settings!$AA$21)))</f>
        <v/>
      </c>
      <c r="U93" s="44" t="str">
        <f aca="false">IF(D93="","",IF(COUNTA(N93:S93)=0,"Not scored",IF(COUNTA(N93:S93)&lt;6,"Partly scored ("&amp;COUNTA(N93:S93)&amp;"/6)",IF(T93&gt;=Settings!$S$8,"Hot",IF(T93&gt;=Settings!$S$9,"Warm","Cold")))))</f>
        <v/>
      </c>
      <c r="V93" s="44" t="str">
        <f aca="false">IF(D93="","",IF(AND(N93="No",P93="No"),"🚩 Budget  ·  🚩 No one on camera",IF(N93="No","🚩 Budget under AED 5k",IF(P93="No","🚩 No one on camera",""))))</f>
        <v/>
      </c>
      <c r="W93" s="17"/>
      <c r="X93" s="17"/>
      <c r="Y93" s="40"/>
      <c r="Z93" s="17"/>
      <c r="AA93" s="45" t="str">
        <f aca="false">IF(OR(D93="",Y93="",OR(X93="Contract signed + paid",X93="Closed – No response",X93="Lost"),N(Z93)&gt;=Settings!$S$3),"",Y93+Settings!$S$2)</f>
        <v/>
      </c>
      <c r="AB93" s="40"/>
      <c r="AC93" s="41"/>
      <c r="AD93" s="17"/>
      <c r="AE93" s="17"/>
      <c r="AF93" s="17"/>
      <c r="AG93" s="46" t="str">
        <f aca="true">IF(OR(D93="",B93=""),"",INT(TODAY()-B93))</f>
        <v/>
      </c>
      <c r="AH93" s="44" t="str">
        <f aca="true">IF(D93="","",IF(OR(COUNTIFS(Clients!$C$2:$C$501,D93,Clients!$S$2:$S$501,"Paid")&gt;0,AND(H93&lt;&gt;"",COUNTIFS(Clients!$E$2:$E$501,H93,Clients!$S$2:$S$501,"Paid")&gt;0)),"⚠ Refunded before – no free video",IF(OR(X93="Contract signed + paid",X93="Closed – No response",X93="Lost"),"",IF(X93="","Set a stage",IF(AND(X93="Proposal sent",COUNTA(N93:S93)&lt;6),"Score this lead – proposal sent unscored",IF(N(Z93)&gt;=Settings!$S$3,"Close – 4 follow-ups sent",IF(AA93="",IF(Y93="","Make first contact",""),IF(TODAY()&gt;AA93,"OVERDUE follow-up",IF(TODAY()=AA93,"Follow up today","")))))))))</f>
        <v/>
      </c>
    </row>
    <row r="94" customFormat="false" ht="15" hidden="false" customHeight="false" outlineLevel="0" collapsed="false">
      <c r="A94" s="17"/>
      <c r="B94" s="40"/>
      <c r="C94" s="17"/>
      <c r="D94" s="17"/>
      <c r="E94" s="17"/>
      <c r="F94" s="17"/>
      <c r="G94" s="17"/>
      <c r="H94" s="42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44" t="str">
        <f aca="false">IF(OR(D94="",COUNTA(N94:S94)=0),"",SUMIFS(Settings!$AA$2:$AA$21,Settings!$Y$2:$Y$21,"Budget AED 5k+/mo?",Settings!$Z$2:$Z$21,N94)+SUMIFS(Settings!$AA$2:$AA$21,Settings!$Y$2:$Y$21,"Decision-maker?",Settings!$Z$2:$Z$21,O94)+SUMIFS(Settings!$AA$2:$AA$21,Settings!$Y$2:$Y$21,"Someone on camera?",Settings!$Z$2:$Z$21,P94)+SUMIFS(Settings!$AA$2:$AA$21,Settings!$Y$2:$Y$21,"OK with 3-month term?",Settings!$Z$2:$Z$21,Q94)+SUMIFS(Settings!$AA$2:$AA$21,Settings!$Y$2:$Y$21,"Start timeline",Settings!$Z$2:$Z$21,R94)+SUMIFS(Settings!$AA$2:$AA$21,Settings!$Y$2:$Y$21,"Social media gap",Settings!$Z$2:$Z$21,S94)+IF(E94="",0,IF(COUNTIF(Settings!$AC$2:$AC$6,E94)&gt;0,Settings!$AA$20,Settings!$AA$21)))</f>
        <v/>
      </c>
      <c r="U94" s="44" t="str">
        <f aca="false">IF(D94="","",IF(COUNTA(N94:S94)=0,"Not scored",IF(COUNTA(N94:S94)&lt;6,"Partly scored ("&amp;COUNTA(N94:S94)&amp;"/6)",IF(T94&gt;=Settings!$S$8,"Hot",IF(T94&gt;=Settings!$S$9,"Warm","Cold")))))</f>
        <v/>
      </c>
      <c r="V94" s="44" t="str">
        <f aca="false">IF(D94="","",IF(AND(N94="No",P94="No"),"🚩 Budget  ·  🚩 No one on camera",IF(N94="No","🚩 Budget under AED 5k",IF(P94="No","🚩 No one on camera",""))))</f>
        <v/>
      </c>
      <c r="W94" s="17"/>
      <c r="X94" s="17"/>
      <c r="Y94" s="40"/>
      <c r="Z94" s="17"/>
      <c r="AA94" s="45" t="str">
        <f aca="false">IF(OR(D94="",Y94="",OR(X94="Contract signed + paid",X94="Closed – No response",X94="Lost"),N(Z94)&gt;=Settings!$S$3),"",Y94+Settings!$S$2)</f>
        <v/>
      </c>
      <c r="AB94" s="40"/>
      <c r="AC94" s="41"/>
      <c r="AD94" s="17"/>
      <c r="AE94" s="17"/>
      <c r="AF94" s="17"/>
      <c r="AG94" s="46" t="str">
        <f aca="true">IF(OR(D94="",B94=""),"",INT(TODAY()-B94))</f>
        <v/>
      </c>
      <c r="AH94" s="44" t="str">
        <f aca="true">IF(D94="","",IF(OR(COUNTIFS(Clients!$C$2:$C$501,D94,Clients!$S$2:$S$501,"Paid")&gt;0,AND(H94&lt;&gt;"",COUNTIFS(Clients!$E$2:$E$501,H94,Clients!$S$2:$S$501,"Paid")&gt;0)),"⚠ Refunded before – no free video",IF(OR(X94="Contract signed + paid",X94="Closed – No response",X94="Lost"),"",IF(X94="","Set a stage",IF(AND(X94="Proposal sent",COUNTA(N94:S94)&lt;6),"Score this lead – proposal sent unscored",IF(N(Z94)&gt;=Settings!$S$3,"Close – 4 follow-ups sent",IF(AA94="",IF(Y94="","Make first contact",""),IF(TODAY()&gt;AA94,"OVERDUE follow-up",IF(TODAY()=AA94,"Follow up today","")))))))))</f>
        <v/>
      </c>
    </row>
    <row r="95" customFormat="false" ht="15" hidden="false" customHeight="false" outlineLevel="0" collapsed="false">
      <c r="A95" s="17"/>
      <c r="B95" s="40"/>
      <c r="C95" s="17"/>
      <c r="D95" s="17"/>
      <c r="E95" s="17"/>
      <c r="F95" s="17"/>
      <c r="G95" s="17"/>
      <c r="H95" s="42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44" t="str">
        <f aca="false">IF(OR(D95="",COUNTA(N95:S95)=0),"",SUMIFS(Settings!$AA$2:$AA$21,Settings!$Y$2:$Y$21,"Budget AED 5k+/mo?",Settings!$Z$2:$Z$21,N95)+SUMIFS(Settings!$AA$2:$AA$21,Settings!$Y$2:$Y$21,"Decision-maker?",Settings!$Z$2:$Z$21,O95)+SUMIFS(Settings!$AA$2:$AA$21,Settings!$Y$2:$Y$21,"Someone on camera?",Settings!$Z$2:$Z$21,P95)+SUMIFS(Settings!$AA$2:$AA$21,Settings!$Y$2:$Y$21,"OK with 3-month term?",Settings!$Z$2:$Z$21,Q95)+SUMIFS(Settings!$AA$2:$AA$21,Settings!$Y$2:$Y$21,"Start timeline",Settings!$Z$2:$Z$21,R95)+SUMIFS(Settings!$AA$2:$AA$21,Settings!$Y$2:$Y$21,"Social media gap",Settings!$Z$2:$Z$21,S95)+IF(E95="",0,IF(COUNTIF(Settings!$AC$2:$AC$6,E95)&gt;0,Settings!$AA$20,Settings!$AA$21)))</f>
        <v/>
      </c>
      <c r="U95" s="44" t="str">
        <f aca="false">IF(D95="","",IF(COUNTA(N95:S95)=0,"Not scored",IF(COUNTA(N95:S95)&lt;6,"Partly scored ("&amp;COUNTA(N95:S95)&amp;"/6)",IF(T95&gt;=Settings!$S$8,"Hot",IF(T95&gt;=Settings!$S$9,"Warm","Cold")))))</f>
        <v/>
      </c>
      <c r="V95" s="44" t="str">
        <f aca="false">IF(D95="","",IF(AND(N95="No",P95="No"),"🚩 Budget  ·  🚩 No one on camera",IF(N95="No","🚩 Budget under AED 5k",IF(P95="No","🚩 No one on camera",""))))</f>
        <v/>
      </c>
      <c r="W95" s="17"/>
      <c r="X95" s="17"/>
      <c r="Y95" s="40"/>
      <c r="Z95" s="17"/>
      <c r="AA95" s="45" t="str">
        <f aca="false">IF(OR(D95="",Y95="",OR(X95="Contract signed + paid",X95="Closed – No response",X95="Lost"),N(Z95)&gt;=Settings!$S$3),"",Y95+Settings!$S$2)</f>
        <v/>
      </c>
      <c r="AB95" s="40"/>
      <c r="AC95" s="41"/>
      <c r="AD95" s="17"/>
      <c r="AE95" s="17"/>
      <c r="AF95" s="17"/>
      <c r="AG95" s="46" t="str">
        <f aca="true">IF(OR(D95="",B95=""),"",INT(TODAY()-B95))</f>
        <v/>
      </c>
      <c r="AH95" s="44" t="str">
        <f aca="true">IF(D95="","",IF(OR(COUNTIFS(Clients!$C$2:$C$501,D95,Clients!$S$2:$S$501,"Paid")&gt;0,AND(H95&lt;&gt;"",COUNTIFS(Clients!$E$2:$E$501,H95,Clients!$S$2:$S$501,"Paid")&gt;0)),"⚠ Refunded before – no free video",IF(OR(X95="Contract signed + paid",X95="Closed – No response",X95="Lost"),"",IF(X95="","Set a stage",IF(AND(X95="Proposal sent",COUNTA(N95:S95)&lt;6),"Score this lead – proposal sent unscored",IF(N(Z95)&gt;=Settings!$S$3,"Close – 4 follow-ups sent",IF(AA95="",IF(Y95="","Make first contact",""),IF(TODAY()&gt;AA95,"OVERDUE follow-up",IF(TODAY()=AA95,"Follow up today","")))))))))</f>
        <v/>
      </c>
    </row>
    <row r="96" customFormat="false" ht="15" hidden="false" customHeight="false" outlineLevel="0" collapsed="false">
      <c r="A96" s="17"/>
      <c r="B96" s="40"/>
      <c r="C96" s="17"/>
      <c r="D96" s="17"/>
      <c r="E96" s="17"/>
      <c r="F96" s="17"/>
      <c r="G96" s="17"/>
      <c r="H96" s="42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44" t="str">
        <f aca="false">IF(OR(D96="",COUNTA(N96:S96)=0),"",SUMIFS(Settings!$AA$2:$AA$21,Settings!$Y$2:$Y$21,"Budget AED 5k+/mo?",Settings!$Z$2:$Z$21,N96)+SUMIFS(Settings!$AA$2:$AA$21,Settings!$Y$2:$Y$21,"Decision-maker?",Settings!$Z$2:$Z$21,O96)+SUMIFS(Settings!$AA$2:$AA$21,Settings!$Y$2:$Y$21,"Someone on camera?",Settings!$Z$2:$Z$21,P96)+SUMIFS(Settings!$AA$2:$AA$21,Settings!$Y$2:$Y$21,"OK with 3-month term?",Settings!$Z$2:$Z$21,Q96)+SUMIFS(Settings!$AA$2:$AA$21,Settings!$Y$2:$Y$21,"Start timeline",Settings!$Z$2:$Z$21,R96)+SUMIFS(Settings!$AA$2:$AA$21,Settings!$Y$2:$Y$21,"Social media gap",Settings!$Z$2:$Z$21,S96)+IF(E96="",0,IF(COUNTIF(Settings!$AC$2:$AC$6,E96)&gt;0,Settings!$AA$20,Settings!$AA$21)))</f>
        <v/>
      </c>
      <c r="U96" s="44" t="str">
        <f aca="false">IF(D96="","",IF(COUNTA(N96:S96)=0,"Not scored",IF(COUNTA(N96:S96)&lt;6,"Partly scored ("&amp;COUNTA(N96:S96)&amp;"/6)",IF(T96&gt;=Settings!$S$8,"Hot",IF(T96&gt;=Settings!$S$9,"Warm","Cold")))))</f>
        <v/>
      </c>
      <c r="V96" s="44" t="str">
        <f aca="false">IF(D96="","",IF(AND(N96="No",P96="No"),"🚩 Budget  ·  🚩 No one on camera",IF(N96="No","🚩 Budget under AED 5k",IF(P96="No","🚩 No one on camera",""))))</f>
        <v/>
      </c>
      <c r="W96" s="17"/>
      <c r="X96" s="17"/>
      <c r="Y96" s="40"/>
      <c r="Z96" s="17"/>
      <c r="AA96" s="45" t="str">
        <f aca="false">IF(OR(D96="",Y96="",OR(X96="Contract signed + paid",X96="Closed – No response",X96="Lost"),N(Z96)&gt;=Settings!$S$3),"",Y96+Settings!$S$2)</f>
        <v/>
      </c>
      <c r="AB96" s="40"/>
      <c r="AC96" s="41"/>
      <c r="AD96" s="17"/>
      <c r="AE96" s="17"/>
      <c r="AF96" s="17"/>
      <c r="AG96" s="46" t="str">
        <f aca="true">IF(OR(D96="",B96=""),"",INT(TODAY()-B96))</f>
        <v/>
      </c>
      <c r="AH96" s="44" t="str">
        <f aca="true">IF(D96="","",IF(OR(COUNTIFS(Clients!$C$2:$C$501,D96,Clients!$S$2:$S$501,"Paid")&gt;0,AND(H96&lt;&gt;"",COUNTIFS(Clients!$E$2:$E$501,H96,Clients!$S$2:$S$501,"Paid")&gt;0)),"⚠ Refunded before – no free video",IF(OR(X96="Contract signed + paid",X96="Closed – No response",X96="Lost"),"",IF(X96="","Set a stage",IF(AND(X96="Proposal sent",COUNTA(N96:S96)&lt;6),"Score this lead – proposal sent unscored",IF(N(Z96)&gt;=Settings!$S$3,"Close – 4 follow-ups sent",IF(AA96="",IF(Y96="","Make first contact",""),IF(TODAY()&gt;AA96,"OVERDUE follow-up",IF(TODAY()=AA96,"Follow up today","")))))))))</f>
        <v/>
      </c>
    </row>
    <row r="97" customFormat="false" ht="15" hidden="false" customHeight="false" outlineLevel="0" collapsed="false">
      <c r="A97" s="17"/>
      <c r="B97" s="40"/>
      <c r="C97" s="17"/>
      <c r="D97" s="17"/>
      <c r="E97" s="17"/>
      <c r="F97" s="17"/>
      <c r="G97" s="17"/>
      <c r="H97" s="42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44" t="str">
        <f aca="false">IF(OR(D97="",COUNTA(N97:S97)=0),"",SUMIFS(Settings!$AA$2:$AA$21,Settings!$Y$2:$Y$21,"Budget AED 5k+/mo?",Settings!$Z$2:$Z$21,N97)+SUMIFS(Settings!$AA$2:$AA$21,Settings!$Y$2:$Y$21,"Decision-maker?",Settings!$Z$2:$Z$21,O97)+SUMIFS(Settings!$AA$2:$AA$21,Settings!$Y$2:$Y$21,"Someone on camera?",Settings!$Z$2:$Z$21,P97)+SUMIFS(Settings!$AA$2:$AA$21,Settings!$Y$2:$Y$21,"OK with 3-month term?",Settings!$Z$2:$Z$21,Q97)+SUMIFS(Settings!$AA$2:$AA$21,Settings!$Y$2:$Y$21,"Start timeline",Settings!$Z$2:$Z$21,R97)+SUMIFS(Settings!$AA$2:$AA$21,Settings!$Y$2:$Y$21,"Social media gap",Settings!$Z$2:$Z$21,S97)+IF(E97="",0,IF(COUNTIF(Settings!$AC$2:$AC$6,E97)&gt;0,Settings!$AA$20,Settings!$AA$21)))</f>
        <v/>
      </c>
      <c r="U97" s="44" t="str">
        <f aca="false">IF(D97="","",IF(COUNTA(N97:S97)=0,"Not scored",IF(COUNTA(N97:S97)&lt;6,"Partly scored ("&amp;COUNTA(N97:S97)&amp;"/6)",IF(T97&gt;=Settings!$S$8,"Hot",IF(T97&gt;=Settings!$S$9,"Warm","Cold")))))</f>
        <v/>
      </c>
      <c r="V97" s="44" t="str">
        <f aca="false">IF(D97="","",IF(AND(N97="No",P97="No"),"🚩 Budget  ·  🚩 No one on camera",IF(N97="No","🚩 Budget under AED 5k",IF(P97="No","🚩 No one on camera",""))))</f>
        <v/>
      </c>
      <c r="W97" s="17"/>
      <c r="X97" s="17"/>
      <c r="Y97" s="40"/>
      <c r="Z97" s="17"/>
      <c r="AA97" s="45" t="str">
        <f aca="false">IF(OR(D97="",Y97="",OR(X97="Contract signed + paid",X97="Closed – No response",X97="Lost"),N(Z97)&gt;=Settings!$S$3),"",Y97+Settings!$S$2)</f>
        <v/>
      </c>
      <c r="AB97" s="40"/>
      <c r="AC97" s="41"/>
      <c r="AD97" s="17"/>
      <c r="AE97" s="17"/>
      <c r="AF97" s="17"/>
      <c r="AG97" s="46" t="str">
        <f aca="true">IF(OR(D97="",B97=""),"",INT(TODAY()-B97))</f>
        <v/>
      </c>
      <c r="AH97" s="44" t="str">
        <f aca="true">IF(D97="","",IF(OR(COUNTIFS(Clients!$C$2:$C$501,D97,Clients!$S$2:$S$501,"Paid")&gt;0,AND(H97&lt;&gt;"",COUNTIFS(Clients!$E$2:$E$501,H97,Clients!$S$2:$S$501,"Paid")&gt;0)),"⚠ Refunded before – no free video",IF(OR(X97="Contract signed + paid",X97="Closed – No response",X97="Lost"),"",IF(X97="","Set a stage",IF(AND(X97="Proposal sent",COUNTA(N97:S97)&lt;6),"Score this lead – proposal sent unscored",IF(N(Z97)&gt;=Settings!$S$3,"Close – 4 follow-ups sent",IF(AA97="",IF(Y97="","Make first contact",""),IF(TODAY()&gt;AA97,"OVERDUE follow-up",IF(TODAY()=AA97,"Follow up today","")))))))))</f>
        <v/>
      </c>
    </row>
    <row r="98" customFormat="false" ht="15" hidden="false" customHeight="false" outlineLevel="0" collapsed="false">
      <c r="A98" s="17"/>
      <c r="B98" s="40"/>
      <c r="C98" s="17"/>
      <c r="D98" s="17"/>
      <c r="E98" s="17"/>
      <c r="F98" s="17"/>
      <c r="G98" s="17"/>
      <c r="H98" s="42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44" t="str">
        <f aca="false">IF(OR(D98="",COUNTA(N98:S98)=0),"",SUMIFS(Settings!$AA$2:$AA$21,Settings!$Y$2:$Y$21,"Budget AED 5k+/mo?",Settings!$Z$2:$Z$21,N98)+SUMIFS(Settings!$AA$2:$AA$21,Settings!$Y$2:$Y$21,"Decision-maker?",Settings!$Z$2:$Z$21,O98)+SUMIFS(Settings!$AA$2:$AA$21,Settings!$Y$2:$Y$21,"Someone on camera?",Settings!$Z$2:$Z$21,P98)+SUMIFS(Settings!$AA$2:$AA$21,Settings!$Y$2:$Y$21,"OK with 3-month term?",Settings!$Z$2:$Z$21,Q98)+SUMIFS(Settings!$AA$2:$AA$21,Settings!$Y$2:$Y$21,"Start timeline",Settings!$Z$2:$Z$21,R98)+SUMIFS(Settings!$AA$2:$AA$21,Settings!$Y$2:$Y$21,"Social media gap",Settings!$Z$2:$Z$21,S98)+IF(E98="",0,IF(COUNTIF(Settings!$AC$2:$AC$6,E98)&gt;0,Settings!$AA$20,Settings!$AA$21)))</f>
        <v/>
      </c>
      <c r="U98" s="44" t="str">
        <f aca="false">IF(D98="","",IF(COUNTA(N98:S98)=0,"Not scored",IF(COUNTA(N98:S98)&lt;6,"Partly scored ("&amp;COUNTA(N98:S98)&amp;"/6)",IF(T98&gt;=Settings!$S$8,"Hot",IF(T98&gt;=Settings!$S$9,"Warm","Cold")))))</f>
        <v/>
      </c>
      <c r="V98" s="44" t="str">
        <f aca="false">IF(D98="","",IF(AND(N98="No",P98="No"),"🚩 Budget  ·  🚩 No one on camera",IF(N98="No","🚩 Budget under AED 5k",IF(P98="No","🚩 No one on camera",""))))</f>
        <v/>
      </c>
      <c r="W98" s="17"/>
      <c r="X98" s="17"/>
      <c r="Y98" s="40"/>
      <c r="Z98" s="17"/>
      <c r="AA98" s="45" t="str">
        <f aca="false">IF(OR(D98="",Y98="",OR(X98="Contract signed + paid",X98="Closed – No response",X98="Lost"),N(Z98)&gt;=Settings!$S$3),"",Y98+Settings!$S$2)</f>
        <v/>
      </c>
      <c r="AB98" s="40"/>
      <c r="AC98" s="41"/>
      <c r="AD98" s="17"/>
      <c r="AE98" s="17"/>
      <c r="AF98" s="17"/>
      <c r="AG98" s="46" t="str">
        <f aca="true">IF(OR(D98="",B98=""),"",INT(TODAY()-B98))</f>
        <v/>
      </c>
      <c r="AH98" s="44" t="str">
        <f aca="true">IF(D98="","",IF(OR(COUNTIFS(Clients!$C$2:$C$501,D98,Clients!$S$2:$S$501,"Paid")&gt;0,AND(H98&lt;&gt;"",COUNTIFS(Clients!$E$2:$E$501,H98,Clients!$S$2:$S$501,"Paid")&gt;0)),"⚠ Refunded before – no free video",IF(OR(X98="Contract signed + paid",X98="Closed – No response",X98="Lost"),"",IF(X98="","Set a stage",IF(AND(X98="Proposal sent",COUNTA(N98:S98)&lt;6),"Score this lead – proposal sent unscored",IF(N(Z98)&gt;=Settings!$S$3,"Close – 4 follow-ups sent",IF(AA98="",IF(Y98="","Make first contact",""),IF(TODAY()&gt;AA98,"OVERDUE follow-up",IF(TODAY()=AA98,"Follow up today","")))))))))</f>
        <v/>
      </c>
    </row>
    <row r="99" customFormat="false" ht="15" hidden="false" customHeight="false" outlineLevel="0" collapsed="false">
      <c r="A99" s="17"/>
      <c r="B99" s="40"/>
      <c r="C99" s="17"/>
      <c r="D99" s="17"/>
      <c r="E99" s="17"/>
      <c r="F99" s="17"/>
      <c r="G99" s="17"/>
      <c r="H99" s="42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44" t="str">
        <f aca="false">IF(OR(D99="",COUNTA(N99:S99)=0),"",SUMIFS(Settings!$AA$2:$AA$21,Settings!$Y$2:$Y$21,"Budget AED 5k+/mo?",Settings!$Z$2:$Z$21,N99)+SUMIFS(Settings!$AA$2:$AA$21,Settings!$Y$2:$Y$21,"Decision-maker?",Settings!$Z$2:$Z$21,O99)+SUMIFS(Settings!$AA$2:$AA$21,Settings!$Y$2:$Y$21,"Someone on camera?",Settings!$Z$2:$Z$21,P99)+SUMIFS(Settings!$AA$2:$AA$21,Settings!$Y$2:$Y$21,"OK with 3-month term?",Settings!$Z$2:$Z$21,Q99)+SUMIFS(Settings!$AA$2:$AA$21,Settings!$Y$2:$Y$21,"Start timeline",Settings!$Z$2:$Z$21,R99)+SUMIFS(Settings!$AA$2:$AA$21,Settings!$Y$2:$Y$21,"Social media gap",Settings!$Z$2:$Z$21,S99)+IF(E99="",0,IF(COUNTIF(Settings!$AC$2:$AC$6,E99)&gt;0,Settings!$AA$20,Settings!$AA$21)))</f>
        <v/>
      </c>
      <c r="U99" s="44" t="str">
        <f aca="false">IF(D99="","",IF(COUNTA(N99:S99)=0,"Not scored",IF(COUNTA(N99:S99)&lt;6,"Partly scored ("&amp;COUNTA(N99:S99)&amp;"/6)",IF(T99&gt;=Settings!$S$8,"Hot",IF(T99&gt;=Settings!$S$9,"Warm","Cold")))))</f>
        <v/>
      </c>
      <c r="V99" s="44" t="str">
        <f aca="false">IF(D99="","",IF(AND(N99="No",P99="No"),"🚩 Budget  ·  🚩 No one on camera",IF(N99="No","🚩 Budget under AED 5k",IF(P99="No","🚩 No one on camera",""))))</f>
        <v/>
      </c>
      <c r="W99" s="17"/>
      <c r="X99" s="17"/>
      <c r="Y99" s="40"/>
      <c r="Z99" s="17"/>
      <c r="AA99" s="45" t="str">
        <f aca="false">IF(OR(D99="",Y99="",OR(X99="Contract signed + paid",X99="Closed – No response",X99="Lost"),N(Z99)&gt;=Settings!$S$3),"",Y99+Settings!$S$2)</f>
        <v/>
      </c>
      <c r="AB99" s="40"/>
      <c r="AC99" s="41"/>
      <c r="AD99" s="17"/>
      <c r="AE99" s="17"/>
      <c r="AF99" s="17"/>
      <c r="AG99" s="46" t="str">
        <f aca="true">IF(OR(D99="",B99=""),"",INT(TODAY()-B99))</f>
        <v/>
      </c>
      <c r="AH99" s="44" t="str">
        <f aca="true">IF(D99="","",IF(OR(COUNTIFS(Clients!$C$2:$C$501,D99,Clients!$S$2:$S$501,"Paid")&gt;0,AND(H99&lt;&gt;"",COUNTIFS(Clients!$E$2:$E$501,H99,Clients!$S$2:$S$501,"Paid")&gt;0)),"⚠ Refunded before – no free video",IF(OR(X99="Contract signed + paid",X99="Closed – No response",X99="Lost"),"",IF(X99="","Set a stage",IF(AND(X99="Proposal sent",COUNTA(N99:S99)&lt;6),"Score this lead – proposal sent unscored",IF(N(Z99)&gt;=Settings!$S$3,"Close – 4 follow-ups sent",IF(AA99="",IF(Y99="","Make first contact",""),IF(TODAY()&gt;AA99,"OVERDUE follow-up",IF(TODAY()=AA99,"Follow up today","")))))))))</f>
        <v/>
      </c>
    </row>
    <row r="100" customFormat="false" ht="15" hidden="false" customHeight="false" outlineLevel="0" collapsed="false">
      <c r="A100" s="17"/>
      <c r="B100" s="40"/>
      <c r="C100" s="17"/>
      <c r="D100" s="17"/>
      <c r="E100" s="17"/>
      <c r="F100" s="17"/>
      <c r="G100" s="17"/>
      <c r="H100" s="42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44" t="str">
        <f aca="false">IF(OR(D100="",COUNTA(N100:S100)=0),"",SUMIFS(Settings!$AA$2:$AA$21,Settings!$Y$2:$Y$21,"Budget AED 5k+/mo?",Settings!$Z$2:$Z$21,N100)+SUMIFS(Settings!$AA$2:$AA$21,Settings!$Y$2:$Y$21,"Decision-maker?",Settings!$Z$2:$Z$21,O100)+SUMIFS(Settings!$AA$2:$AA$21,Settings!$Y$2:$Y$21,"Someone on camera?",Settings!$Z$2:$Z$21,P100)+SUMIFS(Settings!$AA$2:$AA$21,Settings!$Y$2:$Y$21,"OK with 3-month term?",Settings!$Z$2:$Z$21,Q100)+SUMIFS(Settings!$AA$2:$AA$21,Settings!$Y$2:$Y$21,"Start timeline",Settings!$Z$2:$Z$21,R100)+SUMIFS(Settings!$AA$2:$AA$21,Settings!$Y$2:$Y$21,"Social media gap",Settings!$Z$2:$Z$21,S100)+IF(E100="",0,IF(COUNTIF(Settings!$AC$2:$AC$6,E100)&gt;0,Settings!$AA$20,Settings!$AA$21)))</f>
        <v/>
      </c>
      <c r="U100" s="44" t="str">
        <f aca="false">IF(D100="","",IF(COUNTA(N100:S100)=0,"Not scored",IF(COUNTA(N100:S100)&lt;6,"Partly scored ("&amp;COUNTA(N100:S100)&amp;"/6)",IF(T100&gt;=Settings!$S$8,"Hot",IF(T100&gt;=Settings!$S$9,"Warm","Cold")))))</f>
        <v/>
      </c>
      <c r="V100" s="44" t="str">
        <f aca="false">IF(D100="","",IF(AND(N100="No",P100="No"),"🚩 Budget  ·  🚩 No one on camera",IF(N100="No","🚩 Budget under AED 5k",IF(P100="No","🚩 No one on camera",""))))</f>
        <v/>
      </c>
      <c r="W100" s="17"/>
      <c r="X100" s="17"/>
      <c r="Y100" s="40"/>
      <c r="Z100" s="17"/>
      <c r="AA100" s="45" t="str">
        <f aca="false">IF(OR(D100="",Y100="",OR(X100="Contract signed + paid",X100="Closed – No response",X100="Lost"),N(Z100)&gt;=Settings!$S$3),"",Y100+Settings!$S$2)</f>
        <v/>
      </c>
      <c r="AB100" s="40"/>
      <c r="AC100" s="41"/>
      <c r="AD100" s="17"/>
      <c r="AE100" s="17"/>
      <c r="AF100" s="17"/>
      <c r="AG100" s="46" t="str">
        <f aca="true">IF(OR(D100="",B100=""),"",INT(TODAY()-B100))</f>
        <v/>
      </c>
      <c r="AH100" s="44" t="str">
        <f aca="true">IF(D100="","",IF(OR(COUNTIFS(Clients!$C$2:$C$501,D100,Clients!$S$2:$S$501,"Paid")&gt;0,AND(H100&lt;&gt;"",COUNTIFS(Clients!$E$2:$E$501,H100,Clients!$S$2:$S$501,"Paid")&gt;0)),"⚠ Refunded before – no free video",IF(OR(X100="Contract signed + paid",X100="Closed – No response",X100="Lost"),"",IF(X100="","Set a stage",IF(AND(X100="Proposal sent",COUNTA(N100:S100)&lt;6),"Score this lead – proposal sent unscored",IF(N(Z100)&gt;=Settings!$S$3,"Close – 4 follow-ups sent",IF(AA100="",IF(Y100="","Make first contact",""),IF(TODAY()&gt;AA100,"OVERDUE follow-up",IF(TODAY()=AA100,"Follow up today","")))))))))</f>
        <v/>
      </c>
    </row>
    <row r="101" customFormat="false" ht="15" hidden="false" customHeight="false" outlineLevel="0" collapsed="false">
      <c r="A101" s="17"/>
      <c r="B101" s="40"/>
      <c r="C101" s="17"/>
      <c r="D101" s="17"/>
      <c r="E101" s="17"/>
      <c r="F101" s="17"/>
      <c r="G101" s="17"/>
      <c r="H101" s="42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44" t="str">
        <f aca="false">IF(OR(D101="",COUNTA(N101:S101)=0),"",SUMIFS(Settings!$AA$2:$AA$21,Settings!$Y$2:$Y$21,"Budget AED 5k+/mo?",Settings!$Z$2:$Z$21,N101)+SUMIFS(Settings!$AA$2:$AA$21,Settings!$Y$2:$Y$21,"Decision-maker?",Settings!$Z$2:$Z$21,O101)+SUMIFS(Settings!$AA$2:$AA$21,Settings!$Y$2:$Y$21,"Someone on camera?",Settings!$Z$2:$Z$21,P101)+SUMIFS(Settings!$AA$2:$AA$21,Settings!$Y$2:$Y$21,"OK with 3-month term?",Settings!$Z$2:$Z$21,Q101)+SUMIFS(Settings!$AA$2:$AA$21,Settings!$Y$2:$Y$21,"Start timeline",Settings!$Z$2:$Z$21,R101)+SUMIFS(Settings!$AA$2:$AA$21,Settings!$Y$2:$Y$21,"Social media gap",Settings!$Z$2:$Z$21,S101)+IF(E101="",0,IF(COUNTIF(Settings!$AC$2:$AC$6,E101)&gt;0,Settings!$AA$20,Settings!$AA$21)))</f>
        <v/>
      </c>
      <c r="U101" s="44" t="str">
        <f aca="false">IF(D101="","",IF(COUNTA(N101:S101)=0,"Not scored",IF(COUNTA(N101:S101)&lt;6,"Partly scored ("&amp;COUNTA(N101:S101)&amp;"/6)",IF(T101&gt;=Settings!$S$8,"Hot",IF(T101&gt;=Settings!$S$9,"Warm","Cold")))))</f>
        <v/>
      </c>
      <c r="V101" s="44" t="str">
        <f aca="false">IF(D101="","",IF(AND(N101="No",P101="No"),"🚩 Budget  ·  🚩 No one on camera",IF(N101="No","🚩 Budget under AED 5k",IF(P101="No","🚩 No one on camera",""))))</f>
        <v/>
      </c>
      <c r="W101" s="17"/>
      <c r="X101" s="17"/>
      <c r="Y101" s="40"/>
      <c r="Z101" s="17"/>
      <c r="AA101" s="45" t="str">
        <f aca="false">IF(OR(D101="",Y101="",OR(X101="Contract signed + paid",X101="Closed – No response",X101="Lost"),N(Z101)&gt;=Settings!$S$3),"",Y101+Settings!$S$2)</f>
        <v/>
      </c>
      <c r="AB101" s="40"/>
      <c r="AC101" s="41"/>
      <c r="AD101" s="17"/>
      <c r="AE101" s="17"/>
      <c r="AF101" s="17"/>
      <c r="AG101" s="46" t="str">
        <f aca="true">IF(OR(D101="",B101=""),"",INT(TODAY()-B101))</f>
        <v/>
      </c>
      <c r="AH101" s="44" t="str">
        <f aca="true">IF(D101="","",IF(OR(COUNTIFS(Clients!$C$2:$C$501,D101,Clients!$S$2:$S$501,"Paid")&gt;0,AND(H101&lt;&gt;"",COUNTIFS(Clients!$E$2:$E$501,H101,Clients!$S$2:$S$501,"Paid")&gt;0)),"⚠ Refunded before – no free video",IF(OR(X101="Contract signed + paid",X101="Closed – No response",X101="Lost"),"",IF(X101="","Set a stage",IF(AND(X101="Proposal sent",COUNTA(N101:S101)&lt;6),"Score this lead – proposal sent unscored",IF(N(Z101)&gt;=Settings!$S$3,"Close – 4 follow-ups sent",IF(AA101="",IF(Y101="","Make first contact",""),IF(TODAY()&gt;AA101,"OVERDUE follow-up",IF(TODAY()=AA101,"Follow up today","")))))))))</f>
        <v/>
      </c>
    </row>
    <row r="102" customFormat="false" ht="15" hidden="false" customHeight="false" outlineLevel="0" collapsed="false">
      <c r="A102" s="17"/>
      <c r="B102" s="40"/>
      <c r="C102" s="17"/>
      <c r="D102" s="17"/>
      <c r="E102" s="17"/>
      <c r="F102" s="17"/>
      <c r="G102" s="17"/>
      <c r="H102" s="42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44" t="str">
        <f aca="false">IF(OR(D102="",COUNTA(N102:S102)=0),"",SUMIFS(Settings!$AA$2:$AA$21,Settings!$Y$2:$Y$21,"Budget AED 5k+/mo?",Settings!$Z$2:$Z$21,N102)+SUMIFS(Settings!$AA$2:$AA$21,Settings!$Y$2:$Y$21,"Decision-maker?",Settings!$Z$2:$Z$21,O102)+SUMIFS(Settings!$AA$2:$AA$21,Settings!$Y$2:$Y$21,"Someone on camera?",Settings!$Z$2:$Z$21,P102)+SUMIFS(Settings!$AA$2:$AA$21,Settings!$Y$2:$Y$21,"OK with 3-month term?",Settings!$Z$2:$Z$21,Q102)+SUMIFS(Settings!$AA$2:$AA$21,Settings!$Y$2:$Y$21,"Start timeline",Settings!$Z$2:$Z$21,R102)+SUMIFS(Settings!$AA$2:$AA$21,Settings!$Y$2:$Y$21,"Social media gap",Settings!$Z$2:$Z$21,S102)+IF(E102="",0,IF(COUNTIF(Settings!$AC$2:$AC$6,E102)&gt;0,Settings!$AA$20,Settings!$AA$21)))</f>
        <v/>
      </c>
      <c r="U102" s="44" t="str">
        <f aca="false">IF(D102="","",IF(COUNTA(N102:S102)=0,"Not scored",IF(COUNTA(N102:S102)&lt;6,"Partly scored ("&amp;COUNTA(N102:S102)&amp;"/6)",IF(T102&gt;=Settings!$S$8,"Hot",IF(T102&gt;=Settings!$S$9,"Warm","Cold")))))</f>
        <v/>
      </c>
      <c r="V102" s="44" t="str">
        <f aca="false">IF(D102="","",IF(AND(N102="No",P102="No"),"🚩 Budget  ·  🚩 No one on camera",IF(N102="No","🚩 Budget under AED 5k",IF(P102="No","🚩 No one on camera",""))))</f>
        <v/>
      </c>
      <c r="W102" s="17"/>
      <c r="X102" s="17"/>
      <c r="Y102" s="40"/>
      <c r="Z102" s="17"/>
      <c r="AA102" s="45" t="str">
        <f aca="false">IF(OR(D102="",Y102="",OR(X102="Contract signed + paid",X102="Closed – No response",X102="Lost"),N(Z102)&gt;=Settings!$S$3),"",Y102+Settings!$S$2)</f>
        <v/>
      </c>
      <c r="AB102" s="40"/>
      <c r="AC102" s="41"/>
      <c r="AD102" s="17"/>
      <c r="AE102" s="17"/>
      <c r="AF102" s="17"/>
      <c r="AG102" s="46" t="str">
        <f aca="true">IF(OR(D102="",B102=""),"",INT(TODAY()-B102))</f>
        <v/>
      </c>
      <c r="AH102" s="44" t="str">
        <f aca="true">IF(D102="","",IF(OR(COUNTIFS(Clients!$C$2:$C$501,D102,Clients!$S$2:$S$501,"Paid")&gt;0,AND(H102&lt;&gt;"",COUNTIFS(Clients!$E$2:$E$501,H102,Clients!$S$2:$S$501,"Paid")&gt;0)),"⚠ Refunded before – no free video",IF(OR(X102="Contract signed + paid",X102="Closed – No response",X102="Lost"),"",IF(X102="","Set a stage",IF(AND(X102="Proposal sent",COUNTA(N102:S102)&lt;6),"Score this lead – proposal sent unscored",IF(N(Z102)&gt;=Settings!$S$3,"Close – 4 follow-ups sent",IF(AA102="",IF(Y102="","Make first contact",""),IF(TODAY()&gt;AA102,"OVERDUE follow-up",IF(TODAY()=AA102,"Follow up today","")))))))))</f>
        <v/>
      </c>
    </row>
    <row r="103" customFormat="false" ht="15" hidden="false" customHeight="false" outlineLevel="0" collapsed="false">
      <c r="A103" s="17"/>
      <c r="B103" s="40"/>
      <c r="C103" s="17"/>
      <c r="D103" s="17"/>
      <c r="E103" s="17"/>
      <c r="F103" s="17"/>
      <c r="G103" s="17"/>
      <c r="H103" s="42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44" t="str">
        <f aca="false">IF(OR(D103="",COUNTA(N103:S103)=0),"",SUMIFS(Settings!$AA$2:$AA$21,Settings!$Y$2:$Y$21,"Budget AED 5k+/mo?",Settings!$Z$2:$Z$21,N103)+SUMIFS(Settings!$AA$2:$AA$21,Settings!$Y$2:$Y$21,"Decision-maker?",Settings!$Z$2:$Z$21,O103)+SUMIFS(Settings!$AA$2:$AA$21,Settings!$Y$2:$Y$21,"Someone on camera?",Settings!$Z$2:$Z$21,P103)+SUMIFS(Settings!$AA$2:$AA$21,Settings!$Y$2:$Y$21,"OK with 3-month term?",Settings!$Z$2:$Z$21,Q103)+SUMIFS(Settings!$AA$2:$AA$21,Settings!$Y$2:$Y$21,"Start timeline",Settings!$Z$2:$Z$21,R103)+SUMIFS(Settings!$AA$2:$AA$21,Settings!$Y$2:$Y$21,"Social media gap",Settings!$Z$2:$Z$21,S103)+IF(E103="",0,IF(COUNTIF(Settings!$AC$2:$AC$6,E103)&gt;0,Settings!$AA$20,Settings!$AA$21)))</f>
        <v/>
      </c>
      <c r="U103" s="44" t="str">
        <f aca="false">IF(D103="","",IF(COUNTA(N103:S103)=0,"Not scored",IF(COUNTA(N103:S103)&lt;6,"Partly scored ("&amp;COUNTA(N103:S103)&amp;"/6)",IF(T103&gt;=Settings!$S$8,"Hot",IF(T103&gt;=Settings!$S$9,"Warm","Cold")))))</f>
        <v/>
      </c>
      <c r="V103" s="44" t="str">
        <f aca="false">IF(D103="","",IF(AND(N103="No",P103="No"),"🚩 Budget  ·  🚩 No one on camera",IF(N103="No","🚩 Budget under AED 5k",IF(P103="No","🚩 No one on camera",""))))</f>
        <v/>
      </c>
      <c r="W103" s="17"/>
      <c r="X103" s="17"/>
      <c r="Y103" s="40"/>
      <c r="Z103" s="17"/>
      <c r="AA103" s="45" t="str">
        <f aca="false">IF(OR(D103="",Y103="",OR(X103="Contract signed + paid",X103="Closed – No response",X103="Lost"),N(Z103)&gt;=Settings!$S$3),"",Y103+Settings!$S$2)</f>
        <v/>
      </c>
      <c r="AB103" s="40"/>
      <c r="AC103" s="41"/>
      <c r="AD103" s="17"/>
      <c r="AE103" s="17"/>
      <c r="AF103" s="17"/>
      <c r="AG103" s="46" t="str">
        <f aca="true">IF(OR(D103="",B103=""),"",INT(TODAY()-B103))</f>
        <v/>
      </c>
      <c r="AH103" s="44" t="str">
        <f aca="true">IF(D103="","",IF(OR(COUNTIFS(Clients!$C$2:$C$501,D103,Clients!$S$2:$S$501,"Paid")&gt;0,AND(H103&lt;&gt;"",COUNTIFS(Clients!$E$2:$E$501,H103,Clients!$S$2:$S$501,"Paid")&gt;0)),"⚠ Refunded before – no free video",IF(OR(X103="Contract signed + paid",X103="Closed – No response",X103="Lost"),"",IF(X103="","Set a stage",IF(AND(X103="Proposal sent",COUNTA(N103:S103)&lt;6),"Score this lead – proposal sent unscored",IF(N(Z103)&gt;=Settings!$S$3,"Close – 4 follow-ups sent",IF(AA103="",IF(Y103="","Make first contact",""),IF(TODAY()&gt;AA103,"OVERDUE follow-up",IF(TODAY()=AA103,"Follow up today","")))))))))</f>
        <v/>
      </c>
    </row>
    <row r="104" customFormat="false" ht="15" hidden="false" customHeight="false" outlineLevel="0" collapsed="false">
      <c r="A104" s="17"/>
      <c r="B104" s="40"/>
      <c r="C104" s="17"/>
      <c r="D104" s="17"/>
      <c r="E104" s="17"/>
      <c r="F104" s="17"/>
      <c r="G104" s="17"/>
      <c r="H104" s="42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44" t="str">
        <f aca="false">IF(OR(D104="",COUNTA(N104:S104)=0),"",SUMIFS(Settings!$AA$2:$AA$21,Settings!$Y$2:$Y$21,"Budget AED 5k+/mo?",Settings!$Z$2:$Z$21,N104)+SUMIFS(Settings!$AA$2:$AA$21,Settings!$Y$2:$Y$21,"Decision-maker?",Settings!$Z$2:$Z$21,O104)+SUMIFS(Settings!$AA$2:$AA$21,Settings!$Y$2:$Y$21,"Someone on camera?",Settings!$Z$2:$Z$21,P104)+SUMIFS(Settings!$AA$2:$AA$21,Settings!$Y$2:$Y$21,"OK with 3-month term?",Settings!$Z$2:$Z$21,Q104)+SUMIFS(Settings!$AA$2:$AA$21,Settings!$Y$2:$Y$21,"Start timeline",Settings!$Z$2:$Z$21,R104)+SUMIFS(Settings!$AA$2:$AA$21,Settings!$Y$2:$Y$21,"Social media gap",Settings!$Z$2:$Z$21,S104)+IF(E104="",0,IF(COUNTIF(Settings!$AC$2:$AC$6,E104)&gt;0,Settings!$AA$20,Settings!$AA$21)))</f>
        <v/>
      </c>
      <c r="U104" s="44" t="str">
        <f aca="false">IF(D104="","",IF(COUNTA(N104:S104)=0,"Not scored",IF(COUNTA(N104:S104)&lt;6,"Partly scored ("&amp;COUNTA(N104:S104)&amp;"/6)",IF(T104&gt;=Settings!$S$8,"Hot",IF(T104&gt;=Settings!$S$9,"Warm","Cold")))))</f>
        <v/>
      </c>
      <c r="V104" s="44" t="str">
        <f aca="false">IF(D104="","",IF(AND(N104="No",P104="No"),"🚩 Budget  ·  🚩 No one on camera",IF(N104="No","🚩 Budget under AED 5k",IF(P104="No","🚩 No one on camera",""))))</f>
        <v/>
      </c>
      <c r="W104" s="17"/>
      <c r="X104" s="17"/>
      <c r="Y104" s="40"/>
      <c r="Z104" s="17"/>
      <c r="AA104" s="45" t="str">
        <f aca="false">IF(OR(D104="",Y104="",OR(X104="Contract signed + paid",X104="Closed – No response",X104="Lost"),N(Z104)&gt;=Settings!$S$3),"",Y104+Settings!$S$2)</f>
        <v/>
      </c>
      <c r="AB104" s="40"/>
      <c r="AC104" s="41"/>
      <c r="AD104" s="17"/>
      <c r="AE104" s="17"/>
      <c r="AF104" s="17"/>
      <c r="AG104" s="46" t="str">
        <f aca="true">IF(OR(D104="",B104=""),"",INT(TODAY()-B104))</f>
        <v/>
      </c>
      <c r="AH104" s="44" t="str">
        <f aca="true">IF(D104="","",IF(OR(COUNTIFS(Clients!$C$2:$C$501,D104,Clients!$S$2:$S$501,"Paid")&gt;0,AND(H104&lt;&gt;"",COUNTIFS(Clients!$E$2:$E$501,H104,Clients!$S$2:$S$501,"Paid")&gt;0)),"⚠ Refunded before – no free video",IF(OR(X104="Contract signed + paid",X104="Closed – No response",X104="Lost"),"",IF(X104="","Set a stage",IF(AND(X104="Proposal sent",COUNTA(N104:S104)&lt;6),"Score this lead – proposal sent unscored",IF(N(Z104)&gt;=Settings!$S$3,"Close – 4 follow-ups sent",IF(AA104="",IF(Y104="","Make first contact",""),IF(TODAY()&gt;AA104,"OVERDUE follow-up",IF(TODAY()=AA104,"Follow up today","")))))))))</f>
        <v/>
      </c>
    </row>
    <row r="105" customFormat="false" ht="15" hidden="false" customHeight="false" outlineLevel="0" collapsed="false">
      <c r="A105" s="17"/>
      <c r="B105" s="40"/>
      <c r="C105" s="17"/>
      <c r="D105" s="17"/>
      <c r="E105" s="17"/>
      <c r="F105" s="17"/>
      <c r="G105" s="17"/>
      <c r="H105" s="42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44" t="str">
        <f aca="false">IF(OR(D105="",COUNTA(N105:S105)=0),"",SUMIFS(Settings!$AA$2:$AA$21,Settings!$Y$2:$Y$21,"Budget AED 5k+/mo?",Settings!$Z$2:$Z$21,N105)+SUMIFS(Settings!$AA$2:$AA$21,Settings!$Y$2:$Y$21,"Decision-maker?",Settings!$Z$2:$Z$21,O105)+SUMIFS(Settings!$AA$2:$AA$21,Settings!$Y$2:$Y$21,"Someone on camera?",Settings!$Z$2:$Z$21,P105)+SUMIFS(Settings!$AA$2:$AA$21,Settings!$Y$2:$Y$21,"OK with 3-month term?",Settings!$Z$2:$Z$21,Q105)+SUMIFS(Settings!$AA$2:$AA$21,Settings!$Y$2:$Y$21,"Start timeline",Settings!$Z$2:$Z$21,R105)+SUMIFS(Settings!$AA$2:$AA$21,Settings!$Y$2:$Y$21,"Social media gap",Settings!$Z$2:$Z$21,S105)+IF(E105="",0,IF(COUNTIF(Settings!$AC$2:$AC$6,E105)&gt;0,Settings!$AA$20,Settings!$AA$21)))</f>
        <v/>
      </c>
      <c r="U105" s="44" t="str">
        <f aca="false">IF(D105="","",IF(COUNTA(N105:S105)=0,"Not scored",IF(COUNTA(N105:S105)&lt;6,"Partly scored ("&amp;COUNTA(N105:S105)&amp;"/6)",IF(T105&gt;=Settings!$S$8,"Hot",IF(T105&gt;=Settings!$S$9,"Warm","Cold")))))</f>
        <v/>
      </c>
      <c r="V105" s="44" t="str">
        <f aca="false">IF(D105="","",IF(AND(N105="No",P105="No"),"🚩 Budget  ·  🚩 No one on camera",IF(N105="No","🚩 Budget under AED 5k",IF(P105="No","🚩 No one on camera",""))))</f>
        <v/>
      </c>
      <c r="W105" s="17"/>
      <c r="X105" s="17"/>
      <c r="Y105" s="40"/>
      <c r="Z105" s="17"/>
      <c r="AA105" s="45" t="str">
        <f aca="false">IF(OR(D105="",Y105="",OR(X105="Contract signed + paid",X105="Closed – No response",X105="Lost"),N(Z105)&gt;=Settings!$S$3),"",Y105+Settings!$S$2)</f>
        <v/>
      </c>
      <c r="AB105" s="40"/>
      <c r="AC105" s="41"/>
      <c r="AD105" s="17"/>
      <c r="AE105" s="17"/>
      <c r="AF105" s="17"/>
      <c r="AG105" s="46" t="str">
        <f aca="true">IF(OR(D105="",B105=""),"",INT(TODAY()-B105))</f>
        <v/>
      </c>
      <c r="AH105" s="44" t="str">
        <f aca="true">IF(D105="","",IF(OR(COUNTIFS(Clients!$C$2:$C$501,D105,Clients!$S$2:$S$501,"Paid")&gt;0,AND(H105&lt;&gt;"",COUNTIFS(Clients!$E$2:$E$501,H105,Clients!$S$2:$S$501,"Paid")&gt;0)),"⚠ Refunded before – no free video",IF(OR(X105="Contract signed + paid",X105="Closed – No response",X105="Lost"),"",IF(X105="","Set a stage",IF(AND(X105="Proposal sent",COUNTA(N105:S105)&lt;6),"Score this lead – proposal sent unscored",IF(N(Z105)&gt;=Settings!$S$3,"Close – 4 follow-ups sent",IF(AA105="",IF(Y105="","Make first contact",""),IF(TODAY()&gt;AA105,"OVERDUE follow-up",IF(TODAY()=AA105,"Follow up today","")))))))))</f>
        <v/>
      </c>
    </row>
    <row r="106" customFormat="false" ht="15" hidden="false" customHeight="false" outlineLevel="0" collapsed="false">
      <c r="A106" s="17"/>
      <c r="B106" s="40"/>
      <c r="C106" s="17"/>
      <c r="D106" s="17"/>
      <c r="E106" s="17"/>
      <c r="F106" s="17"/>
      <c r="G106" s="17"/>
      <c r="H106" s="42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44" t="str">
        <f aca="false">IF(OR(D106="",COUNTA(N106:S106)=0),"",SUMIFS(Settings!$AA$2:$AA$21,Settings!$Y$2:$Y$21,"Budget AED 5k+/mo?",Settings!$Z$2:$Z$21,N106)+SUMIFS(Settings!$AA$2:$AA$21,Settings!$Y$2:$Y$21,"Decision-maker?",Settings!$Z$2:$Z$21,O106)+SUMIFS(Settings!$AA$2:$AA$21,Settings!$Y$2:$Y$21,"Someone on camera?",Settings!$Z$2:$Z$21,P106)+SUMIFS(Settings!$AA$2:$AA$21,Settings!$Y$2:$Y$21,"OK with 3-month term?",Settings!$Z$2:$Z$21,Q106)+SUMIFS(Settings!$AA$2:$AA$21,Settings!$Y$2:$Y$21,"Start timeline",Settings!$Z$2:$Z$21,R106)+SUMIFS(Settings!$AA$2:$AA$21,Settings!$Y$2:$Y$21,"Social media gap",Settings!$Z$2:$Z$21,S106)+IF(E106="",0,IF(COUNTIF(Settings!$AC$2:$AC$6,E106)&gt;0,Settings!$AA$20,Settings!$AA$21)))</f>
        <v/>
      </c>
      <c r="U106" s="44" t="str">
        <f aca="false">IF(D106="","",IF(COUNTA(N106:S106)=0,"Not scored",IF(COUNTA(N106:S106)&lt;6,"Partly scored ("&amp;COUNTA(N106:S106)&amp;"/6)",IF(T106&gt;=Settings!$S$8,"Hot",IF(T106&gt;=Settings!$S$9,"Warm","Cold")))))</f>
        <v/>
      </c>
      <c r="V106" s="44" t="str">
        <f aca="false">IF(D106="","",IF(AND(N106="No",P106="No"),"🚩 Budget  ·  🚩 No one on camera",IF(N106="No","🚩 Budget under AED 5k",IF(P106="No","🚩 No one on camera",""))))</f>
        <v/>
      </c>
      <c r="W106" s="17"/>
      <c r="X106" s="17"/>
      <c r="Y106" s="40"/>
      <c r="Z106" s="17"/>
      <c r="AA106" s="45" t="str">
        <f aca="false">IF(OR(D106="",Y106="",OR(X106="Contract signed + paid",X106="Closed – No response",X106="Lost"),N(Z106)&gt;=Settings!$S$3),"",Y106+Settings!$S$2)</f>
        <v/>
      </c>
      <c r="AB106" s="40"/>
      <c r="AC106" s="41"/>
      <c r="AD106" s="17"/>
      <c r="AE106" s="17"/>
      <c r="AF106" s="17"/>
      <c r="AG106" s="46" t="str">
        <f aca="true">IF(OR(D106="",B106=""),"",INT(TODAY()-B106))</f>
        <v/>
      </c>
      <c r="AH106" s="44" t="str">
        <f aca="true">IF(D106="","",IF(OR(COUNTIFS(Clients!$C$2:$C$501,D106,Clients!$S$2:$S$501,"Paid")&gt;0,AND(H106&lt;&gt;"",COUNTIFS(Clients!$E$2:$E$501,H106,Clients!$S$2:$S$501,"Paid")&gt;0)),"⚠ Refunded before – no free video",IF(OR(X106="Contract signed + paid",X106="Closed – No response",X106="Lost"),"",IF(X106="","Set a stage",IF(AND(X106="Proposal sent",COUNTA(N106:S106)&lt;6),"Score this lead – proposal sent unscored",IF(N(Z106)&gt;=Settings!$S$3,"Close – 4 follow-ups sent",IF(AA106="",IF(Y106="","Make first contact",""),IF(TODAY()&gt;AA106,"OVERDUE follow-up",IF(TODAY()=AA106,"Follow up today","")))))))))</f>
        <v/>
      </c>
    </row>
    <row r="107" customFormat="false" ht="15" hidden="false" customHeight="false" outlineLevel="0" collapsed="false">
      <c r="A107" s="17"/>
      <c r="B107" s="40"/>
      <c r="C107" s="17"/>
      <c r="D107" s="17"/>
      <c r="E107" s="17"/>
      <c r="F107" s="17"/>
      <c r="G107" s="17"/>
      <c r="H107" s="42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44" t="str">
        <f aca="false">IF(OR(D107="",COUNTA(N107:S107)=0),"",SUMIFS(Settings!$AA$2:$AA$21,Settings!$Y$2:$Y$21,"Budget AED 5k+/mo?",Settings!$Z$2:$Z$21,N107)+SUMIFS(Settings!$AA$2:$AA$21,Settings!$Y$2:$Y$21,"Decision-maker?",Settings!$Z$2:$Z$21,O107)+SUMIFS(Settings!$AA$2:$AA$21,Settings!$Y$2:$Y$21,"Someone on camera?",Settings!$Z$2:$Z$21,P107)+SUMIFS(Settings!$AA$2:$AA$21,Settings!$Y$2:$Y$21,"OK with 3-month term?",Settings!$Z$2:$Z$21,Q107)+SUMIFS(Settings!$AA$2:$AA$21,Settings!$Y$2:$Y$21,"Start timeline",Settings!$Z$2:$Z$21,R107)+SUMIFS(Settings!$AA$2:$AA$21,Settings!$Y$2:$Y$21,"Social media gap",Settings!$Z$2:$Z$21,S107)+IF(E107="",0,IF(COUNTIF(Settings!$AC$2:$AC$6,E107)&gt;0,Settings!$AA$20,Settings!$AA$21)))</f>
        <v/>
      </c>
      <c r="U107" s="44" t="str">
        <f aca="false">IF(D107="","",IF(COUNTA(N107:S107)=0,"Not scored",IF(COUNTA(N107:S107)&lt;6,"Partly scored ("&amp;COUNTA(N107:S107)&amp;"/6)",IF(T107&gt;=Settings!$S$8,"Hot",IF(T107&gt;=Settings!$S$9,"Warm","Cold")))))</f>
        <v/>
      </c>
      <c r="V107" s="44" t="str">
        <f aca="false">IF(D107="","",IF(AND(N107="No",P107="No"),"🚩 Budget  ·  🚩 No one on camera",IF(N107="No","🚩 Budget under AED 5k",IF(P107="No","🚩 No one on camera",""))))</f>
        <v/>
      </c>
      <c r="W107" s="17"/>
      <c r="X107" s="17"/>
      <c r="Y107" s="40"/>
      <c r="Z107" s="17"/>
      <c r="AA107" s="45" t="str">
        <f aca="false">IF(OR(D107="",Y107="",OR(X107="Contract signed + paid",X107="Closed – No response",X107="Lost"),N(Z107)&gt;=Settings!$S$3),"",Y107+Settings!$S$2)</f>
        <v/>
      </c>
      <c r="AB107" s="40"/>
      <c r="AC107" s="41"/>
      <c r="AD107" s="17"/>
      <c r="AE107" s="17"/>
      <c r="AF107" s="17"/>
      <c r="AG107" s="46" t="str">
        <f aca="true">IF(OR(D107="",B107=""),"",INT(TODAY()-B107))</f>
        <v/>
      </c>
      <c r="AH107" s="44" t="str">
        <f aca="true">IF(D107="","",IF(OR(COUNTIFS(Clients!$C$2:$C$501,D107,Clients!$S$2:$S$501,"Paid")&gt;0,AND(H107&lt;&gt;"",COUNTIFS(Clients!$E$2:$E$501,H107,Clients!$S$2:$S$501,"Paid")&gt;0)),"⚠ Refunded before – no free video",IF(OR(X107="Contract signed + paid",X107="Closed – No response",X107="Lost"),"",IF(X107="","Set a stage",IF(AND(X107="Proposal sent",COUNTA(N107:S107)&lt;6),"Score this lead – proposal sent unscored",IF(N(Z107)&gt;=Settings!$S$3,"Close – 4 follow-ups sent",IF(AA107="",IF(Y107="","Make first contact",""),IF(TODAY()&gt;AA107,"OVERDUE follow-up",IF(TODAY()=AA107,"Follow up today","")))))))))</f>
        <v/>
      </c>
    </row>
    <row r="108" customFormat="false" ht="15" hidden="false" customHeight="false" outlineLevel="0" collapsed="false">
      <c r="A108" s="17"/>
      <c r="B108" s="40"/>
      <c r="C108" s="17"/>
      <c r="D108" s="17"/>
      <c r="E108" s="17"/>
      <c r="F108" s="17"/>
      <c r="G108" s="17"/>
      <c r="H108" s="42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44" t="str">
        <f aca="false">IF(OR(D108="",COUNTA(N108:S108)=0),"",SUMIFS(Settings!$AA$2:$AA$21,Settings!$Y$2:$Y$21,"Budget AED 5k+/mo?",Settings!$Z$2:$Z$21,N108)+SUMIFS(Settings!$AA$2:$AA$21,Settings!$Y$2:$Y$21,"Decision-maker?",Settings!$Z$2:$Z$21,O108)+SUMIFS(Settings!$AA$2:$AA$21,Settings!$Y$2:$Y$21,"Someone on camera?",Settings!$Z$2:$Z$21,P108)+SUMIFS(Settings!$AA$2:$AA$21,Settings!$Y$2:$Y$21,"OK with 3-month term?",Settings!$Z$2:$Z$21,Q108)+SUMIFS(Settings!$AA$2:$AA$21,Settings!$Y$2:$Y$21,"Start timeline",Settings!$Z$2:$Z$21,R108)+SUMIFS(Settings!$AA$2:$AA$21,Settings!$Y$2:$Y$21,"Social media gap",Settings!$Z$2:$Z$21,S108)+IF(E108="",0,IF(COUNTIF(Settings!$AC$2:$AC$6,E108)&gt;0,Settings!$AA$20,Settings!$AA$21)))</f>
        <v/>
      </c>
      <c r="U108" s="44" t="str">
        <f aca="false">IF(D108="","",IF(COUNTA(N108:S108)=0,"Not scored",IF(COUNTA(N108:S108)&lt;6,"Partly scored ("&amp;COUNTA(N108:S108)&amp;"/6)",IF(T108&gt;=Settings!$S$8,"Hot",IF(T108&gt;=Settings!$S$9,"Warm","Cold")))))</f>
        <v/>
      </c>
      <c r="V108" s="44" t="str">
        <f aca="false">IF(D108="","",IF(AND(N108="No",P108="No"),"🚩 Budget  ·  🚩 No one on camera",IF(N108="No","🚩 Budget under AED 5k",IF(P108="No","🚩 No one on camera",""))))</f>
        <v/>
      </c>
      <c r="W108" s="17"/>
      <c r="X108" s="17"/>
      <c r="Y108" s="40"/>
      <c r="Z108" s="17"/>
      <c r="AA108" s="45" t="str">
        <f aca="false">IF(OR(D108="",Y108="",OR(X108="Contract signed + paid",X108="Closed – No response",X108="Lost"),N(Z108)&gt;=Settings!$S$3),"",Y108+Settings!$S$2)</f>
        <v/>
      </c>
      <c r="AB108" s="40"/>
      <c r="AC108" s="41"/>
      <c r="AD108" s="17"/>
      <c r="AE108" s="17"/>
      <c r="AF108" s="17"/>
      <c r="AG108" s="46" t="str">
        <f aca="true">IF(OR(D108="",B108=""),"",INT(TODAY()-B108))</f>
        <v/>
      </c>
      <c r="AH108" s="44" t="str">
        <f aca="true">IF(D108="","",IF(OR(COUNTIFS(Clients!$C$2:$C$501,D108,Clients!$S$2:$S$501,"Paid")&gt;0,AND(H108&lt;&gt;"",COUNTIFS(Clients!$E$2:$E$501,H108,Clients!$S$2:$S$501,"Paid")&gt;0)),"⚠ Refunded before – no free video",IF(OR(X108="Contract signed + paid",X108="Closed – No response",X108="Lost"),"",IF(X108="","Set a stage",IF(AND(X108="Proposal sent",COUNTA(N108:S108)&lt;6),"Score this lead – proposal sent unscored",IF(N(Z108)&gt;=Settings!$S$3,"Close – 4 follow-ups sent",IF(AA108="",IF(Y108="","Make first contact",""),IF(TODAY()&gt;AA108,"OVERDUE follow-up",IF(TODAY()=AA108,"Follow up today","")))))))))</f>
        <v/>
      </c>
    </row>
    <row r="109" customFormat="false" ht="15" hidden="false" customHeight="false" outlineLevel="0" collapsed="false">
      <c r="A109" s="17"/>
      <c r="B109" s="40"/>
      <c r="C109" s="17"/>
      <c r="D109" s="17"/>
      <c r="E109" s="17"/>
      <c r="F109" s="17"/>
      <c r="G109" s="17"/>
      <c r="H109" s="42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44" t="str">
        <f aca="false">IF(OR(D109="",COUNTA(N109:S109)=0),"",SUMIFS(Settings!$AA$2:$AA$21,Settings!$Y$2:$Y$21,"Budget AED 5k+/mo?",Settings!$Z$2:$Z$21,N109)+SUMIFS(Settings!$AA$2:$AA$21,Settings!$Y$2:$Y$21,"Decision-maker?",Settings!$Z$2:$Z$21,O109)+SUMIFS(Settings!$AA$2:$AA$21,Settings!$Y$2:$Y$21,"Someone on camera?",Settings!$Z$2:$Z$21,P109)+SUMIFS(Settings!$AA$2:$AA$21,Settings!$Y$2:$Y$21,"OK with 3-month term?",Settings!$Z$2:$Z$21,Q109)+SUMIFS(Settings!$AA$2:$AA$21,Settings!$Y$2:$Y$21,"Start timeline",Settings!$Z$2:$Z$21,R109)+SUMIFS(Settings!$AA$2:$AA$21,Settings!$Y$2:$Y$21,"Social media gap",Settings!$Z$2:$Z$21,S109)+IF(E109="",0,IF(COUNTIF(Settings!$AC$2:$AC$6,E109)&gt;0,Settings!$AA$20,Settings!$AA$21)))</f>
        <v/>
      </c>
      <c r="U109" s="44" t="str">
        <f aca="false">IF(D109="","",IF(COUNTA(N109:S109)=0,"Not scored",IF(COUNTA(N109:S109)&lt;6,"Partly scored ("&amp;COUNTA(N109:S109)&amp;"/6)",IF(T109&gt;=Settings!$S$8,"Hot",IF(T109&gt;=Settings!$S$9,"Warm","Cold")))))</f>
        <v/>
      </c>
      <c r="V109" s="44" t="str">
        <f aca="false">IF(D109="","",IF(AND(N109="No",P109="No"),"🚩 Budget  ·  🚩 No one on camera",IF(N109="No","🚩 Budget under AED 5k",IF(P109="No","🚩 No one on camera",""))))</f>
        <v/>
      </c>
      <c r="W109" s="17"/>
      <c r="X109" s="17"/>
      <c r="Y109" s="40"/>
      <c r="Z109" s="17"/>
      <c r="AA109" s="45" t="str">
        <f aca="false">IF(OR(D109="",Y109="",OR(X109="Contract signed + paid",X109="Closed – No response",X109="Lost"),N(Z109)&gt;=Settings!$S$3),"",Y109+Settings!$S$2)</f>
        <v/>
      </c>
      <c r="AB109" s="40"/>
      <c r="AC109" s="41"/>
      <c r="AD109" s="17"/>
      <c r="AE109" s="17"/>
      <c r="AF109" s="17"/>
      <c r="AG109" s="46" t="str">
        <f aca="true">IF(OR(D109="",B109=""),"",INT(TODAY()-B109))</f>
        <v/>
      </c>
      <c r="AH109" s="44" t="str">
        <f aca="true">IF(D109="","",IF(OR(COUNTIFS(Clients!$C$2:$C$501,D109,Clients!$S$2:$S$501,"Paid")&gt;0,AND(H109&lt;&gt;"",COUNTIFS(Clients!$E$2:$E$501,H109,Clients!$S$2:$S$501,"Paid")&gt;0)),"⚠ Refunded before – no free video",IF(OR(X109="Contract signed + paid",X109="Closed – No response",X109="Lost"),"",IF(X109="","Set a stage",IF(AND(X109="Proposal sent",COUNTA(N109:S109)&lt;6),"Score this lead – proposal sent unscored",IF(N(Z109)&gt;=Settings!$S$3,"Close – 4 follow-ups sent",IF(AA109="",IF(Y109="","Make first contact",""),IF(TODAY()&gt;AA109,"OVERDUE follow-up",IF(TODAY()=AA109,"Follow up today","")))))))))</f>
        <v/>
      </c>
    </row>
    <row r="110" customFormat="false" ht="15" hidden="false" customHeight="false" outlineLevel="0" collapsed="false">
      <c r="A110" s="17"/>
      <c r="B110" s="40"/>
      <c r="C110" s="17"/>
      <c r="D110" s="17"/>
      <c r="E110" s="17"/>
      <c r="F110" s="17"/>
      <c r="G110" s="17"/>
      <c r="H110" s="42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44" t="str">
        <f aca="false">IF(OR(D110="",COUNTA(N110:S110)=0),"",SUMIFS(Settings!$AA$2:$AA$21,Settings!$Y$2:$Y$21,"Budget AED 5k+/mo?",Settings!$Z$2:$Z$21,N110)+SUMIFS(Settings!$AA$2:$AA$21,Settings!$Y$2:$Y$21,"Decision-maker?",Settings!$Z$2:$Z$21,O110)+SUMIFS(Settings!$AA$2:$AA$21,Settings!$Y$2:$Y$21,"Someone on camera?",Settings!$Z$2:$Z$21,P110)+SUMIFS(Settings!$AA$2:$AA$21,Settings!$Y$2:$Y$21,"OK with 3-month term?",Settings!$Z$2:$Z$21,Q110)+SUMIFS(Settings!$AA$2:$AA$21,Settings!$Y$2:$Y$21,"Start timeline",Settings!$Z$2:$Z$21,R110)+SUMIFS(Settings!$AA$2:$AA$21,Settings!$Y$2:$Y$21,"Social media gap",Settings!$Z$2:$Z$21,S110)+IF(E110="",0,IF(COUNTIF(Settings!$AC$2:$AC$6,E110)&gt;0,Settings!$AA$20,Settings!$AA$21)))</f>
        <v/>
      </c>
      <c r="U110" s="44" t="str">
        <f aca="false">IF(D110="","",IF(COUNTA(N110:S110)=0,"Not scored",IF(COUNTA(N110:S110)&lt;6,"Partly scored ("&amp;COUNTA(N110:S110)&amp;"/6)",IF(T110&gt;=Settings!$S$8,"Hot",IF(T110&gt;=Settings!$S$9,"Warm","Cold")))))</f>
        <v/>
      </c>
      <c r="V110" s="44" t="str">
        <f aca="false">IF(D110="","",IF(AND(N110="No",P110="No"),"🚩 Budget  ·  🚩 No one on camera",IF(N110="No","🚩 Budget under AED 5k",IF(P110="No","🚩 No one on camera",""))))</f>
        <v/>
      </c>
      <c r="W110" s="17"/>
      <c r="X110" s="17"/>
      <c r="Y110" s="40"/>
      <c r="Z110" s="17"/>
      <c r="AA110" s="45" t="str">
        <f aca="false">IF(OR(D110="",Y110="",OR(X110="Contract signed + paid",X110="Closed – No response",X110="Lost"),N(Z110)&gt;=Settings!$S$3),"",Y110+Settings!$S$2)</f>
        <v/>
      </c>
      <c r="AB110" s="40"/>
      <c r="AC110" s="41"/>
      <c r="AD110" s="17"/>
      <c r="AE110" s="17"/>
      <c r="AF110" s="17"/>
      <c r="AG110" s="46" t="str">
        <f aca="true">IF(OR(D110="",B110=""),"",INT(TODAY()-B110))</f>
        <v/>
      </c>
      <c r="AH110" s="44" t="str">
        <f aca="true">IF(D110="","",IF(OR(COUNTIFS(Clients!$C$2:$C$501,D110,Clients!$S$2:$S$501,"Paid")&gt;0,AND(H110&lt;&gt;"",COUNTIFS(Clients!$E$2:$E$501,H110,Clients!$S$2:$S$501,"Paid")&gt;0)),"⚠ Refunded before – no free video",IF(OR(X110="Contract signed + paid",X110="Closed – No response",X110="Lost"),"",IF(X110="","Set a stage",IF(AND(X110="Proposal sent",COUNTA(N110:S110)&lt;6),"Score this lead – proposal sent unscored",IF(N(Z110)&gt;=Settings!$S$3,"Close – 4 follow-ups sent",IF(AA110="",IF(Y110="","Make first contact",""),IF(TODAY()&gt;AA110,"OVERDUE follow-up",IF(TODAY()=AA110,"Follow up today","")))))))))</f>
        <v/>
      </c>
    </row>
    <row r="111" customFormat="false" ht="15" hidden="false" customHeight="false" outlineLevel="0" collapsed="false">
      <c r="A111" s="17"/>
      <c r="B111" s="40"/>
      <c r="C111" s="17"/>
      <c r="D111" s="17"/>
      <c r="E111" s="17"/>
      <c r="F111" s="17"/>
      <c r="G111" s="17"/>
      <c r="H111" s="42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44" t="str">
        <f aca="false">IF(OR(D111="",COUNTA(N111:S111)=0),"",SUMIFS(Settings!$AA$2:$AA$21,Settings!$Y$2:$Y$21,"Budget AED 5k+/mo?",Settings!$Z$2:$Z$21,N111)+SUMIFS(Settings!$AA$2:$AA$21,Settings!$Y$2:$Y$21,"Decision-maker?",Settings!$Z$2:$Z$21,O111)+SUMIFS(Settings!$AA$2:$AA$21,Settings!$Y$2:$Y$21,"Someone on camera?",Settings!$Z$2:$Z$21,P111)+SUMIFS(Settings!$AA$2:$AA$21,Settings!$Y$2:$Y$21,"OK with 3-month term?",Settings!$Z$2:$Z$21,Q111)+SUMIFS(Settings!$AA$2:$AA$21,Settings!$Y$2:$Y$21,"Start timeline",Settings!$Z$2:$Z$21,R111)+SUMIFS(Settings!$AA$2:$AA$21,Settings!$Y$2:$Y$21,"Social media gap",Settings!$Z$2:$Z$21,S111)+IF(E111="",0,IF(COUNTIF(Settings!$AC$2:$AC$6,E111)&gt;0,Settings!$AA$20,Settings!$AA$21)))</f>
        <v/>
      </c>
      <c r="U111" s="44" t="str">
        <f aca="false">IF(D111="","",IF(COUNTA(N111:S111)=0,"Not scored",IF(COUNTA(N111:S111)&lt;6,"Partly scored ("&amp;COUNTA(N111:S111)&amp;"/6)",IF(T111&gt;=Settings!$S$8,"Hot",IF(T111&gt;=Settings!$S$9,"Warm","Cold")))))</f>
        <v/>
      </c>
      <c r="V111" s="44" t="str">
        <f aca="false">IF(D111="","",IF(AND(N111="No",P111="No"),"🚩 Budget  ·  🚩 No one on camera",IF(N111="No","🚩 Budget under AED 5k",IF(P111="No","🚩 No one on camera",""))))</f>
        <v/>
      </c>
      <c r="W111" s="17"/>
      <c r="X111" s="17"/>
      <c r="Y111" s="40"/>
      <c r="Z111" s="17"/>
      <c r="AA111" s="45" t="str">
        <f aca="false">IF(OR(D111="",Y111="",OR(X111="Contract signed + paid",X111="Closed – No response",X111="Lost"),N(Z111)&gt;=Settings!$S$3),"",Y111+Settings!$S$2)</f>
        <v/>
      </c>
      <c r="AB111" s="40"/>
      <c r="AC111" s="41"/>
      <c r="AD111" s="17"/>
      <c r="AE111" s="17"/>
      <c r="AF111" s="17"/>
      <c r="AG111" s="46" t="str">
        <f aca="true">IF(OR(D111="",B111=""),"",INT(TODAY()-B111))</f>
        <v/>
      </c>
      <c r="AH111" s="44" t="str">
        <f aca="true">IF(D111="","",IF(OR(COUNTIFS(Clients!$C$2:$C$501,D111,Clients!$S$2:$S$501,"Paid")&gt;0,AND(H111&lt;&gt;"",COUNTIFS(Clients!$E$2:$E$501,H111,Clients!$S$2:$S$501,"Paid")&gt;0)),"⚠ Refunded before – no free video",IF(OR(X111="Contract signed + paid",X111="Closed – No response",X111="Lost"),"",IF(X111="","Set a stage",IF(AND(X111="Proposal sent",COUNTA(N111:S111)&lt;6),"Score this lead – proposal sent unscored",IF(N(Z111)&gt;=Settings!$S$3,"Close – 4 follow-ups sent",IF(AA111="",IF(Y111="","Make first contact",""),IF(TODAY()&gt;AA111,"OVERDUE follow-up",IF(TODAY()=AA111,"Follow up today","")))))))))</f>
        <v/>
      </c>
    </row>
    <row r="112" customFormat="false" ht="15" hidden="false" customHeight="false" outlineLevel="0" collapsed="false">
      <c r="A112" s="17"/>
      <c r="B112" s="40"/>
      <c r="C112" s="17"/>
      <c r="D112" s="17"/>
      <c r="E112" s="17"/>
      <c r="F112" s="17"/>
      <c r="G112" s="17"/>
      <c r="H112" s="42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44" t="str">
        <f aca="false">IF(OR(D112="",COUNTA(N112:S112)=0),"",SUMIFS(Settings!$AA$2:$AA$21,Settings!$Y$2:$Y$21,"Budget AED 5k+/mo?",Settings!$Z$2:$Z$21,N112)+SUMIFS(Settings!$AA$2:$AA$21,Settings!$Y$2:$Y$21,"Decision-maker?",Settings!$Z$2:$Z$21,O112)+SUMIFS(Settings!$AA$2:$AA$21,Settings!$Y$2:$Y$21,"Someone on camera?",Settings!$Z$2:$Z$21,P112)+SUMIFS(Settings!$AA$2:$AA$21,Settings!$Y$2:$Y$21,"OK with 3-month term?",Settings!$Z$2:$Z$21,Q112)+SUMIFS(Settings!$AA$2:$AA$21,Settings!$Y$2:$Y$21,"Start timeline",Settings!$Z$2:$Z$21,R112)+SUMIFS(Settings!$AA$2:$AA$21,Settings!$Y$2:$Y$21,"Social media gap",Settings!$Z$2:$Z$21,S112)+IF(E112="",0,IF(COUNTIF(Settings!$AC$2:$AC$6,E112)&gt;0,Settings!$AA$20,Settings!$AA$21)))</f>
        <v/>
      </c>
      <c r="U112" s="44" t="str">
        <f aca="false">IF(D112="","",IF(COUNTA(N112:S112)=0,"Not scored",IF(COUNTA(N112:S112)&lt;6,"Partly scored ("&amp;COUNTA(N112:S112)&amp;"/6)",IF(T112&gt;=Settings!$S$8,"Hot",IF(T112&gt;=Settings!$S$9,"Warm","Cold")))))</f>
        <v/>
      </c>
      <c r="V112" s="44" t="str">
        <f aca="false">IF(D112="","",IF(AND(N112="No",P112="No"),"🚩 Budget  ·  🚩 No one on camera",IF(N112="No","🚩 Budget under AED 5k",IF(P112="No","🚩 No one on camera",""))))</f>
        <v/>
      </c>
      <c r="W112" s="17"/>
      <c r="X112" s="17"/>
      <c r="Y112" s="40"/>
      <c r="Z112" s="17"/>
      <c r="AA112" s="45" t="str">
        <f aca="false">IF(OR(D112="",Y112="",OR(X112="Contract signed + paid",X112="Closed – No response",X112="Lost"),N(Z112)&gt;=Settings!$S$3),"",Y112+Settings!$S$2)</f>
        <v/>
      </c>
      <c r="AB112" s="40"/>
      <c r="AC112" s="41"/>
      <c r="AD112" s="17"/>
      <c r="AE112" s="17"/>
      <c r="AF112" s="17"/>
      <c r="AG112" s="46" t="str">
        <f aca="true">IF(OR(D112="",B112=""),"",INT(TODAY()-B112))</f>
        <v/>
      </c>
      <c r="AH112" s="44" t="str">
        <f aca="true">IF(D112="","",IF(OR(COUNTIFS(Clients!$C$2:$C$501,D112,Clients!$S$2:$S$501,"Paid")&gt;0,AND(H112&lt;&gt;"",COUNTIFS(Clients!$E$2:$E$501,H112,Clients!$S$2:$S$501,"Paid")&gt;0)),"⚠ Refunded before – no free video",IF(OR(X112="Contract signed + paid",X112="Closed – No response",X112="Lost"),"",IF(X112="","Set a stage",IF(AND(X112="Proposal sent",COUNTA(N112:S112)&lt;6),"Score this lead – proposal sent unscored",IF(N(Z112)&gt;=Settings!$S$3,"Close – 4 follow-ups sent",IF(AA112="",IF(Y112="","Make first contact",""),IF(TODAY()&gt;AA112,"OVERDUE follow-up",IF(TODAY()=AA112,"Follow up today","")))))))))</f>
        <v/>
      </c>
    </row>
    <row r="113" customFormat="false" ht="15" hidden="false" customHeight="false" outlineLevel="0" collapsed="false">
      <c r="A113" s="17"/>
      <c r="B113" s="40"/>
      <c r="C113" s="17"/>
      <c r="D113" s="17"/>
      <c r="E113" s="17"/>
      <c r="F113" s="17"/>
      <c r="G113" s="17"/>
      <c r="H113" s="42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44" t="str">
        <f aca="false">IF(OR(D113="",COUNTA(N113:S113)=0),"",SUMIFS(Settings!$AA$2:$AA$21,Settings!$Y$2:$Y$21,"Budget AED 5k+/mo?",Settings!$Z$2:$Z$21,N113)+SUMIFS(Settings!$AA$2:$AA$21,Settings!$Y$2:$Y$21,"Decision-maker?",Settings!$Z$2:$Z$21,O113)+SUMIFS(Settings!$AA$2:$AA$21,Settings!$Y$2:$Y$21,"Someone on camera?",Settings!$Z$2:$Z$21,P113)+SUMIFS(Settings!$AA$2:$AA$21,Settings!$Y$2:$Y$21,"OK with 3-month term?",Settings!$Z$2:$Z$21,Q113)+SUMIFS(Settings!$AA$2:$AA$21,Settings!$Y$2:$Y$21,"Start timeline",Settings!$Z$2:$Z$21,R113)+SUMIFS(Settings!$AA$2:$AA$21,Settings!$Y$2:$Y$21,"Social media gap",Settings!$Z$2:$Z$21,S113)+IF(E113="",0,IF(COUNTIF(Settings!$AC$2:$AC$6,E113)&gt;0,Settings!$AA$20,Settings!$AA$21)))</f>
        <v/>
      </c>
      <c r="U113" s="44" t="str">
        <f aca="false">IF(D113="","",IF(COUNTA(N113:S113)=0,"Not scored",IF(COUNTA(N113:S113)&lt;6,"Partly scored ("&amp;COUNTA(N113:S113)&amp;"/6)",IF(T113&gt;=Settings!$S$8,"Hot",IF(T113&gt;=Settings!$S$9,"Warm","Cold")))))</f>
        <v/>
      </c>
      <c r="V113" s="44" t="str">
        <f aca="false">IF(D113="","",IF(AND(N113="No",P113="No"),"🚩 Budget  ·  🚩 No one on camera",IF(N113="No","🚩 Budget under AED 5k",IF(P113="No","🚩 No one on camera",""))))</f>
        <v/>
      </c>
      <c r="W113" s="17"/>
      <c r="X113" s="17"/>
      <c r="Y113" s="40"/>
      <c r="Z113" s="17"/>
      <c r="AA113" s="45" t="str">
        <f aca="false">IF(OR(D113="",Y113="",OR(X113="Contract signed + paid",X113="Closed – No response",X113="Lost"),N(Z113)&gt;=Settings!$S$3),"",Y113+Settings!$S$2)</f>
        <v/>
      </c>
      <c r="AB113" s="40"/>
      <c r="AC113" s="41"/>
      <c r="AD113" s="17"/>
      <c r="AE113" s="17"/>
      <c r="AF113" s="17"/>
      <c r="AG113" s="46" t="str">
        <f aca="true">IF(OR(D113="",B113=""),"",INT(TODAY()-B113))</f>
        <v/>
      </c>
      <c r="AH113" s="44" t="str">
        <f aca="true">IF(D113="","",IF(OR(COUNTIFS(Clients!$C$2:$C$501,D113,Clients!$S$2:$S$501,"Paid")&gt;0,AND(H113&lt;&gt;"",COUNTIFS(Clients!$E$2:$E$501,H113,Clients!$S$2:$S$501,"Paid")&gt;0)),"⚠ Refunded before – no free video",IF(OR(X113="Contract signed + paid",X113="Closed – No response",X113="Lost"),"",IF(X113="","Set a stage",IF(AND(X113="Proposal sent",COUNTA(N113:S113)&lt;6),"Score this lead – proposal sent unscored",IF(N(Z113)&gt;=Settings!$S$3,"Close – 4 follow-ups sent",IF(AA113="",IF(Y113="","Make first contact",""),IF(TODAY()&gt;AA113,"OVERDUE follow-up",IF(TODAY()=AA113,"Follow up today","")))))))))</f>
        <v/>
      </c>
    </row>
    <row r="114" customFormat="false" ht="15" hidden="false" customHeight="false" outlineLevel="0" collapsed="false">
      <c r="A114" s="17"/>
      <c r="B114" s="40"/>
      <c r="C114" s="17"/>
      <c r="D114" s="17"/>
      <c r="E114" s="17"/>
      <c r="F114" s="17"/>
      <c r="G114" s="17"/>
      <c r="H114" s="42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44" t="str">
        <f aca="false">IF(OR(D114="",COUNTA(N114:S114)=0),"",SUMIFS(Settings!$AA$2:$AA$21,Settings!$Y$2:$Y$21,"Budget AED 5k+/mo?",Settings!$Z$2:$Z$21,N114)+SUMIFS(Settings!$AA$2:$AA$21,Settings!$Y$2:$Y$21,"Decision-maker?",Settings!$Z$2:$Z$21,O114)+SUMIFS(Settings!$AA$2:$AA$21,Settings!$Y$2:$Y$21,"Someone on camera?",Settings!$Z$2:$Z$21,P114)+SUMIFS(Settings!$AA$2:$AA$21,Settings!$Y$2:$Y$21,"OK with 3-month term?",Settings!$Z$2:$Z$21,Q114)+SUMIFS(Settings!$AA$2:$AA$21,Settings!$Y$2:$Y$21,"Start timeline",Settings!$Z$2:$Z$21,R114)+SUMIFS(Settings!$AA$2:$AA$21,Settings!$Y$2:$Y$21,"Social media gap",Settings!$Z$2:$Z$21,S114)+IF(E114="",0,IF(COUNTIF(Settings!$AC$2:$AC$6,E114)&gt;0,Settings!$AA$20,Settings!$AA$21)))</f>
        <v/>
      </c>
      <c r="U114" s="44" t="str">
        <f aca="false">IF(D114="","",IF(COUNTA(N114:S114)=0,"Not scored",IF(COUNTA(N114:S114)&lt;6,"Partly scored ("&amp;COUNTA(N114:S114)&amp;"/6)",IF(T114&gt;=Settings!$S$8,"Hot",IF(T114&gt;=Settings!$S$9,"Warm","Cold")))))</f>
        <v/>
      </c>
      <c r="V114" s="44" t="str">
        <f aca="false">IF(D114="","",IF(AND(N114="No",P114="No"),"🚩 Budget  ·  🚩 No one on camera",IF(N114="No","🚩 Budget under AED 5k",IF(P114="No","🚩 No one on camera",""))))</f>
        <v/>
      </c>
      <c r="W114" s="17"/>
      <c r="X114" s="17"/>
      <c r="Y114" s="40"/>
      <c r="Z114" s="17"/>
      <c r="AA114" s="45" t="str">
        <f aca="false">IF(OR(D114="",Y114="",OR(X114="Contract signed + paid",X114="Closed – No response",X114="Lost"),N(Z114)&gt;=Settings!$S$3),"",Y114+Settings!$S$2)</f>
        <v/>
      </c>
      <c r="AB114" s="40"/>
      <c r="AC114" s="41"/>
      <c r="AD114" s="17"/>
      <c r="AE114" s="17"/>
      <c r="AF114" s="17"/>
      <c r="AG114" s="46" t="str">
        <f aca="true">IF(OR(D114="",B114=""),"",INT(TODAY()-B114))</f>
        <v/>
      </c>
      <c r="AH114" s="44" t="str">
        <f aca="true">IF(D114="","",IF(OR(COUNTIFS(Clients!$C$2:$C$501,D114,Clients!$S$2:$S$501,"Paid")&gt;0,AND(H114&lt;&gt;"",COUNTIFS(Clients!$E$2:$E$501,H114,Clients!$S$2:$S$501,"Paid")&gt;0)),"⚠ Refunded before – no free video",IF(OR(X114="Contract signed + paid",X114="Closed – No response",X114="Lost"),"",IF(X114="","Set a stage",IF(AND(X114="Proposal sent",COUNTA(N114:S114)&lt;6),"Score this lead – proposal sent unscored",IF(N(Z114)&gt;=Settings!$S$3,"Close – 4 follow-ups sent",IF(AA114="",IF(Y114="","Make first contact",""),IF(TODAY()&gt;AA114,"OVERDUE follow-up",IF(TODAY()=AA114,"Follow up today","")))))))))</f>
        <v/>
      </c>
    </row>
    <row r="115" customFormat="false" ht="15" hidden="false" customHeight="false" outlineLevel="0" collapsed="false">
      <c r="A115" s="17"/>
      <c r="B115" s="40"/>
      <c r="C115" s="17"/>
      <c r="D115" s="17"/>
      <c r="E115" s="17"/>
      <c r="F115" s="17"/>
      <c r="G115" s="17"/>
      <c r="H115" s="42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44" t="str">
        <f aca="false">IF(OR(D115="",COUNTA(N115:S115)=0),"",SUMIFS(Settings!$AA$2:$AA$21,Settings!$Y$2:$Y$21,"Budget AED 5k+/mo?",Settings!$Z$2:$Z$21,N115)+SUMIFS(Settings!$AA$2:$AA$21,Settings!$Y$2:$Y$21,"Decision-maker?",Settings!$Z$2:$Z$21,O115)+SUMIFS(Settings!$AA$2:$AA$21,Settings!$Y$2:$Y$21,"Someone on camera?",Settings!$Z$2:$Z$21,P115)+SUMIFS(Settings!$AA$2:$AA$21,Settings!$Y$2:$Y$21,"OK with 3-month term?",Settings!$Z$2:$Z$21,Q115)+SUMIFS(Settings!$AA$2:$AA$21,Settings!$Y$2:$Y$21,"Start timeline",Settings!$Z$2:$Z$21,R115)+SUMIFS(Settings!$AA$2:$AA$21,Settings!$Y$2:$Y$21,"Social media gap",Settings!$Z$2:$Z$21,S115)+IF(E115="",0,IF(COUNTIF(Settings!$AC$2:$AC$6,E115)&gt;0,Settings!$AA$20,Settings!$AA$21)))</f>
        <v/>
      </c>
      <c r="U115" s="44" t="str">
        <f aca="false">IF(D115="","",IF(COUNTA(N115:S115)=0,"Not scored",IF(COUNTA(N115:S115)&lt;6,"Partly scored ("&amp;COUNTA(N115:S115)&amp;"/6)",IF(T115&gt;=Settings!$S$8,"Hot",IF(T115&gt;=Settings!$S$9,"Warm","Cold")))))</f>
        <v/>
      </c>
      <c r="V115" s="44" t="str">
        <f aca="false">IF(D115="","",IF(AND(N115="No",P115="No"),"🚩 Budget  ·  🚩 No one on camera",IF(N115="No","🚩 Budget under AED 5k",IF(P115="No","🚩 No one on camera",""))))</f>
        <v/>
      </c>
      <c r="W115" s="17"/>
      <c r="X115" s="17"/>
      <c r="Y115" s="40"/>
      <c r="Z115" s="17"/>
      <c r="AA115" s="45" t="str">
        <f aca="false">IF(OR(D115="",Y115="",OR(X115="Contract signed + paid",X115="Closed – No response",X115="Lost"),N(Z115)&gt;=Settings!$S$3),"",Y115+Settings!$S$2)</f>
        <v/>
      </c>
      <c r="AB115" s="40"/>
      <c r="AC115" s="41"/>
      <c r="AD115" s="17"/>
      <c r="AE115" s="17"/>
      <c r="AF115" s="17"/>
      <c r="AG115" s="46" t="str">
        <f aca="true">IF(OR(D115="",B115=""),"",INT(TODAY()-B115))</f>
        <v/>
      </c>
      <c r="AH115" s="44" t="str">
        <f aca="true">IF(D115="","",IF(OR(COUNTIFS(Clients!$C$2:$C$501,D115,Clients!$S$2:$S$501,"Paid")&gt;0,AND(H115&lt;&gt;"",COUNTIFS(Clients!$E$2:$E$501,H115,Clients!$S$2:$S$501,"Paid")&gt;0)),"⚠ Refunded before – no free video",IF(OR(X115="Contract signed + paid",X115="Closed – No response",X115="Lost"),"",IF(X115="","Set a stage",IF(AND(X115="Proposal sent",COUNTA(N115:S115)&lt;6),"Score this lead – proposal sent unscored",IF(N(Z115)&gt;=Settings!$S$3,"Close – 4 follow-ups sent",IF(AA115="",IF(Y115="","Make first contact",""),IF(TODAY()&gt;AA115,"OVERDUE follow-up",IF(TODAY()=AA115,"Follow up today","")))))))))</f>
        <v/>
      </c>
    </row>
    <row r="116" customFormat="false" ht="15" hidden="false" customHeight="false" outlineLevel="0" collapsed="false">
      <c r="A116" s="17"/>
      <c r="B116" s="40"/>
      <c r="C116" s="17"/>
      <c r="D116" s="17"/>
      <c r="E116" s="17"/>
      <c r="F116" s="17"/>
      <c r="G116" s="17"/>
      <c r="H116" s="42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44" t="str">
        <f aca="false">IF(OR(D116="",COUNTA(N116:S116)=0),"",SUMIFS(Settings!$AA$2:$AA$21,Settings!$Y$2:$Y$21,"Budget AED 5k+/mo?",Settings!$Z$2:$Z$21,N116)+SUMIFS(Settings!$AA$2:$AA$21,Settings!$Y$2:$Y$21,"Decision-maker?",Settings!$Z$2:$Z$21,O116)+SUMIFS(Settings!$AA$2:$AA$21,Settings!$Y$2:$Y$21,"Someone on camera?",Settings!$Z$2:$Z$21,P116)+SUMIFS(Settings!$AA$2:$AA$21,Settings!$Y$2:$Y$21,"OK with 3-month term?",Settings!$Z$2:$Z$21,Q116)+SUMIFS(Settings!$AA$2:$AA$21,Settings!$Y$2:$Y$21,"Start timeline",Settings!$Z$2:$Z$21,R116)+SUMIFS(Settings!$AA$2:$AA$21,Settings!$Y$2:$Y$21,"Social media gap",Settings!$Z$2:$Z$21,S116)+IF(E116="",0,IF(COUNTIF(Settings!$AC$2:$AC$6,E116)&gt;0,Settings!$AA$20,Settings!$AA$21)))</f>
        <v/>
      </c>
      <c r="U116" s="44" t="str">
        <f aca="false">IF(D116="","",IF(COUNTA(N116:S116)=0,"Not scored",IF(COUNTA(N116:S116)&lt;6,"Partly scored ("&amp;COUNTA(N116:S116)&amp;"/6)",IF(T116&gt;=Settings!$S$8,"Hot",IF(T116&gt;=Settings!$S$9,"Warm","Cold")))))</f>
        <v/>
      </c>
      <c r="V116" s="44" t="str">
        <f aca="false">IF(D116="","",IF(AND(N116="No",P116="No"),"🚩 Budget  ·  🚩 No one on camera",IF(N116="No","🚩 Budget under AED 5k",IF(P116="No","🚩 No one on camera",""))))</f>
        <v/>
      </c>
      <c r="W116" s="17"/>
      <c r="X116" s="17"/>
      <c r="Y116" s="40"/>
      <c r="Z116" s="17"/>
      <c r="AA116" s="45" t="str">
        <f aca="false">IF(OR(D116="",Y116="",OR(X116="Contract signed + paid",X116="Closed – No response",X116="Lost"),N(Z116)&gt;=Settings!$S$3),"",Y116+Settings!$S$2)</f>
        <v/>
      </c>
      <c r="AB116" s="40"/>
      <c r="AC116" s="41"/>
      <c r="AD116" s="17"/>
      <c r="AE116" s="17"/>
      <c r="AF116" s="17"/>
      <c r="AG116" s="46" t="str">
        <f aca="true">IF(OR(D116="",B116=""),"",INT(TODAY()-B116))</f>
        <v/>
      </c>
      <c r="AH116" s="44" t="str">
        <f aca="true">IF(D116="","",IF(OR(COUNTIFS(Clients!$C$2:$C$501,D116,Clients!$S$2:$S$501,"Paid")&gt;0,AND(H116&lt;&gt;"",COUNTIFS(Clients!$E$2:$E$501,H116,Clients!$S$2:$S$501,"Paid")&gt;0)),"⚠ Refunded before – no free video",IF(OR(X116="Contract signed + paid",X116="Closed – No response",X116="Lost"),"",IF(X116="","Set a stage",IF(AND(X116="Proposal sent",COUNTA(N116:S116)&lt;6),"Score this lead – proposal sent unscored",IF(N(Z116)&gt;=Settings!$S$3,"Close – 4 follow-ups sent",IF(AA116="",IF(Y116="","Make first contact",""),IF(TODAY()&gt;AA116,"OVERDUE follow-up",IF(TODAY()=AA116,"Follow up today","")))))))))</f>
        <v/>
      </c>
    </row>
    <row r="117" customFormat="false" ht="15" hidden="false" customHeight="false" outlineLevel="0" collapsed="false">
      <c r="A117" s="17"/>
      <c r="B117" s="40"/>
      <c r="C117" s="17"/>
      <c r="D117" s="17"/>
      <c r="E117" s="17"/>
      <c r="F117" s="17"/>
      <c r="G117" s="17"/>
      <c r="H117" s="42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44" t="str">
        <f aca="false">IF(OR(D117="",COUNTA(N117:S117)=0),"",SUMIFS(Settings!$AA$2:$AA$21,Settings!$Y$2:$Y$21,"Budget AED 5k+/mo?",Settings!$Z$2:$Z$21,N117)+SUMIFS(Settings!$AA$2:$AA$21,Settings!$Y$2:$Y$21,"Decision-maker?",Settings!$Z$2:$Z$21,O117)+SUMIFS(Settings!$AA$2:$AA$21,Settings!$Y$2:$Y$21,"Someone on camera?",Settings!$Z$2:$Z$21,P117)+SUMIFS(Settings!$AA$2:$AA$21,Settings!$Y$2:$Y$21,"OK with 3-month term?",Settings!$Z$2:$Z$21,Q117)+SUMIFS(Settings!$AA$2:$AA$21,Settings!$Y$2:$Y$21,"Start timeline",Settings!$Z$2:$Z$21,R117)+SUMIFS(Settings!$AA$2:$AA$21,Settings!$Y$2:$Y$21,"Social media gap",Settings!$Z$2:$Z$21,S117)+IF(E117="",0,IF(COUNTIF(Settings!$AC$2:$AC$6,E117)&gt;0,Settings!$AA$20,Settings!$AA$21)))</f>
        <v/>
      </c>
      <c r="U117" s="44" t="str">
        <f aca="false">IF(D117="","",IF(COUNTA(N117:S117)=0,"Not scored",IF(COUNTA(N117:S117)&lt;6,"Partly scored ("&amp;COUNTA(N117:S117)&amp;"/6)",IF(T117&gt;=Settings!$S$8,"Hot",IF(T117&gt;=Settings!$S$9,"Warm","Cold")))))</f>
        <v/>
      </c>
      <c r="V117" s="44" t="str">
        <f aca="false">IF(D117="","",IF(AND(N117="No",P117="No"),"🚩 Budget  ·  🚩 No one on camera",IF(N117="No","🚩 Budget under AED 5k",IF(P117="No","🚩 No one on camera",""))))</f>
        <v/>
      </c>
      <c r="W117" s="17"/>
      <c r="X117" s="17"/>
      <c r="Y117" s="40"/>
      <c r="Z117" s="17"/>
      <c r="AA117" s="45" t="str">
        <f aca="false">IF(OR(D117="",Y117="",OR(X117="Contract signed + paid",X117="Closed – No response",X117="Lost"),N(Z117)&gt;=Settings!$S$3),"",Y117+Settings!$S$2)</f>
        <v/>
      </c>
      <c r="AB117" s="40"/>
      <c r="AC117" s="41"/>
      <c r="AD117" s="17"/>
      <c r="AE117" s="17"/>
      <c r="AF117" s="17"/>
      <c r="AG117" s="46" t="str">
        <f aca="true">IF(OR(D117="",B117=""),"",INT(TODAY()-B117))</f>
        <v/>
      </c>
      <c r="AH117" s="44" t="str">
        <f aca="true">IF(D117="","",IF(OR(COUNTIFS(Clients!$C$2:$C$501,D117,Clients!$S$2:$S$501,"Paid")&gt;0,AND(H117&lt;&gt;"",COUNTIFS(Clients!$E$2:$E$501,H117,Clients!$S$2:$S$501,"Paid")&gt;0)),"⚠ Refunded before – no free video",IF(OR(X117="Contract signed + paid",X117="Closed – No response",X117="Lost"),"",IF(X117="","Set a stage",IF(AND(X117="Proposal sent",COUNTA(N117:S117)&lt;6),"Score this lead – proposal sent unscored",IF(N(Z117)&gt;=Settings!$S$3,"Close – 4 follow-ups sent",IF(AA117="",IF(Y117="","Make first contact",""),IF(TODAY()&gt;AA117,"OVERDUE follow-up",IF(TODAY()=AA117,"Follow up today","")))))))))</f>
        <v/>
      </c>
    </row>
    <row r="118" customFormat="false" ht="15" hidden="false" customHeight="false" outlineLevel="0" collapsed="false">
      <c r="A118" s="17"/>
      <c r="B118" s="40"/>
      <c r="C118" s="17"/>
      <c r="D118" s="17"/>
      <c r="E118" s="17"/>
      <c r="F118" s="17"/>
      <c r="G118" s="17"/>
      <c r="H118" s="42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44" t="str">
        <f aca="false">IF(OR(D118="",COUNTA(N118:S118)=0),"",SUMIFS(Settings!$AA$2:$AA$21,Settings!$Y$2:$Y$21,"Budget AED 5k+/mo?",Settings!$Z$2:$Z$21,N118)+SUMIFS(Settings!$AA$2:$AA$21,Settings!$Y$2:$Y$21,"Decision-maker?",Settings!$Z$2:$Z$21,O118)+SUMIFS(Settings!$AA$2:$AA$21,Settings!$Y$2:$Y$21,"Someone on camera?",Settings!$Z$2:$Z$21,P118)+SUMIFS(Settings!$AA$2:$AA$21,Settings!$Y$2:$Y$21,"OK with 3-month term?",Settings!$Z$2:$Z$21,Q118)+SUMIFS(Settings!$AA$2:$AA$21,Settings!$Y$2:$Y$21,"Start timeline",Settings!$Z$2:$Z$21,R118)+SUMIFS(Settings!$AA$2:$AA$21,Settings!$Y$2:$Y$21,"Social media gap",Settings!$Z$2:$Z$21,S118)+IF(E118="",0,IF(COUNTIF(Settings!$AC$2:$AC$6,E118)&gt;0,Settings!$AA$20,Settings!$AA$21)))</f>
        <v/>
      </c>
      <c r="U118" s="44" t="str">
        <f aca="false">IF(D118="","",IF(COUNTA(N118:S118)=0,"Not scored",IF(COUNTA(N118:S118)&lt;6,"Partly scored ("&amp;COUNTA(N118:S118)&amp;"/6)",IF(T118&gt;=Settings!$S$8,"Hot",IF(T118&gt;=Settings!$S$9,"Warm","Cold")))))</f>
        <v/>
      </c>
      <c r="V118" s="44" t="str">
        <f aca="false">IF(D118="","",IF(AND(N118="No",P118="No"),"🚩 Budget  ·  🚩 No one on camera",IF(N118="No","🚩 Budget under AED 5k",IF(P118="No","🚩 No one on camera",""))))</f>
        <v/>
      </c>
      <c r="W118" s="17"/>
      <c r="X118" s="17"/>
      <c r="Y118" s="40"/>
      <c r="Z118" s="17"/>
      <c r="AA118" s="45" t="str">
        <f aca="false">IF(OR(D118="",Y118="",OR(X118="Contract signed + paid",X118="Closed – No response",X118="Lost"),N(Z118)&gt;=Settings!$S$3),"",Y118+Settings!$S$2)</f>
        <v/>
      </c>
      <c r="AB118" s="40"/>
      <c r="AC118" s="41"/>
      <c r="AD118" s="17"/>
      <c r="AE118" s="17"/>
      <c r="AF118" s="17"/>
      <c r="AG118" s="46" t="str">
        <f aca="true">IF(OR(D118="",B118=""),"",INT(TODAY()-B118))</f>
        <v/>
      </c>
      <c r="AH118" s="44" t="str">
        <f aca="true">IF(D118="","",IF(OR(COUNTIFS(Clients!$C$2:$C$501,D118,Clients!$S$2:$S$501,"Paid")&gt;0,AND(H118&lt;&gt;"",COUNTIFS(Clients!$E$2:$E$501,H118,Clients!$S$2:$S$501,"Paid")&gt;0)),"⚠ Refunded before – no free video",IF(OR(X118="Contract signed + paid",X118="Closed – No response",X118="Lost"),"",IF(X118="","Set a stage",IF(AND(X118="Proposal sent",COUNTA(N118:S118)&lt;6),"Score this lead – proposal sent unscored",IF(N(Z118)&gt;=Settings!$S$3,"Close – 4 follow-ups sent",IF(AA118="",IF(Y118="","Make first contact",""),IF(TODAY()&gt;AA118,"OVERDUE follow-up",IF(TODAY()=AA118,"Follow up today","")))))))))</f>
        <v/>
      </c>
    </row>
    <row r="119" customFormat="false" ht="15" hidden="false" customHeight="false" outlineLevel="0" collapsed="false">
      <c r="A119" s="17"/>
      <c r="B119" s="40"/>
      <c r="C119" s="17"/>
      <c r="D119" s="17"/>
      <c r="E119" s="17"/>
      <c r="F119" s="17"/>
      <c r="G119" s="17"/>
      <c r="H119" s="42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44" t="str">
        <f aca="false">IF(OR(D119="",COUNTA(N119:S119)=0),"",SUMIFS(Settings!$AA$2:$AA$21,Settings!$Y$2:$Y$21,"Budget AED 5k+/mo?",Settings!$Z$2:$Z$21,N119)+SUMIFS(Settings!$AA$2:$AA$21,Settings!$Y$2:$Y$21,"Decision-maker?",Settings!$Z$2:$Z$21,O119)+SUMIFS(Settings!$AA$2:$AA$21,Settings!$Y$2:$Y$21,"Someone on camera?",Settings!$Z$2:$Z$21,P119)+SUMIFS(Settings!$AA$2:$AA$21,Settings!$Y$2:$Y$21,"OK with 3-month term?",Settings!$Z$2:$Z$21,Q119)+SUMIFS(Settings!$AA$2:$AA$21,Settings!$Y$2:$Y$21,"Start timeline",Settings!$Z$2:$Z$21,R119)+SUMIFS(Settings!$AA$2:$AA$21,Settings!$Y$2:$Y$21,"Social media gap",Settings!$Z$2:$Z$21,S119)+IF(E119="",0,IF(COUNTIF(Settings!$AC$2:$AC$6,E119)&gt;0,Settings!$AA$20,Settings!$AA$21)))</f>
        <v/>
      </c>
      <c r="U119" s="44" t="str">
        <f aca="false">IF(D119="","",IF(COUNTA(N119:S119)=0,"Not scored",IF(COUNTA(N119:S119)&lt;6,"Partly scored ("&amp;COUNTA(N119:S119)&amp;"/6)",IF(T119&gt;=Settings!$S$8,"Hot",IF(T119&gt;=Settings!$S$9,"Warm","Cold")))))</f>
        <v/>
      </c>
      <c r="V119" s="44" t="str">
        <f aca="false">IF(D119="","",IF(AND(N119="No",P119="No"),"🚩 Budget  ·  🚩 No one on camera",IF(N119="No","🚩 Budget under AED 5k",IF(P119="No","🚩 No one on camera",""))))</f>
        <v/>
      </c>
      <c r="W119" s="17"/>
      <c r="X119" s="17"/>
      <c r="Y119" s="40"/>
      <c r="Z119" s="17"/>
      <c r="AA119" s="45" t="str">
        <f aca="false">IF(OR(D119="",Y119="",OR(X119="Contract signed + paid",X119="Closed – No response",X119="Lost"),N(Z119)&gt;=Settings!$S$3),"",Y119+Settings!$S$2)</f>
        <v/>
      </c>
      <c r="AB119" s="40"/>
      <c r="AC119" s="41"/>
      <c r="AD119" s="17"/>
      <c r="AE119" s="17"/>
      <c r="AF119" s="17"/>
      <c r="AG119" s="46" t="str">
        <f aca="true">IF(OR(D119="",B119=""),"",INT(TODAY()-B119))</f>
        <v/>
      </c>
      <c r="AH119" s="44" t="str">
        <f aca="true">IF(D119="","",IF(OR(COUNTIFS(Clients!$C$2:$C$501,D119,Clients!$S$2:$S$501,"Paid")&gt;0,AND(H119&lt;&gt;"",COUNTIFS(Clients!$E$2:$E$501,H119,Clients!$S$2:$S$501,"Paid")&gt;0)),"⚠ Refunded before – no free video",IF(OR(X119="Contract signed + paid",X119="Closed – No response",X119="Lost"),"",IF(X119="","Set a stage",IF(AND(X119="Proposal sent",COUNTA(N119:S119)&lt;6),"Score this lead – proposal sent unscored",IF(N(Z119)&gt;=Settings!$S$3,"Close – 4 follow-ups sent",IF(AA119="",IF(Y119="","Make first contact",""),IF(TODAY()&gt;AA119,"OVERDUE follow-up",IF(TODAY()=AA119,"Follow up today","")))))))))</f>
        <v/>
      </c>
    </row>
    <row r="120" customFormat="false" ht="15" hidden="false" customHeight="false" outlineLevel="0" collapsed="false">
      <c r="A120" s="17"/>
      <c r="B120" s="40"/>
      <c r="C120" s="17"/>
      <c r="D120" s="17"/>
      <c r="E120" s="17"/>
      <c r="F120" s="17"/>
      <c r="G120" s="17"/>
      <c r="H120" s="42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44" t="str">
        <f aca="false">IF(OR(D120="",COUNTA(N120:S120)=0),"",SUMIFS(Settings!$AA$2:$AA$21,Settings!$Y$2:$Y$21,"Budget AED 5k+/mo?",Settings!$Z$2:$Z$21,N120)+SUMIFS(Settings!$AA$2:$AA$21,Settings!$Y$2:$Y$21,"Decision-maker?",Settings!$Z$2:$Z$21,O120)+SUMIFS(Settings!$AA$2:$AA$21,Settings!$Y$2:$Y$21,"Someone on camera?",Settings!$Z$2:$Z$21,P120)+SUMIFS(Settings!$AA$2:$AA$21,Settings!$Y$2:$Y$21,"OK with 3-month term?",Settings!$Z$2:$Z$21,Q120)+SUMIFS(Settings!$AA$2:$AA$21,Settings!$Y$2:$Y$21,"Start timeline",Settings!$Z$2:$Z$21,R120)+SUMIFS(Settings!$AA$2:$AA$21,Settings!$Y$2:$Y$21,"Social media gap",Settings!$Z$2:$Z$21,S120)+IF(E120="",0,IF(COUNTIF(Settings!$AC$2:$AC$6,E120)&gt;0,Settings!$AA$20,Settings!$AA$21)))</f>
        <v/>
      </c>
      <c r="U120" s="44" t="str">
        <f aca="false">IF(D120="","",IF(COUNTA(N120:S120)=0,"Not scored",IF(COUNTA(N120:S120)&lt;6,"Partly scored ("&amp;COUNTA(N120:S120)&amp;"/6)",IF(T120&gt;=Settings!$S$8,"Hot",IF(T120&gt;=Settings!$S$9,"Warm","Cold")))))</f>
        <v/>
      </c>
      <c r="V120" s="44" t="str">
        <f aca="false">IF(D120="","",IF(AND(N120="No",P120="No"),"🚩 Budget  ·  🚩 No one on camera",IF(N120="No","🚩 Budget under AED 5k",IF(P120="No","🚩 No one on camera",""))))</f>
        <v/>
      </c>
      <c r="W120" s="17"/>
      <c r="X120" s="17"/>
      <c r="Y120" s="40"/>
      <c r="Z120" s="17"/>
      <c r="AA120" s="45" t="str">
        <f aca="false">IF(OR(D120="",Y120="",OR(X120="Contract signed + paid",X120="Closed – No response",X120="Lost"),N(Z120)&gt;=Settings!$S$3),"",Y120+Settings!$S$2)</f>
        <v/>
      </c>
      <c r="AB120" s="40"/>
      <c r="AC120" s="41"/>
      <c r="AD120" s="17"/>
      <c r="AE120" s="17"/>
      <c r="AF120" s="17"/>
      <c r="AG120" s="46" t="str">
        <f aca="true">IF(OR(D120="",B120=""),"",INT(TODAY()-B120))</f>
        <v/>
      </c>
      <c r="AH120" s="44" t="str">
        <f aca="true">IF(D120="","",IF(OR(COUNTIFS(Clients!$C$2:$C$501,D120,Clients!$S$2:$S$501,"Paid")&gt;0,AND(H120&lt;&gt;"",COUNTIFS(Clients!$E$2:$E$501,H120,Clients!$S$2:$S$501,"Paid")&gt;0)),"⚠ Refunded before – no free video",IF(OR(X120="Contract signed + paid",X120="Closed – No response",X120="Lost"),"",IF(X120="","Set a stage",IF(AND(X120="Proposal sent",COUNTA(N120:S120)&lt;6),"Score this lead – proposal sent unscored",IF(N(Z120)&gt;=Settings!$S$3,"Close – 4 follow-ups sent",IF(AA120="",IF(Y120="","Make first contact",""),IF(TODAY()&gt;AA120,"OVERDUE follow-up",IF(TODAY()=AA120,"Follow up today","")))))))))</f>
        <v/>
      </c>
    </row>
    <row r="121" customFormat="false" ht="15" hidden="false" customHeight="false" outlineLevel="0" collapsed="false">
      <c r="A121" s="17"/>
      <c r="B121" s="40"/>
      <c r="C121" s="17"/>
      <c r="D121" s="17"/>
      <c r="E121" s="17"/>
      <c r="F121" s="17"/>
      <c r="G121" s="17"/>
      <c r="H121" s="42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44" t="str">
        <f aca="false">IF(OR(D121="",COUNTA(N121:S121)=0),"",SUMIFS(Settings!$AA$2:$AA$21,Settings!$Y$2:$Y$21,"Budget AED 5k+/mo?",Settings!$Z$2:$Z$21,N121)+SUMIFS(Settings!$AA$2:$AA$21,Settings!$Y$2:$Y$21,"Decision-maker?",Settings!$Z$2:$Z$21,O121)+SUMIFS(Settings!$AA$2:$AA$21,Settings!$Y$2:$Y$21,"Someone on camera?",Settings!$Z$2:$Z$21,P121)+SUMIFS(Settings!$AA$2:$AA$21,Settings!$Y$2:$Y$21,"OK with 3-month term?",Settings!$Z$2:$Z$21,Q121)+SUMIFS(Settings!$AA$2:$AA$21,Settings!$Y$2:$Y$21,"Start timeline",Settings!$Z$2:$Z$21,R121)+SUMIFS(Settings!$AA$2:$AA$21,Settings!$Y$2:$Y$21,"Social media gap",Settings!$Z$2:$Z$21,S121)+IF(E121="",0,IF(COUNTIF(Settings!$AC$2:$AC$6,E121)&gt;0,Settings!$AA$20,Settings!$AA$21)))</f>
        <v/>
      </c>
      <c r="U121" s="44" t="str">
        <f aca="false">IF(D121="","",IF(COUNTA(N121:S121)=0,"Not scored",IF(COUNTA(N121:S121)&lt;6,"Partly scored ("&amp;COUNTA(N121:S121)&amp;"/6)",IF(T121&gt;=Settings!$S$8,"Hot",IF(T121&gt;=Settings!$S$9,"Warm","Cold")))))</f>
        <v/>
      </c>
      <c r="V121" s="44" t="str">
        <f aca="false">IF(D121="","",IF(AND(N121="No",P121="No"),"🚩 Budget  ·  🚩 No one on camera",IF(N121="No","🚩 Budget under AED 5k",IF(P121="No","🚩 No one on camera",""))))</f>
        <v/>
      </c>
      <c r="W121" s="17"/>
      <c r="X121" s="17"/>
      <c r="Y121" s="40"/>
      <c r="Z121" s="17"/>
      <c r="AA121" s="45" t="str">
        <f aca="false">IF(OR(D121="",Y121="",OR(X121="Contract signed + paid",X121="Closed – No response",X121="Lost"),N(Z121)&gt;=Settings!$S$3),"",Y121+Settings!$S$2)</f>
        <v/>
      </c>
      <c r="AB121" s="40"/>
      <c r="AC121" s="41"/>
      <c r="AD121" s="17"/>
      <c r="AE121" s="17"/>
      <c r="AF121" s="17"/>
      <c r="AG121" s="46" t="str">
        <f aca="true">IF(OR(D121="",B121=""),"",INT(TODAY()-B121))</f>
        <v/>
      </c>
      <c r="AH121" s="44" t="str">
        <f aca="true">IF(D121="","",IF(OR(COUNTIFS(Clients!$C$2:$C$501,D121,Clients!$S$2:$S$501,"Paid")&gt;0,AND(H121&lt;&gt;"",COUNTIFS(Clients!$E$2:$E$501,H121,Clients!$S$2:$S$501,"Paid")&gt;0)),"⚠ Refunded before – no free video",IF(OR(X121="Contract signed + paid",X121="Closed – No response",X121="Lost"),"",IF(X121="","Set a stage",IF(AND(X121="Proposal sent",COUNTA(N121:S121)&lt;6),"Score this lead – proposal sent unscored",IF(N(Z121)&gt;=Settings!$S$3,"Close – 4 follow-ups sent",IF(AA121="",IF(Y121="","Make first contact",""),IF(TODAY()&gt;AA121,"OVERDUE follow-up",IF(TODAY()=AA121,"Follow up today","")))))))))</f>
        <v/>
      </c>
    </row>
    <row r="122" customFormat="false" ht="15" hidden="false" customHeight="false" outlineLevel="0" collapsed="false">
      <c r="A122" s="17"/>
      <c r="B122" s="40"/>
      <c r="C122" s="17"/>
      <c r="D122" s="17"/>
      <c r="E122" s="17"/>
      <c r="F122" s="17"/>
      <c r="G122" s="17"/>
      <c r="H122" s="42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44" t="str">
        <f aca="false">IF(OR(D122="",COUNTA(N122:S122)=0),"",SUMIFS(Settings!$AA$2:$AA$21,Settings!$Y$2:$Y$21,"Budget AED 5k+/mo?",Settings!$Z$2:$Z$21,N122)+SUMIFS(Settings!$AA$2:$AA$21,Settings!$Y$2:$Y$21,"Decision-maker?",Settings!$Z$2:$Z$21,O122)+SUMIFS(Settings!$AA$2:$AA$21,Settings!$Y$2:$Y$21,"Someone on camera?",Settings!$Z$2:$Z$21,P122)+SUMIFS(Settings!$AA$2:$AA$21,Settings!$Y$2:$Y$21,"OK with 3-month term?",Settings!$Z$2:$Z$21,Q122)+SUMIFS(Settings!$AA$2:$AA$21,Settings!$Y$2:$Y$21,"Start timeline",Settings!$Z$2:$Z$21,R122)+SUMIFS(Settings!$AA$2:$AA$21,Settings!$Y$2:$Y$21,"Social media gap",Settings!$Z$2:$Z$21,S122)+IF(E122="",0,IF(COUNTIF(Settings!$AC$2:$AC$6,E122)&gt;0,Settings!$AA$20,Settings!$AA$21)))</f>
        <v/>
      </c>
      <c r="U122" s="44" t="str">
        <f aca="false">IF(D122="","",IF(COUNTA(N122:S122)=0,"Not scored",IF(COUNTA(N122:S122)&lt;6,"Partly scored ("&amp;COUNTA(N122:S122)&amp;"/6)",IF(T122&gt;=Settings!$S$8,"Hot",IF(T122&gt;=Settings!$S$9,"Warm","Cold")))))</f>
        <v/>
      </c>
      <c r="V122" s="44" t="str">
        <f aca="false">IF(D122="","",IF(AND(N122="No",P122="No"),"🚩 Budget  ·  🚩 No one on camera",IF(N122="No","🚩 Budget under AED 5k",IF(P122="No","🚩 No one on camera",""))))</f>
        <v/>
      </c>
      <c r="W122" s="17"/>
      <c r="X122" s="17"/>
      <c r="Y122" s="40"/>
      <c r="Z122" s="17"/>
      <c r="AA122" s="45" t="str">
        <f aca="false">IF(OR(D122="",Y122="",OR(X122="Contract signed + paid",X122="Closed – No response",X122="Lost"),N(Z122)&gt;=Settings!$S$3),"",Y122+Settings!$S$2)</f>
        <v/>
      </c>
      <c r="AB122" s="40"/>
      <c r="AC122" s="41"/>
      <c r="AD122" s="17"/>
      <c r="AE122" s="17"/>
      <c r="AF122" s="17"/>
      <c r="AG122" s="46" t="str">
        <f aca="true">IF(OR(D122="",B122=""),"",INT(TODAY()-B122))</f>
        <v/>
      </c>
      <c r="AH122" s="44" t="str">
        <f aca="true">IF(D122="","",IF(OR(COUNTIFS(Clients!$C$2:$C$501,D122,Clients!$S$2:$S$501,"Paid")&gt;0,AND(H122&lt;&gt;"",COUNTIFS(Clients!$E$2:$E$501,H122,Clients!$S$2:$S$501,"Paid")&gt;0)),"⚠ Refunded before – no free video",IF(OR(X122="Contract signed + paid",X122="Closed – No response",X122="Lost"),"",IF(X122="","Set a stage",IF(AND(X122="Proposal sent",COUNTA(N122:S122)&lt;6),"Score this lead – proposal sent unscored",IF(N(Z122)&gt;=Settings!$S$3,"Close – 4 follow-ups sent",IF(AA122="",IF(Y122="","Make first contact",""),IF(TODAY()&gt;AA122,"OVERDUE follow-up",IF(TODAY()=AA122,"Follow up today","")))))))))</f>
        <v/>
      </c>
    </row>
    <row r="123" customFormat="false" ht="15" hidden="false" customHeight="false" outlineLevel="0" collapsed="false">
      <c r="A123" s="17"/>
      <c r="B123" s="40"/>
      <c r="C123" s="17"/>
      <c r="D123" s="17"/>
      <c r="E123" s="17"/>
      <c r="F123" s="17"/>
      <c r="G123" s="17"/>
      <c r="H123" s="42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44" t="str">
        <f aca="false">IF(OR(D123="",COUNTA(N123:S123)=0),"",SUMIFS(Settings!$AA$2:$AA$21,Settings!$Y$2:$Y$21,"Budget AED 5k+/mo?",Settings!$Z$2:$Z$21,N123)+SUMIFS(Settings!$AA$2:$AA$21,Settings!$Y$2:$Y$21,"Decision-maker?",Settings!$Z$2:$Z$21,O123)+SUMIFS(Settings!$AA$2:$AA$21,Settings!$Y$2:$Y$21,"Someone on camera?",Settings!$Z$2:$Z$21,P123)+SUMIFS(Settings!$AA$2:$AA$21,Settings!$Y$2:$Y$21,"OK with 3-month term?",Settings!$Z$2:$Z$21,Q123)+SUMIFS(Settings!$AA$2:$AA$21,Settings!$Y$2:$Y$21,"Start timeline",Settings!$Z$2:$Z$21,R123)+SUMIFS(Settings!$AA$2:$AA$21,Settings!$Y$2:$Y$21,"Social media gap",Settings!$Z$2:$Z$21,S123)+IF(E123="",0,IF(COUNTIF(Settings!$AC$2:$AC$6,E123)&gt;0,Settings!$AA$20,Settings!$AA$21)))</f>
        <v/>
      </c>
      <c r="U123" s="44" t="str">
        <f aca="false">IF(D123="","",IF(COUNTA(N123:S123)=0,"Not scored",IF(COUNTA(N123:S123)&lt;6,"Partly scored ("&amp;COUNTA(N123:S123)&amp;"/6)",IF(T123&gt;=Settings!$S$8,"Hot",IF(T123&gt;=Settings!$S$9,"Warm","Cold")))))</f>
        <v/>
      </c>
      <c r="V123" s="44" t="str">
        <f aca="false">IF(D123="","",IF(AND(N123="No",P123="No"),"🚩 Budget  ·  🚩 No one on camera",IF(N123="No","🚩 Budget under AED 5k",IF(P123="No","🚩 No one on camera",""))))</f>
        <v/>
      </c>
      <c r="W123" s="17"/>
      <c r="X123" s="17"/>
      <c r="Y123" s="40"/>
      <c r="Z123" s="17"/>
      <c r="AA123" s="45" t="str">
        <f aca="false">IF(OR(D123="",Y123="",OR(X123="Contract signed + paid",X123="Closed – No response",X123="Lost"),N(Z123)&gt;=Settings!$S$3),"",Y123+Settings!$S$2)</f>
        <v/>
      </c>
      <c r="AB123" s="40"/>
      <c r="AC123" s="41"/>
      <c r="AD123" s="17"/>
      <c r="AE123" s="17"/>
      <c r="AF123" s="17"/>
      <c r="AG123" s="46" t="str">
        <f aca="true">IF(OR(D123="",B123=""),"",INT(TODAY()-B123))</f>
        <v/>
      </c>
      <c r="AH123" s="44" t="str">
        <f aca="true">IF(D123="","",IF(OR(COUNTIFS(Clients!$C$2:$C$501,D123,Clients!$S$2:$S$501,"Paid")&gt;0,AND(H123&lt;&gt;"",COUNTIFS(Clients!$E$2:$E$501,H123,Clients!$S$2:$S$501,"Paid")&gt;0)),"⚠ Refunded before – no free video",IF(OR(X123="Contract signed + paid",X123="Closed – No response",X123="Lost"),"",IF(X123="","Set a stage",IF(AND(X123="Proposal sent",COUNTA(N123:S123)&lt;6),"Score this lead – proposal sent unscored",IF(N(Z123)&gt;=Settings!$S$3,"Close – 4 follow-ups sent",IF(AA123="",IF(Y123="","Make first contact",""),IF(TODAY()&gt;AA123,"OVERDUE follow-up",IF(TODAY()=AA123,"Follow up today","")))))))))</f>
        <v/>
      </c>
    </row>
    <row r="124" customFormat="false" ht="15" hidden="false" customHeight="false" outlineLevel="0" collapsed="false">
      <c r="A124" s="17"/>
      <c r="B124" s="40"/>
      <c r="C124" s="17"/>
      <c r="D124" s="17"/>
      <c r="E124" s="17"/>
      <c r="F124" s="17"/>
      <c r="G124" s="17"/>
      <c r="H124" s="42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44" t="str">
        <f aca="false">IF(OR(D124="",COUNTA(N124:S124)=0),"",SUMIFS(Settings!$AA$2:$AA$21,Settings!$Y$2:$Y$21,"Budget AED 5k+/mo?",Settings!$Z$2:$Z$21,N124)+SUMIFS(Settings!$AA$2:$AA$21,Settings!$Y$2:$Y$21,"Decision-maker?",Settings!$Z$2:$Z$21,O124)+SUMIFS(Settings!$AA$2:$AA$21,Settings!$Y$2:$Y$21,"Someone on camera?",Settings!$Z$2:$Z$21,P124)+SUMIFS(Settings!$AA$2:$AA$21,Settings!$Y$2:$Y$21,"OK with 3-month term?",Settings!$Z$2:$Z$21,Q124)+SUMIFS(Settings!$AA$2:$AA$21,Settings!$Y$2:$Y$21,"Start timeline",Settings!$Z$2:$Z$21,R124)+SUMIFS(Settings!$AA$2:$AA$21,Settings!$Y$2:$Y$21,"Social media gap",Settings!$Z$2:$Z$21,S124)+IF(E124="",0,IF(COUNTIF(Settings!$AC$2:$AC$6,E124)&gt;0,Settings!$AA$20,Settings!$AA$21)))</f>
        <v/>
      </c>
      <c r="U124" s="44" t="str">
        <f aca="false">IF(D124="","",IF(COUNTA(N124:S124)=0,"Not scored",IF(COUNTA(N124:S124)&lt;6,"Partly scored ("&amp;COUNTA(N124:S124)&amp;"/6)",IF(T124&gt;=Settings!$S$8,"Hot",IF(T124&gt;=Settings!$S$9,"Warm","Cold")))))</f>
        <v/>
      </c>
      <c r="V124" s="44" t="str">
        <f aca="false">IF(D124="","",IF(AND(N124="No",P124="No"),"🚩 Budget  ·  🚩 No one on camera",IF(N124="No","🚩 Budget under AED 5k",IF(P124="No","🚩 No one on camera",""))))</f>
        <v/>
      </c>
      <c r="W124" s="17"/>
      <c r="X124" s="17"/>
      <c r="Y124" s="40"/>
      <c r="Z124" s="17"/>
      <c r="AA124" s="45" t="str">
        <f aca="false">IF(OR(D124="",Y124="",OR(X124="Contract signed + paid",X124="Closed – No response",X124="Lost"),N(Z124)&gt;=Settings!$S$3),"",Y124+Settings!$S$2)</f>
        <v/>
      </c>
      <c r="AB124" s="40"/>
      <c r="AC124" s="41"/>
      <c r="AD124" s="17"/>
      <c r="AE124" s="17"/>
      <c r="AF124" s="17"/>
      <c r="AG124" s="46" t="str">
        <f aca="true">IF(OR(D124="",B124=""),"",INT(TODAY()-B124))</f>
        <v/>
      </c>
      <c r="AH124" s="44" t="str">
        <f aca="true">IF(D124="","",IF(OR(COUNTIFS(Clients!$C$2:$C$501,D124,Clients!$S$2:$S$501,"Paid")&gt;0,AND(H124&lt;&gt;"",COUNTIFS(Clients!$E$2:$E$501,H124,Clients!$S$2:$S$501,"Paid")&gt;0)),"⚠ Refunded before – no free video",IF(OR(X124="Contract signed + paid",X124="Closed – No response",X124="Lost"),"",IF(X124="","Set a stage",IF(AND(X124="Proposal sent",COUNTA(N124:S124)&lt;6),"Score this lead – proposal sent unscored",IF(N(Z124)&gt;=Settings!$S$3,"Close – 4 follow-ups sent",IF(AA124="",IF(Y124="","Make first contact",""),IF(TODAY()&gt;AA124,"OVERDUE follow-up",IF(TODAY()=AA124,"Follow up today","")))))))))</f>
        <v/>
      </c>
    </row>
    <row r="125" customFormat="false" ht="15" hidden="false" customHeight="false" outlineLevel="0" collapsed="false">
      <c r="A125" s="17"/>
      <c r="B125" s="40"/>
      <c r="C125" s="17"/>
      <c r="D125" s="17"/>
      <c r="E125" s="17"/>
      <c r="F125" s="17"/>
      <c r="G125" s="17"/>
      <c r="H125" s="42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44" t="str">
        <f aca="false">IF(OR(D125="",COUNTA(N125:S125)=0),"",SUMIFS(Settings!$AA$2:$AA$21,Settings!$Y$2:$Y$21,"Budget AED 5k+/mo?",Settings!$Z$2:$Z$21,N125)+SUMIFS(Settings!$AA$2:$AA$21,Settings!$Y$2:$Y$21,"Decision-maker?",Settings!$Z$2:$Z$21,O125)+SUMIFS(Settings!$AA$2:$AA$21,Settings!$Y$2:$Y$21,"Someone on camera?",Settings!$Z$2:$Z$21,P125)+SUMIFS(Settings!$AA$2:$AA$21,Settings!$Y$2:$Y$21,"OK with 3-month term?",Settings!$Z$2:$Z$21,Q125)+SUMIFS(Settings!$AA$2:$AA$21,Settings!$Y$2:$Y$21,"Start timeline",Settings!$Z$2:$Z$21,R125)+SUMIFS(Settings!$AA$2:$AA$21,Settings!$Y$2:$Y$21,"Social media gap",Settings!$Z$2:$Z$21,S125)+IF(E125="",0,IF(COUNTIF(Settings!$AC$2:$AC$6,E125)&gt;0,Settings!$AA$20,Settings!$AA$21)))</f>
        <v/>
      </c>
      <c r="U125" s="44" t="str">
        <f aca="false">IF(D125="","",IF(COUNTA(N125:S125)=0,"Not scored",IF(COUNTA(N125:S125)&lt;6,"Partly scored ("&amp;COUNTA(N125:S125)&amp;"/6)",IF(T125&gt;=Settings!$S$8,"Hot",IF(T125&gt;=Settings!$S$9,"Warm","Cold")))))</f>
        <v/>
      </c>
      <c r="V125" s="44" t="str">
        <f aca="false">IF(D125="","",IF(AND(N125="No",P125="No"),"🚩 Budget  ·  🚩 No one on camera",IF(N125="No","🚩 Budget under AED 5k",IF(P125="No","🚩 No one on camera",""))))</f>
        <v/>
      </c>
      <c r="W125" s="17"/>
      <c r="X125" s="17"/>
      <c r="Y125" s="40"/>
      <c r="Z125" s="17"/>
      <c r="AA125" s="45" t="str">
        <f aca="false">IF(OR(D125="",Y125="",OR(X125="Contract signed + paid",X125="Closed – No response",X125="Lost"),N(Z125)&gt;=Settings!$S$3),"",Y125+Settings!$S$2)</f>
        <v/>
      </c>
      <c r="AB125" s="40"/>
      <c r="AC125" s="41"/>
      <c r="AD125" s="17"/>
      <c r="AE125" s="17"/>
      <c r="AF125" s="17"/>
      <c r="AG125" s="46" t="str">
        <f aca="true">IF(OR(D125="",B125=""),"",INT(TODAY()-B125))</f>
        <v/>
      </c>
      <c r="AH125" s="44" t="str">
        <f aca="true">IF(D125="","",IF(OR(COUNTIFS(Clients!$C$2:$C$501,D125,Clients!$S$2:$S$501,"Paid")&gt;0,AND(H125&lt;&gt;"",COUNTIFS(Clients!$E$2:$E$501,H125,Clients!$S$2:$S$501,"Paid")&gt;0)),"⚠ Refunded before – no free video",IF(OR(X125="Contract signed + paid",X125="Closed – No response",X125="Lost"),"",IF(X125="","Set a stage",IF(AND(X125="Proposal sent",COUNTA(N125:S125)&lt;6),"Score this lead – proposal sent unscored",IF(N(Z125)&gt;=Settings!$S$3,"Close – 4 follow-ups sent",IF(AA125="",IF(Y125="","Make first contact",""),IF(TODAY()&gt;AA125,"OVERDUE follow-up",IF(TODAY()=AA125,"Follow up today","")))))))))</f>
        <v/>
      </c>
    </row>
    <row r="126" customFormat="false" ht="15" hidden="false" customHeight="false" outlineLevel="0" collapsed="false">
      <c r="A126" s="17"/>
      <c r="B126" s="40"/>
      <c r="C126" s="17"/>
      <c r="D126" s="17"/>
      <c r="E126" s="17"/>
      <c r="F126" s="17"/>
      <c r="G126" s="17"/>
      <c r="H126" s="42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44" t="str">
        <f aca="false">IF(OR(D126="",COUNTA(N126:S126)=0),"",SUMIFS(Settings!$AA$2:$AA$21,Settings!$Y$2:$Y$21,"Budget AED 5k+/mo?",Settings!$Z$2:$Z$21,N126)+SUMIFS(Settings!$AA$2:$AA$21,Settings!$Y$2:$Y$21,"Decision-maker?",Settings!$Z$2:$Z$21,O126)+SUMIFS(Settings!$AA$2:$AA$21,Settings!$Y$2:$Y$21,"Someone on camera?",Settings!$Z$2:$Z$21,P126)+SUMIFS(Settings!$AA$2:$AA$21,Settings!$Y$2:$Y$21,"OK with 3-month term?",Settings!$Z$2:$Z$21,Q126)+SUMIFS(Settings!$AA$2:$AA$21,Settings!$Y$2:$Y$21,"Start timeline",Settings!$Z$2:$Z$21,R126)+SUMIFS(Settings!$AA$2:$AA$21,Settings!$Y$2:$Y$21,"Social media gap",Settings!$Z$2:$Z$21,S126)+IF(E126="",0,IF(COUNTIF(Settings!$AC$2:$AC$6,E126)&gt;0,Settings!$AA$20,Settings!$AA$21)))</f>
        <v/>
      </c>
      <c r="U126" s="44" t="str">
        <f aca="false">IF(D126="","",IF(COUNTA(N126:S126)=0,"Not scored",IF(COUNTA(N126:S126)&lt;6,"Partly scored ("&amp;COUNTA(N126:S126)&amp;"/6)",IF(T126&gt;=Settings!$S$8,"Hot",IF(T126&gt;=Settings!$S$9,"Warm","Cold")))))</f>
        <v/>
      </c>
      <c r="V126" s="44" t="str">
        <f aca="false">IF(D126="","",IF(AND(N126="No",P126="No"),"🚩 Budget  ·  🚩 No one on camera",IF(N126="No","🚩 Budget under AED 5k",IF(P126="No","🚩 No one on camera",""))))</f>
        <v/>
      </c>
      <c r="W126" s="17"/>
      <c r="X126" s="17"/>
      <c r="Y126" s="40"/>
      <c r="Z126" s="17"/>
      <c r="AA126" s="45" t="str">
        <f aca="false">IF(OR(D126="",Y126="",OR(X126="Contract signed + paid",X126="Closed – No response",X126="Lost"),N(Z126)&gt;=Settings!$S$3),"",Y126+Settings!$S$2)</f>
        <v/>
      </c>
      <c r="AB126" s="40"/>
      <c r="AC126" s="41"/>
      <c r="AD126" s="17"/>
      <c r="AE126" s="17"/>
      <c r="AF126" s="17"/>
      <c r="AG126" s="46" t="str">
        <f aca="true">IF(OR(D126="",B126=""),"",INT(TODAY()-B126))</f>
        <v/>
      </c>
      <c r="AH126" s="44" t="str">
        <f aca="true">IF(D126="","",IF(OR(COUNTIFS(Clients!$C$2:$C$501,D126,Clients!$S$2:$S$501,"Paid")&gt;0,AND(H126&lt;&gt;"",COUNTIFS(Clients!$E$2:$E$501,H126,Clients!$S$2:$S$501,"Paid")&gt;0)),"⚠ Refunded before – no free video",IF(OR(X126="Contract signed + paid",X126="Closed – No response",X126="Lost"),"",IF(X126="","Set a stage",IF(AND(X126="Proposal sent",COUNTA(N126:S126)&lt;6),"Score this lead – proposal sent unscored",IF(N(Z126)&gt;=Settings!$S$3,"Close – 4 follow-ups sent",IF(AA126="",IF(Y126="","Make first contact",""),IF(TODAY()&gt;AA126,"OVERDUE follow-up",IF(TODAY()=AA126,"Follow up today","")))))))))</f>
        <v/>
      </c>
    </row>
    <row r="127" customFormat="false" ht="15" hidden="false" customHeight="false" outlineLevel="0" collapsed="false">
      <c r="A127" s="17"/>
      <c r="B127" s="40"/>
      <c r="C127" s="17"/>
      <c r="D127" s="17"/>
      <c r="E127" s="17"/>
      <c r="F127" s="17"/>
      <c r="G127" s="17"/>
      <c r="H127" s="42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44" t="str">
        <f aca="false">IF(OR(D127="",COUNTA(N127:S127)=0),"",SUMIFS(Settings!$AA$2:$AA$21,Settings!$Y$2:$Y$21,"Budget AED 5k+/mo?",Settings!$Z$2:$Z$21,N127)+SUMIFS(Settings!$AA$2:$AA$21,Settings!$Y$2:$Y$21,"Decision-maker?",Settings!$Z$2:$Z$21,O127)+SUMIFS(Settings!$AA$2:$AA$21,Settings!$Y$2:$Y$21,"Someone on camera?",Settings!$Z$2:$Z$21,P127)+SUMIFS(Settings!$AA$2:$AA$21,Settings!$Y$2:$Y$21,"OK with 3-month term?",Settings!$Z$2:$Z$21,Q127)+SUMIFS(Settings!$AA$2:$AA$21,Settings!$Y$2:$Y$21,"Start timeline",Settings!$Z$2:$Z$21,R127)+SUMIFS(Settings!$AA$2:$AA$21,Settings!$Y$2:$Y$21,"Social media gap",Settings!$Z$2:$Z$21,S127)+IF(E127="",0,IF(COUNTIF(Settings!$AC$2:$AC$6,E127)&gt;0,Settings!$AA$20,Settings!$AA$21)))</f>
        <v/>
      </c>
      <c r="U127" s="44" t="str">
        <f aca="false">IF(D127="","",IF(COUNTA(N127:S127)=0,"Not scored",IF(COUNTA(N127:S127)&lt;6,"Partly scored ("&amp;COUNTA(N127:S127)&amp;"/6)",IF(T127&gt;=Settings!$S$8,"Hot",IF(T127&gt;=Settings!$S$9,"Warm","Cold")))))</f>
        <v/>
      </c>
      <c r="V127" s="44" t="str">
        <f aca="false">IF(D127="","",IF(AND(N127="No",P127="No"),"🚩 Budget  ·  🚩 No one on camera",IF(N127="No","🚩 Budget under AED 5k",IF(P127="No","🚩 No one on camera",""))))</f>
        <v/>
      </c>
      <c r="W127" s="17"/>
      <c r="X127" s="17"/>
      <c r="Y127" s="40"/>
      <c r="Z127" s="17"/>
      <c r="AA127" s="45" t="str">
        <f aca="false">IF(OR(D127="",Y127="",OR(X127="Contract signed + paid",X127="Closed – No response",X127="Lost"),N(Z127)&gt;=Settings!$S$3),"",Y127+Settings!$S$2)</f>
        <v/>
      </c>
      <c r="AB127" s="40"/>
      <c r="AC127" s="41"/>
      <c r="AD127" s="17"/>
      <c r="AE127" s="17"/>
      <c r="AF127" s="17"/>
      <c r="AG127" s="46" t="str">
        <f aca="true">IF(OR(D127="",B127=""),"",INT(TODAY()-B127))</f>
        <v/>
      </c>
      <c r="AH127" s="44" t="str">
        <f aca="true">IF(D127="","",IF(OR(COUNTIFS(Clients!$C$2:$C$501,D127,Clients!$S$2:$S$501,"Paid")&gt;0,AND(H127&lt;&gt;"",COUNTIFS(Clients!$E$2:$E$501,H127,Clients!$S$2:$S$501,"Paid")&gt;0)),"⚠ Refunded before – no free video",IF(OR(X127="Contract signed + paid",X127="Closed – No response",X127="Lost"),"",IF(X127="","Set a stage",IF(AND(X127="Proposal sent",COUNTA(N127:S127)&lt;6),"Score this lead – proposal sent unscored",IF(N(Z127)&gt;=Settings!$S$3,"Close – 4 follow-ups sent",IF(AA127="",IF(Y127="","Make first contact",""),IF(TODAY()&gt;AA127,"OVERDUE follow-up",IF(TODAY()=AA127,"Follow up today","")))))))))</f>
        <v/>
      </c>
    </row>
    <row r="128" customFormat="false" ht="15" hidden="false" customHeight="false" outlineLevel="0" collapsed="false">
      <c r="A128" s="17"/>
      <c r="B128" s="40"/>
      <c r="C128" s="17"/>
      <c r="D128" s="17"/>
      <c r="E128" s="17"/>
      <c r="F128" s="17"/>
      <c r="G128" s="17"/>
      <c r="H128" s="42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44" t="str">
        <f aca="false">IF(OR(D128="",COUNTA(N128:S128)=0),"",SUMIFS(Settings!$AA$2:$AA$21,Settings!$Y$2:$Y$21,"Budget AED 5k+/mo?",Settings!$Z$2:$Z$21,N128)+SUMIFS(Settings!$AA$2:$AA$21,Settings!$Y$2:$Y$21,"Decision-maker?",Settings!$Z$2:$Z$21,O128)+SUMIFS(Settings!$AA$2:$AA$21,Settings!$Y$2:$Y$21,"Someone on camera?",Settings!$Z$2:$Z$21,P128)+SUMIFS(Settings!$AA$2:$AA$21,Settings!$Y$2:$Y$21,"OK with 3-month term?",Settings!$Z$2:$Z$21,Q128)+SUMIFS(Settings!$AA$2:$AA$21,Settings!$Y$2:$Y$21,"Start timeline",Settings!$Z$2:$Z$21,R128)+SUMIFS(Settings!$AA$2:$AA$21,Settings!$Y$2:$Y$21,"Social media gap",Settings!$Z$2:$Z$21,S128)+IF(E128="",0,IF(COUNTIF(Settings!$AC$2:$AC$6,E128)&gt;0,Settings!$AA$20,Settings!$AA$21)))</f>
        <v/>
      </c>
      <c r="U128" s="44" t="str">
        <f aca="false">IF(D128="","",IF(COUNTA(N128:S128)=0,"Not scored",IF(COUNTA(N128:S128)&lt;6,"Partly scored ("&amp;COUNTA(N128:S128)&amp;"/6)",IF(T128&gt;=Settings!$S$8,"Hot",IF(T128&gt;=Settings!$S$9,"Warm","Cold")))))</f>
        <v/>
      </c>
      <c r="V128" s="44" t="str">
        <f aca="false">IF(D128="","",IF(AND(N128="No",P128="No"),"🚩 Budget  ·  🚩 No one on camera",IF(N128="No","🚩 Budget under AED 5k",IF(P128="No","🚩 No one on camera",""))))</f>
        <v/>
      </c>
      <c r="W128" s="17"/>
      <c r="X128" s="17"/>
      <c r="Y128" s="40"/>
      <c r="Z128" s="17"/>
      <c r="AA128" s="45" t="str">
        <f aca="false">IF(OR(D128="",Y128="",OR(X128="Contract signed + paid",X128="Closed – No response",X128="Lost"),N(Z128)&gt;=Settings!$S$3),"",Y128+Settings!$S$2)</f>
        <v/>
      </c>
      <c r="AB128" s="40"/>
      <c r="AC128" s="41"/>
      <c r="AD128" s="17"/>
      <c r="AE128" s="17"/>
      <c r="AF128" s="17"/>
      <c r="AG128" s="46" t="str">
        <f aca="true">IF(OR(D128="",B128=""),"",INT(TODAY()-B128))</f>
        <v/>
      </c>
      <c r="AH128" s="44" t="str">
        <f aca="true">IF(D128="","",IF(OR(COUNTIFS(Clients!$C$2:$C$501,D128,Clients!$S$2:$S$501,"Paid")&gt;0,AND(H128&lt;&gt;"",COUNTIFS(Clients!$E$2:$E$501,H128,Clients!$S$2:$S$501,"Paid")&gt;0)),"⚠ Refunded before – no free video",IF(OR(X128="Contract signed + paid",X128="Closed – No response",X128="Lost"),"",IF(X128="","Set a stage",IF(AND(X128="Proposal sent",COUNTA(N128:S128)&lt;6),"Score this lead – proposal sent unscored",IF(N(Z128)&gt;=Settings!$S$3,"Close – 4 follow-ups sent",IF(AA128="",IF(Y128="","Make first contact",""),IF(TODAY()&gt;AA128,"OVERDUE follow-up",IF(TODAY()=AA128,"Follow up today","")))))))))</f>
        <v/>
      </c>
    </row>
    <row r="129" customFormat="false" ht="15" hidden="false" customHeight="false" outlineLevel="0" collapsed="false">
      <c r="A129" s="17"/>
      <c r="B129" s="40"/>
      <c r="C129" s="17"/>
      <c r="D129" s="17"/>
      <c r="E129" s="17"/>
      <c r="F129" s="17"/>
      <c r="G129" s="17"/>
      <c r="H129" s="42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44" t="str">
        <f aca="false">IF(OR(D129="",COUNTA(N129:S129)=0),"",SUMIFS(Settings!$AA$2:$AA$21,Settings!$Y$2:$Y$21,"Budget AED 5k+/mo?",Settings!$Z$2:$Z$21,N129)+SUMIFS(Settings!$AA$2:$AA$21,Settings!$Y$2:$Y$21,"Decision-maker?",Settings!$Z$2:$Z$21,O129)+SUMIFS(Settings!$AA$2:$AA$21,Settings!$Y$2:$Y$21,"Someone on camera?",Settings!$Z$2:$Z$21,P129)+SUMIFS(Settings!$AA$2:$AA$21,Settings!$Y$2:$Y$21,"OK with 3-month term?",Settings!$Z$2:$Z$21,Q129)+SUMIFS(Settings!$AA$2:$AA$21,Settings!$Y$2:$Y$21,"Start timeline",Settings!$Z$2:$Z$21,R129)+SUMIFS(Settings!$AA$2:$AA$21,Settings!$Y$2:$Y$21,"Social media gap",Settings!$Z$2:$Z$21,S129)+IF(E129="",0,IF(COUNTIF(Settings!$AC$2:$AC$6,E129)&gt;0,Settings!$AA$20,Settings!$AA$21)))</f>
        <v/>
      </c>
      <c r="U129" s="44" t="str">
        <f aca="false">IF(D129="","",IF(COUNTA(N129:S129)=0,"Not scored",IF(COUNTA(N129:S129)&lt;6,"Partly scored ("&amp;COUNTA(N129:S129)&amp;"/6)",IF(T129&gt;=Settings!$S$8,"Hot",IF(T129&gt;=Settings!$S$9,"Warm","Cold")))))</f>
        <v/>
      </c>
      <c r="V129" s="44" t="str">
        <f aca="false">IF(D129="","",IF(AND(N129="No",P129="No"),"🚩 Budget  ·  🚩 No one on camera",IF(N129="No","🚩 Budget under AED 5k",IF(P129="No","🚩 No one on camera",""))))</f>
        <v/>
      </c>
      <c r="W129" s="17"/>
      <c r="X129" s="17"/>
      <c r="Y129" s="40"/>
      <c r="Z129" s="17"/>
      <c r="AA129" s="45" t="str">
        <f aca="false">IF(OR(D129="",Y129="",OR(X129="Contract signed + paid",X129="Closed – No response",X129="Lost"),N(Z129)&gt;=Settings!$S$3),"",Y129+Settings!$S$2)</f>
        <v/>
      </c>
      <c r="AB129" s="40"/>
      <c r="AC129" s="41"/>
      <c r="AD129" s="17"/>
      <c r="AE129" s="17"/>
      <c r="AF129" s="17"/>
      <c r="AG129" s="46" t="str">
        <f aca="true">IF(OR(D129="",B129=""),"",INT(TODAY()-B129))</f>
        <v/>
      </c>
      <c r="AH129" s="44" t="str">
        <f aca="true">IF(D129="","",IF(OR(COUNTIFS(Clients!$C$2:$C$501,D129,Clients!$S$2:$S$501,"Paid")&gt;0,AND(H129&lt;&gt;"",COUNTIFS(Clients!$E$2:$E$501,H129,Clients!$S$2:$S$501,"Paid")&gt;0)),"⚠ Refunded before – no free video",IF(OR(X129="Contract signed + paid",X129="Closed – No response",X129="Lost"),"",IF(X129="","Set a stage",IF(AND(X129="Proposal sent",COUNTA(N129:S129)&lt;6),"Score this lead – proposal sent unscored",IF(N(Z129)&gt;=Settings!$S$3,"Close – 4 follow-ups sent",IF(AA129="",IF(Y129="","Make first contact",""),IF(TODAY()&gt;AA129,"OVERDUE follow-up",IF(TODAY()=AA129,"Follow up today","")))))))))</f>
        <v/>
      </c>
    </row>
    <row r="130" customFormat="false" ht="15" hidden="false" customHeight="false" outlineLevel="0" collapsed="false">
      <c r="A130" s="17"/>
      <c r="B130" s="40"/>
      <c r="C130" s="17"/>
      <c r="D130" s="17"/>
      <c r="E130" s="17"/>
      <c r="F130" s="17"/>
      <c r="G130" s="17"/>
      <c r="H130" s="42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44" t="str">
        <f aca="false">IF(OR(D130="",COUNTA(N130:S130)=0),"",SUMIFS(Settings!$AA$2:$AA$21,Settings!$Y$2:$Y$21,"Budget AED 5k+/mo?",Settings!$Z$2:$Z$21,N130)+SUMIFS(Settings!$AA$2:$AA$21,Settings!$Y$2:$Y$21,"Decision-maker?",Settings!$Z$2:$Z$21,O130)+SUMIFS(Settings!$AA$2:$AA$21,Settings!$Y$2:$Y$21,"Someone on camera?",Settings!$Z$2:$Z$21,P130)+SUMIFS(Settings!$AA$2:$AA$21,Settings!$Y$2:$Y$21,"OK with 3-month term?",Settings!$Z$2:$Z$21,Q130)+SUMIFS(Settings!$AA$2:$AA$21,Settings!$Y$2:$Y$21,"Start timeline",Settings!$Z$2:$Z$21,R130)+SUMIFS(Settings!$AA$2:$AA$21,Settings!$Y$2:$Y$21,"Social media gap",Settings!$Z$2:$Z$21,S130)+IF(E130="",0,IF(COUNTIF(Settings!$AC$2:$AC$6,E130)&gt;0,Settings!$AA$20,Settings!$AA$21)))</f>
        <v/>
      </c>
      <c r="U130" s="44" t="str">
        <f aca="false">IF(D130="","",IF(COUNTA(N130:S130)=0,"Not scored",IF(COUNTA(N130:S130)&lt;6,"Partly scored ("&amp;COUNTA(N130:S130)&amp;"/6)",IF(T130&gt;=Settings!$S$8,"Hot",IF(T130&gt;=Settings!$S$9,"Warm","Cold")))))</f>
        <v/>
      </c>
      <c r="V130" s="44" t="str">
        <f aca="false">IF(D130="","",IF(AND(N130="No",P130="No"),"🚩 Budget  ·  🚩 No one on camera",IF(N130="No","🚩 Budget under AED 5k",IF(P130="No","🚩 No one on camera",""))))</f>
        <v/>
      </c>
      <c r="W130" s="17"/>
      <c r="X130" s="17"/>
      <c r="Y130" s="40"/>
      <c r="Z130" s="17"/>
      <c r="AA130" s="45" t="str">
        <f aca="false">IF(OR(D130="",Y130="",OR(X130="Contract signed + paid",X130="Closed – No response",X130="Lost"),N(Z130)&gt;=Settings!$S$3),"",Y130+Settings!$S$2)</f>
        <v/>
      </c>
      <c r="AB130" s="40"/>
      <c r="AC130" s="41"/>
      <c r="AD130" s="17"/>
      <c r="AE130" s="17"/>
      <c r="AF130" s="17"/>
      <c r="AG130" s="46" t="str">
        <f aca="true">IF(OR(D130="",B130=""),"",INT(TODAY()-B130))</f>
        <v/>
      </c>
      <c r="AH130" s="44" t="str">
        <f aca="true">IF(D130="","",IF(OR(COUNTIFS(Clients!$C$2:$C$501,D130,Clients!$S$2:$S$501,"Paid")&gt;0,AND(H130&lt;&gt;"",COUNTIFS(Clients!$E$2:$E$501,H130,Clients!$S$2:$S$501,"Paid")&gt;0)),"⚠ Refunded before – no free video",IF(OR(X130="Contract signed + paid",X130="Closed – No response",X130="Lost"),"",IF(X130="","Set a stage",IF(AND(X130="Proposal sent",COUNTA(N130:S130)&lt;6),"Score this lead – proposal sent unscored",IF(N(Z130)&gt;=Settings!$S$3,"Close – 4 follow-ups sent",IF(AA130="",IF(Y130="","Make first contact",""),IF(TODAY()&gt;AA130,"OVERDUE follow-up",IF(TODAY()=AA130,"Follow up today","")))))))))</f>
        <v/>
      </c>
    </row>
    <row r="131" customFormat="false" ht="15" hidden="false" customHeight="false" outlineLevel="0" collapsed="false">
      <c r="A131" s="17"/>
      <c r="B131" s="40"/>
      <c r="C131" s="17"/>
      <c r="D131" s="17"/>
      <c r="E131" s="17"/>
      <c r="F131" s="17"/>
      <c r="G131" s="17"/>
      <c r="H131" s="42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44" t="str">
        <f aca="false">IF(OR(D131="",COUNTA(N131:S131)=0),"",SUMIFS(Settings!$AA$2:$AA$21,Settings!$Y$2:$Y$21,"Budget AED 5k+/mo?",Settings!$Z$2:$Z$21,N131)+SUMIFS(Settings!$AA$2:$AA$21,Settings!$Y$2:$Y$21,"Decision-maker?",Settings!$Z$2:$Z$21,O131)+SUMIFS(Settings!$AA$2:$AA$21,Settings!$Y$2:$Y$21,"Someone on camera?",Settings!$Z$2:$Z$21,P131)+SUMIFS(Settings!$AA$2:$AA$21,Settings!$Y$2:$Y$21,"OK with 3-month term?",Settings!$Z$2:$Z$21,Q131)+SUMIFS(Settings!$AA$2:$AA$21,Settings!$Y$2:$Y$21,"Start timeline",Settings!$Z$2:$Z$21,R131)+SUMIFS(Settings!$AA$2:$AA$21,Settings!$Y$2:$Y$21,"Social media gap",Settings!$Z$2:$Z$21,S131)+IF(E131="",0,IF(COUNTIF(Settings!$AC$2:$AC$6,E131)&gt;0,Settings!$AA$20,Settings!$AA$21)))</f>
        <v/>
      </c>
      <c r="U131" s="44" t="str">
        <f aca="false">IF(D131="","",IF(COUNTA(N131:S131)=0,"Not scored",IF(COUNTA(N131:S131)&lt;6,"Partly scored ("&amp;COUNTA(N131:S131)&amp;"/6)",IF(T131&gt;=Settings!$S$8,"Hot",IF(T131&gt;=Settings!$S$9,"Warm","Cold")))))</f>
        <v/>
      </c>
      <c r="V131" s="44" t="str">
        <f aca="false">IF(D131="","",IF(AND(N131="No",P131="No"),"🚩 Budget  ·  🚩 No one on camera",IF(N131="No","🚩 Budget under AED 5k",IF(P131="No","🚩 No one on camera",""))))</f>
        <v/>
      </c>
      <c r="W131" s="17"/>
      <c r="X131" s="17"/>
      <c r="Y131" s="40"/>
      <c r="Z131" s="17"/>
      <c r="AA131" s="45" t="str">
        <f aca="false">IF(OR(D131="",Y131="",OR(X131="Contract signed + paid",X131="Closed – No response",X131="Lost"),N(Z131)&gt;=Settings!$S$3),"",Y131+Settings!$S$2)</f>
        <v/>
      </c>
      <c r="AB131" s="40"/>
      <c r="AC131" s="41"/>
      <c r="AD131" s="17"/>
      <c r="AE131" s="17"/>
      <c r="AF131" s="17"/>
      <c r="AG131" s="46" t="str">
        <f aca="true">IF(OR(D131="",B131=""),"",INT(TODAY()-B131))</f>
        <v/>
      </c>
      <c r="AH131" s="44" t="str">
        <f aca="true">IF(D131="","",IF(OR(COUNTIFS(Clients!$C$2:$C$501,D131,Clients!$S$2:$S$501,"Paid")&gt;0,AND(H131&lt;&gt;"",COUNTIFS(Clients!$E$2:$E$501,H131,Clients!$S$2:$S$501,"Paid")&gt;0)),"⚠ Refunded before – no free video",IF(OR(X131="Contract signed + paid",X131="Closed – No response",X131="Lost"),"",IF(X131="","Set a stage",IF(AND(X131="Proposal sent",COUNTA(N131:S131)&lt;6),"Score this lead – proposal sent unscored",IF(N(Z131)&gt;=Settings!$S$3,"Close – 4 follow-ups sent",IF(AA131="",IF(Y131="","Make first contact",""),IF(TODAY()&gt;AA131,"OVERDUE follow-up",IF(TODAY()=AA131,"Follow up today","")))))))))</f>
        <v/>
      </c>
    </row>
    <row r="132" customFormat="false" ht="15" hidden="false" customHeight="false" outlineLevel="0" collapsed="false">
      <c r="A132" s="17"/>
      <c r="B132" s="40"/>
      <c r="C132" s="17"/>
      <c r="D132" s="17"/>
      <c r="E132" s="17"/>
      <c r="F132" s="17"/>
      <c r="G132" s="17"/>
      <c r="H132" s="42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44" t="str">
        <f aca="false">IF(OR(D132="",COUNTA(N132:S132)=0),"",SUMIFS(Settings!$AA$2:$AA$21,Settings!$Y$2:$Y$21,"Budget AED 5k+/mo?",Settings!$Z$2:$Z$21,N132)+SUMIFS(Settings!$AA$2:$AA$21,Settings!$Y$2:$Y$21,"Decision-maker?",Settings!$Z$2:$Z$21,O132)+SUMIFS(Settings!$AA$2:$AA$21,Settings!$Y$2:$Y$21,"Someone on camera?",Settings!$Z$2:$Z$21,P132)+SUMIFS(Settings!$AA$2:$AA$21,Settings!$Y$2:$Y$21,"OK with 3-month term?",Settings!$Z$2:$Z$21,Q132)+SUMIFS(Settings!$AA$2:$AA$21,Settings!$Y$2:$Y$21,"Start timeline",Settings!$Z$2:$Z$21,R132)+SUMIFS(Settings!$AA$2:$AA$21,Settings!$Y$2:$Y$21,"Social media gap",Settings!$Z$2:$Z$21,S132)+IF(E132="",0,IF(COUNTIF(Settings!$AC$2:$AC$6,E132)&gt;0,Settings!$AA$20,Settings!$AA$21)))</f>
        <v/>
      </c>
      <c r="U132" s="44" t="str">
        <f aca="false">IF(D132="","",IF(COUNTA(N132:S132)=0,"Not scored",IF(COUNTA(N132:S132)&lt;6,"Partly scored ("&amp;COUNTA(N132:S132)&amp;"/6)",IF(T132&gt;=Settings!$S$8,"Hot",IF(T132&gt;=Settings!$S$9,"Warm","Cold")))))</f>
        <v/>
      </c>
      <c r="V132" s="44" t="str">
        <f aca="false">IF(D132="","",IF(AND(N132="No",P132="No"),"🚩 Budget  ·  🚩 No one on camera",IF(N132="No","🚩 Budget under AED 5k",IF(P132="No","🚩 No one on camera",""))))</f>
        <v/>
      </c>
      <c r="W132" s="17"/>
      <c r="X132" s="17"/>
      <c r="Y132" s="40"/>
      <c r="Z132" s="17"/>
      <c r="AA132" s="45" t="str">
        <f aca="false">IF(OR(D132="",Y132="",OR(X132="Contract signed + paid",X132="Closed – No response",X132="Lost"),N(Z132)&gt;=Settings!$S$3),"",Y132+Settings!$S$2)</f>
        <v/>
      </c>
      <c r="AB132" s="40"/>
      <c r="AC132" s="41"/>
      <c r="AD132" s="17"/>
      <c r="AE132" s="17"/>
      <c r="AF132" s="17"/>
      <c r="AG132" s="46" t="str">
        <f aca="true">IF(OR(D132="",B132=""),"",INT(TODAY()-B132))</f>
        <v/>
      </c>
      <c r="AH132" s="44" t="str">
        <f aca="true">IF(D132="","",IF(OR(COUNTIFS(Clients!$C$2:$C$501,D132,Clients!$S$2:$S$501,"Paid")&gt;0,AND(H132&lt;&gt;"",COUNTIFS(Clients!$E$2:$E$501,H132,Clients!$S$2:$S$501,"Paid")&gt;0)),"⚠ Refunded before – no free video",IF(OR(X132="Contract signed + paid",X132="Closed – No response",X132="Lost"),"",IF(X132="","Set a stage",IF(AND(X132="Proposal sent",COUNTA(N132:S132)&lt;6),"Score this lead – proposal sent unscored",IF(N(Z132)&gt;=Settings!$S$3,"Close – 4 follow-ups sent",IF(AA132="",IF(Y132="","Make first contact",""),IF(TODAY()&gt;AA132,"OVERDUE follow-up",IF(TODAY()=AA132,"Follow up today","")))))))))</f>
        <v/>
      </c>
    </row>
    <row r="133" customFormat="false" ht="15" hidden="false" customHeight="false" outlineLevel="0" collapsed="false">
      <c r="A133" s="17"/>
      <c r="B133" s="40"/>
      <c r="C133" s="17"/>
      <c r="D133" s="17"/>
      <c r="E133" s="17"/>
      <c r="F133" s="17"/>
      <c r="G133" s="17"/>
      <c r="H133" s="42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44" t="str">
        <f aca="false">IF(OR(D133="",COUNTA(N133:S133)=0),"",SUMIFS(Settings!$AA$2:$AA$21,Settings!$Y$2:$Y$21,"Budget AED 5k+/mo?",Settings!$Z$2:$Z$21,N133)+SUMIFS(Settings!$AA$2:$AA$21,Settings!$Y$2:$Y$21,"Decision-maker?",Settings!$Z$2:$Z$21,O133)+SUMIFS(Settings!$AA$2:$AA$21,Settings!$Y$2:$Y$21,"Someone on camera?",Settings!$Z$2:$Z$21,P133)+SUMIFS(Settings!$AA$2:$AA$21,Settings!$Y$2:$Y$21,"OK with 3-month term?",Settings!$Z$2:$Z$21,Q133)+SUMIFS(Settings!$AA$2:$AA$21,Settings!$Y$2:$Y$21,"Start timeline",Settings!$Z$2:$Z$21,R133)+SUMIFS(Settings!$AA$2:$AA$21,Settings!$Y$2:$Y$21,"Social media gap",Settings!$Z$2:$Z$21,S133)+IF(E133="",0,IF(COUNTIF(Settings!$AC$2:$AC$6,E133)&gt;0,Settings!$AA$20,Settings!$AA$21)))</f>
        <v/>
      </c>
      <c r="U133" s="44" t="str">
        <f aca="false">IF(D133="","",IF(COUNTA(N133:S133)=0,"Not scored",IF(COUNTA(N133:S133)&lt;6,"Partly scored ("&amp;COUNTA(N133:S133)&amp;"/6)",IF(T133&gt;=Settings!$S$8,"Hot",IF(T133&gt;=Settings!$S$9,"Warm","Cold")))))</f>
        <v/>
      </c>
      <c r="V133" s="44" t="str">
        <f aca="false">IF(D133="","",IF(AND(N133="No",P133="No"),"🚩 Budget  ·  🚩 No one on camera",IF(N133="No","🚩 Budget under AED 5k",IF(P133="No","🚩 No one on camera",""))))</f>
        <v/>
      </c>
      <c r="W133" s="17"/>
      <c r="X133" s="17"/>
      <c r="Y133" s="40"/>
      <c r="Z133" s="17"/>
      <c r="AA133" s="45" t="str">
        <f aca="false">IF(OR(D133="",Y133="",OR(X133="Contract signed + paid",X133="Closed – No response",X133="Lost"),N(Z133)&gt;=Settings!$S$3),"",Y133+Settings!$S$2)</f>
        <v/>
      </c>
      <c r="AB133" s="40"/>
      <c r="AC133" s="41"/>
      <c r="AD133" s="17"/>
      <c r="AE133" s="17"/>
      <c r="AF133" s="17"/>
      <c r="AG133" s="46" t="str">
        <f aca="true">IF(OR(D133="",B133=""),"",INT(TODAY()-B133))</f>
        <v/>
      </c>
      <c r="AH133" s="44" t="str">
        <f aca="true">IF(D133="","",IF(OR(COUNTIFS(Clients!$C$2:$C$501,D133,Clients!$S$2:$S$501,"Paid")&gt;0,AND(H133&lt;&gt;"",COUNTIFS(Clients!$E$2:$E$501,H133,Clients!$S$2:$S$501,"Paid")&gt;0)),"⚠ Refunded before – no free video",IF(OR(X133="Contract signed + paid",X133="Closed – No response",X133="Lost"),"",IF(X133="","Set a stage",IF(AND(X133="Proposal sent",COUNTA(N133:S133)&lt;6),"Score this lead – proposal sent unscored",IF(N(Z133)&gt;=Settings!$S$3,"Close – 4 follow-ups sent",IF(AA133="",IF(Y133="","Make first contact",""),IF(TODAY()&gt;AA133,"OVERDUE follow-up",IF(TODAY()=AA133,"Follow up today","")))))))))</f>
        <v/>
      </c>
    </row>
    <row r="134" customFormat="false" ht="15" hidden="false" customHeight="false" outlineLevel="0" collapsed="false">
      <c r="A134" s="17"/>
      <c r="B134" s="40"/>
      <c r="C134" s="17"/>
      <c r="D134" s="17"/>
      <c r="E134" s="17"/>
      <c r="F134" s="17"/>
      <c r="G134" s="17"/>
      <c r="H134" s="42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44" t="str">
        <f aca="false">IF(OR(D134="",COUNTA(N134:S134)=0),"",SUMIFS(Settings!$AA$2:$AA$21,Settings!$Y$2:$Y$21,"Budget AED 5k+/mo?",Settings!$Z$2:$Z$21,N134)+SUMIFS(Settings!$AA$2:$AA$21,Settings!$Y$2:$Y$21,"Decision-maker?",Settings!$Z$2:$Z$21,O134)+SUMIFS(Settings!$AA$2:$AA$21,Settings!$Y$2:$Y$21,"Someone on camera?",Settings!$Z$2:$Z$21,P134)+SUMIFS(Settings!$AA$2:$AA$21,Settings!$Y$2:$Y$21,"OK with 3-month term?",Settings!$Z$2:$Z$21,Q134)+SUMIFS(Settings!$AA$2:$AA$21,Settings!$Y$2:$Y$21,"Start timeline",Settings!$Z$2:$Z$21,R134)+SUMIFS(Settings!$AA$2:$AA$21,Settings!$Y$2:$Y$21,"Social media gap",Settings!$Z$2:$Z$21,S134)+IF(E134="",0,IF(COUNTIF(Settings!$AC$2:$AC$6,E134)&gt;0,Settings!$AA$20,Settings!$AA$21)))</f>
        <v/>
      </c>
      <c r="U134" s="44" t="str">
        <f aca="false">IF(D134="","",IF(COUNTA(N134:S134)=0,"Not scored",IF(COUNTA(N134:S134)&lt;6,"Partly scored ("&amp;COUNTA(N134:S134)&amp;"/6)",IF(T134&gt;=Settings!$S$8,"Hot",IF(T134&gt;=Settings!$S$9,"Warm","Cold")))))</f>
        <v/>
      </c>
      <c r="V134" s="44" t="str">
        <f aca="false">IF(D134="","",IF(AND(N134="No",P134="No"),"🚩 Budget  ·  🚩 No one on camera",IF(N134="No","🚩 Budget under AED 5k",IF(P134="No","🚩 No one on camera",""))))</f>
        <v/>
      </c>
      <c r="W134" s="17"/>
      <c r="X134" s="17"/>
      <c r="Y134" s="40"/>
      <c r="Z134" s="17"/>
      <c r="AA134" s="45" t="str">
        <f aca="false">IF(OR(D134="",Y134="",OR(X134="Contract signed + paid",X134="Closed – No response",X134="Lost"),N(Z134)&gt;=Settings!$S$3),"",Y134+Settings!$S$2)</f>
        <v/>
      </c>
      <c r="AB134" s="40"/>
      <c r="AC134" s="41"/>
      <c r="AD134" s="17"/>
      <c r="AE134" s="17"/>
      <c r="AF134" s="17"/>
      <c r="AG134" s="46" t="str">
        <f aca="true">IF(OR(D134="",B134=""),"",INT(TODAY()-B134))</f>
        <v/>
      </c>
      <c r="AH134" s="44" t="str">
        <f aca="true">IF(D134="","",IF(OR(COUNTIFS(Clients!$C$2:$C$501,D134,Clients!$S$2:$S$501,"Paid")&gt;0,AND(H134&lt;&gt;"",COUNTIFS(Clients!$E$2:$E$501,H134,Clients!$S$2:$S$501,"Paid")&gt;0)),"⚠ Refunded before – no free video",IF(OR(X134="Contract signed + paid",X134="Closed – No response",X134="Lost"),"",IF(X134="","Set a stage",IF(AND(X134="Proposal sent",COUNTA(N134:S134)&lt;6),"Score this lead – proposal sent unscored",IF(N(Z134)&gt;=Settings!$S$3,"Close – 4 follow-ups sent",IF(AA134="",IF(Y134="","Make first contact",""),IF(TODAY()&gt;AA134,"OVERDUE follow-up",IF(TODAY()=AA134,"Follow up today","")))))))))</f>
        <v/>
      </c>
    </row>
    <row r="135" customFormat="false" ht="15" hidden="false" customHeight="false" outlineLevel="0" collapsed="false">
      <c r="A135" s="17"/>
      <c r="B135" s="40"/>
      <c r="C135" s="17"/>
      <c r="D135" s="17"/>
      <c r="E135" s="17"/>
      <c r="F135" s="17"/>
      <c r="G135" s="17"/>
      <c r="H135" s="42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44" t="str">
        <f aca="false">IF(OR(D135="",COUNTA(N135:S135)=0),"",SUMIFS(Settings!$AA$2:$AA$21,Settings!$Y$2:$Y$21,"Budget AED 5k+/mo?",Settings!$Z$2:$Z$21,N135)+SUMIFS(Settings!$AA$2:$AA$21,Settings!$Y$2:$Y$21,"Decision-maker?",Settings!$Z$2:$Z$21,O135)+SUMIFS(Settings!$AA$2:$AA$21,Settings!$Y$2:$Y$21,"Someone on camera?",Settings!$Z$2:$Z$21,P135)+SUMIFS(Settings!$AA$2:$AA$21,Settings!$Y$2:$Y$21,"OK with 3-month term?",Settings!$Z$2:$Z$21,Q135)+SUMIFS(Settings!$AA$2:$AA$21,Settings!$Y$2:$Y$21,"Start timeline",Settings!$Z$2:$Z$21,R135)+SUMIFS(Settings!$AA$2:$AA$21,Settings!$Y$2:$Y$21,"Social media gap",Settings!$Z$2:$Z$21,S135)+IF(E135="",0,IF(COUNTIF(Settings!$AC$2:$AC$6,E135)&gt;0,Settings!$AA$20,Settings!$AA$21)))</f>
        <v/>
      </c>
      <c r="U135" s="44" t="str">
        <f aca="false">IF(D135="","",IF(COUNTA(N135:S135)=0,"Not scored",IF(COUNTA(N135:S135)&lt;6,"Partly scored ("&amp;COUNTA(N135:S135)&amp;"/6)",IF(T135&gt;=Settings!$S$8,"Hot",IF(T135&gt;=Settings!$S$9,"Warm","Cold")))))</f>
        <v/>
      </c>
      <c r="V135" s="44" t="str">
        <f aca="false">IF(D135="","",IF(AND(N135="No",P135="No"),"🚩 Budget  ·  🚩 No one on camera",IF(N135="No","🚩 Budget under AED 5k",IF(P135="No","🚩 No one on camera",""))))</f>
        <v/>
      </c>
      <c r="W135" s="17"/>
      <c r="X135" s="17"/>
      <c r="Y135" s="40"/>
      <c r="Z135" s="17"/>
      <c r="AA135" s="45" t="str">
        <f aca="false">IF(OR(D135="",Y135="",OR(X135="Contract signed + paid",X135="Closed – No response",X135="Lost"),N(Z135)&gt;=Settings!$S$3),"",Y135+Settings!$S$2)</f>
        <v/>
      </c>
      <c r="AB135" s="40"/>
      <c r="AC135" s="41"/>
      <c r="AD135" s="17"/>
      <c r="AE135" s="17"/>
      <c r="AF135" s="17"/>
      <c r="AG135" s="46" t="str">
        <f aca="true">IF(OR(D135="",B135=""),"",INT(TODAY()-B135))</f>
        <v/>
      </c>
      <c r="AH135" s="44" t="str">
        <f aca="true">IF(D135="","",IF(OR(COUNTIFS(Clients!$C$2:$C$501,D135,Clients!$S$2:$S$501,"Paid")&gt;0,AND(H135&lt;&gt;"",COUNTIFS(Clients!$E$2:$E$501,H135,Clients!$S$2:$S$501,"Paid")&gt;0)),"⚠ Refunded before – no free video",IF(OR(X135="Contract signed + paid",X135="Closed – No response",X135="Lost"),"",IF(X135="","Set a stage",IF(AND(X135="Proposal sent",COUNTA(N135:S135)&lt;6),"Score this lead – proposal sent unscored",IF(N(Z135)&gt;=Settings!$S$3,"Close – 4 follow-ups sent",IF(AA135="",IF(Y135="","Make first contact",""),IF(TODAY()&gt;AA135,"OVERDUE follow-up",IF(TODAY()=AA135,"Follow up today","")))))))))</f>
        <v/>
      </c>
    </row>
    <row r="136" customFormat="false" ht="15" hidden="false" customHeight="false" outlineLevel="0" collapsed="false">
      <c r="A136" s="17"/>
      <c r="B136" s="40"/>
      <c r="C136" s="17"/>
      <c r="D136" s="17"/>
      <c r="E136" s="17"/>
      <c r="F136" s="17"/>
      <c r="G136" s="17"/>
      <c r="H136" s="42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44" t="str">
        <f aca="false">IF(OR(D136="",COUNTA(N136:S136)=0),"",SUMIFS(Settings!$AA$2:$AA$21,Settings!$Y$2:$Y$21,"Budget AED 5k+/mo?",Settings!$Z$2:$Z$21,N136)+SUMIFS(Settings!$AA$2:$AA$21,Settings!$Y$2:$Y$21,"Decision-maker?",Settings!$Z$2:$Z$21,O136)+SUMIFS(Settings!$AA$2:$AA$21,Settings!$Y$2:$Y$21,"Someone on camera?",Settings!$Z$2:$Z$21,P136)+SUMIFS(Settings!$AA$2:$AA$21,Settings!$Y$2:$Y$21,"OK with 3-month term?",Settings!$Z$2:$Z$21,Q136)+SUMIFS(Settings!$AA$2:$AA$21,Settings!$Y$2:$Y$21,"Start timeline",Settings!$Z$2:$Z$21,R136)+SUMIFS(Settings!$AA$2:$AA$21,Settings!$Y$2:$Y$21,"Social media gap",Settings!$Z$2:$Z$21,S136)+IF(E136="",0,IF(COUNTIF(Settings!$AC$2:$AC$6,E136)&gt;0,Settings!$AA$20,Settings!$AA$21)))</f>
        <v/>
      </c>
      <c r="U136" s="44" t="str">
        <f aca="false">IF(D136="","",IF(COUNTA(N136:S136)=0,"Not scored",IF(COUNTA(N136:S136)&lt;6,"Partly scored ("&amp;COUNTA(N136:S136)&amp;"/6)",IF(T136&gt;=Settings!$S$8,"Hot",IF(T136&gt;=Settings!$S$9,"Warm","Cold")))))</f>
        <v/>
      </c>
      <c r="V136" s="44" t="str">
        <f aca="false">IF(D136="","",IF(AND(N136="No",P136="No"),"🚩 Budget  ·  🚩 No one on camera",IF(N136="No","🚩 Budget under AED 5k",IF(P136="No","🚩 No one on camera",""))))</f>
        <v/>
      </c>
      <c r="W136" s="17"/>
      <c r="X136" s="17"/>
      <c r="Y136" s="40"/>
      <c r="Z136" s="17"/>
      <c r="AA136" s="45" t="str">
        <f aca="false">IF(OR(D136="",Y136="",OR(X136="Contract signed + paid",X136="Closed – No response",X136="Lost"),N(Z136)&gt;=Settings!$S$3),"",Y136+Settings!$S$2)</f>
        <v/>
      </c>
      <c r="AB136" s="40"/>
      <c r="AC136" s="41"/>
      <c r="AD136" s="17"/>
      <c r="AE136" s="17"/>
      <c r="AF136" s="17"/>
      <c r="AG136" s="46" t="str">
        <f aca="true">IF(OR(D136="",B136=""),"",INT(TODAY()-B136))</f>
        <v/>
      </c>
      <c r="AH136" s="44" t="str">
        <f aca="true">IF(D136="","",IF(OR(COUNTIFS(Clients!$C$2:$C$501,D136,Clients!$S$2:$S$501,"Paid")&gt;0,AND(H136&lt;&gt;"",COUNTIFS(Clients!$E$2:$E$501,H136,Clients!$S$2:$S$501,"Paid")&gt;0)),"⚠ Refunded before – no free video",IF(OR(X136="Contract signed + paid",X136="Closed – No response",X136="Lost"),"",IF(X136="","Set a stage",IF(AND(X136="Proposal sent",COUNTA(N136:S136)&lt;6),"Score this lead – proposal sent unscored",IF(N(Z136)&gt;=Settings!$S$3,"Close – 4 follow-ups sent",IF(AA136="",IF(Y136="","Make first contact",""),IF(TODAY()&gt;AA136,"OVERDUE follow-up",IF(TODAY()=AA136,"Follow up today","")))))))))</f>
        <v/>
      </c>
    </row>
    <row r="137" customFormat="false" ht="15" hidden="false" customHeight="false" outlineLevel="0" collapsed="false">
      <c r="A137" s="17"/>
      <c r="B137" s="40"/>
      <c r="C137" s="17"/>
      <c r="D137" s="17"/>
      <c r="E137" s="17"/>
      <c r="F137" s="17"/>
      <c r="G137" s="17"/>
      <c r="H137" s="42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44" t="str">
        <f aca="false">IF(OR(D137="",COUNTA(N137:S137)=0),"",SUMIFS(Settings!$AA$2:$AA$21,Settings!$Y$2:$Y$21,"Budget AED 5k+/mo?",Settings!$Z$2:$Z$21,N137)+SUMIFS(Settings!$AA$2:$AA$21,Settings!$Y$2:$Y$21,"Decision-maker?",Settings!$Z$2:$Z$21,O137)+SUMIFS(Settings!$AA$2:$AA$21,Settings!$Y$2:$Y$21,"Someone on camera?",Settings!$Z$2:$Z$21,P137)+SUMIFS(Settings!$AA$2:$AA$21,Settings!$Y$2:$Y$21,"OK with 3-month term?",Settings!$Z$2:$Z$21,Q137)+SUMIFS(Settings!$AA$2:$AA$21,Settings!$Y$2:$Y$21,"Start timeline",Settings!$Z$2:$Z$21,R137)+SUMIFS(Settings!$AA$2:$AA$21,Settings!$Y$2:$Y$21,"Social media gap",Settings!$Z$2:$Z$21,S137)+IF(E137="",0,IF(COUNTIF(Settings!$AC$2:$AC$6,E137)&gt;0,Settings!$AA$20,Settings!$AA$21)))</f>
        <v/>
      </c>
      <c r="U137" s="44" t="str">
        <f aca="false">IF(D137="","",IF(COUNTA(N137:S137)=0,"Not scored",IF(COUNTA(N137:S137)&lt;6,"Partly scored ("&amp;COUNTA(N137:S137)&amp;"/6)",IF(T137&gt;=Settings!$S$8,"Hot",IF(T137&gt;=Settings!$S$9,"Warm","Cold")))))</f>
        <v/>
      </c>
      <c r="V137" s="44" t="str">
        <f aca="false">IF(D137="","",IF(AND(N137="No",P137="No"),"🚩 Budget  ·  🚩 No one on camera",IF(N137="No","🚩 Budget under AED 5k",IF(P137="No","🚩 No one on camera",""))))</f>
        <v/>
      </c>
      <c r="W137" s="17"/>
      <c r="X137" s="17"/>
      <c r="Y137" s="40"/>
      <c r="Z137" s="17"/>
      <c r="AA137" s="45" t="str">
        <f aca="false">IF(OR(D137="",Y137="",OR(X137="Contract signed + paid",X137="Closed – No response",X137="Lost"),N(Z137)&gt;=Settings!$S$3),"",Y137+Settings!$S$2)</f>
        <v/>
      </c>
      <c r="AB137" s="40"/>
      <c r="AC137" s="41"/>
      <c r="AD137" s="17"/>
      <c r="AE137" s="17"/>
      <c r="AF137" s="17"/>
      <c r="AG137" s="46" t="str">
        <f aca="true">IF(OR(D137="",B137=""),"",INT(TODAY()-B137))</f>
        <v/>
      </c>
      <c r="AH137" s="44" t="str">
        <f aca="true">IF(D137="","",IF(OR(COUNTIFS(Clients!$C$2:$C$501,D137,Clients!$S$2:$S$501,"Paid")&gt;0,AND(H137&lt;&gt;"",COUNTIFS(Clients!$E$2:$E$501,H137,Clients!$S$2:$S$501,"Paid")&gt;0)),"⚠ Refunded before – no free video",IF(OR(X137="Contract signed + paid",X137="Closed – No response",X137="Lost"),"",IF(X137="","Set a stage",IF(AND(X137="Proposal sent",COUNTA(N137:S137)&lt;6),"Score this lead – proposal sent unscored",IF(N(Z137)&gt;=Settings!$S$3,"Close – 4 follow-ups sent",IF(AA137="",IF(Y137="","Make first contact",""),IF(TODAY()&gt;AA137,"OVERDUE follow-up",IF(TODAY()=AA137,"Follow up today","")))))))))</f>
        <v/>
      </c>
    </row>
    <row r="138" customFormat="false" ht="15" hidden="false" customHeight="false" outlineLevel="0" collapsed="false">
      <c r="A138" s="17"/>
      <c r="B138" s="40"/>
      <c r="C138" s="17"/>
      <c r="D138" s="17"/>
      <c r="E138" s="17"/>
      <c r="F138" s="17"/>
      <c r="G138" s="17"/>
      <c r="H138" s="42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44" t="str">
        <f aca="false">IF(OR(D138="",COUNTA(N138:S138)=0),"",SUMIFS(Settings!$AA$2:$AA$21,Settings!$Y$2:$Y$21,"Budget AED 5k+/mo?",Settings!$Z$2:$Z$21,N138)+SUMIFS(Settings!$AA$2:$AA$21,Settings!$Y$2:$Y$21,"Decision-maker?",Settings!$Z$2:$Z$21,O138)+SUMIFS(Settings!$AA$2:$AA$21,Settings!$Y$2:$Y$21,"Someone on camera?",Settings!$Z$2:$Z$21,P138)+SUMIFS(Settings!$AA$2:$AA$21,Settings!$Y$2:$Y$21,"OK with 3-month term?",Settings!$Z$2:$Z$21,Q138)+SUMIFS(Settings!$AA$2:$AA$21,Settings!$Y$2:$Y$21,"Start timeline",Settings!$Z$2:$Z$21,R138)+SUMIFS(Settings!$AA$2:$AA$21,Settings!$Y$2:$Y$21,"Social media gap",Settings!$Z$2:$Z$21,S138)+IF(E138="",0,IF(COUNTIF(Settings!$AC$2:$AC$6,E138)&gt;0,Settings!$AA$20,Settings!$AA$21)))</f>
        <v/>
      </c>
      <c r="U138" s="44" t="str">
        <f aca="false">IF(D138="","",IF(COUNTA(N138:S138)=0,"Not scored",IF(COUNTA(N138:S138)&lt;6,"Partly scored ("&amp;COUNTA(N138:S138)&amp;"/6)",IF(T138&gt;=Settings!$S$8,"Hot",IF(T138&gt;=Settings!$S$9,"Warm","Cold")))))</f>
        <v/>
      </c>
      <c r="V138" s="44" t="str">
        <f aca="false">IF(D138="","",IF(AND(N138="No",P138="No"),"🚩 Budget  ·  🚩 No one on camera",IF(N138="No","🚩 Budget under AED 5k",IF(P138="No","🚩 No one on camera",""))))</f>
        <v/>
      </c>
      <c r="W138" s="17"/>
      <c r="X138" s="17"/>
      <c r="Y138" s="40"/>
      <c r="Z138" s="17"/>
      <c r="AA138" s="45" t="str">
        <f aca="false">IF(OR(D138="",Y138="",OR(X138="Contract signed + paid",X138="Closed – No response",X138="Lost"),N(Z138)&gt;=Settings!$S$3),"",Y138+Settings!$S$2)</f>
        <v/>
      </c>
      <c r="AB138" s="40"/>
      <c r="AC138" s="41"/>
      <c r="AD138" s="17"/>
      <c r="AE138" s="17"/>
      <c r="AF138" s="17"/>
      <c r="AG138" s="46" t="str">
        <f aca="true">IF(OR(D138="",B138=""),"",INT(TODAY()-B138))</f>
        <v/>
      </c>
      <c r="AH138" s="44" t="str">
        <f aca="true">IF(D138="","",IF(OR(COUNTIFS(Clients!$C$2:$C$501,D138,Clients!$S$2:$S$501,"Paid")&gt;0,AND(H138&lt;&gt;"",COUNTIFS(Clients!$E$2:$E$501,H138,Clients!$S$2:$S$501,"Paid")&gt;0)),"⚠ Refunded before – no free video",IF(OR(X138="Contract signed + paid",X138="Closed – No response",X138="Lost"),"",IF(X138="","Set a stage",IF(AND(X138="Proposal sent",COUNTA(N138:S138)&lt;6),"Score this lead – proposal sent unscored",IF(N(Z138)&gt;=Settings!$S$3,"Close – 4 follow-ups sent",IF(AA138="",IF(Y138="","Make first contact",""),IF(TODAY()&gt;AA138,"OVERDUE follow-up",IF(TODAY()=AA138,"Follow up today","")))))))))</f>
        <v/>
      </c>
    </row>
    <row r="139" customFormat="false" ht="15" hidden="false" customHeight="false" outlineLevel="0" collapsed="false">
      <c r="A139" s="17"/>
      <c r="B139" s="40"/>
      <c r="C139" s="17"/>
      <c r="D139" s="17"/>
      <c r="E139" s="17"/>
      <c r="F139" s="17"/>
      <c r="G139" s="17"/>
      <c r="H139" s="42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44" t="str">
        <f aca="false">IF(OR(D139="",COUNTA(N139:S139)=0),"",SUMIFS(Settings!$AA$2:$AA$21,Settings!$Y$2:$Y$21,"Budget AED 5k+/mo?",Settings!$Z$2:$Z$21,N139)+SUMIFS(Settings!$AA$2:$AA$21,Settings!$Y$2:$Y$21,"Decision-maker?",Settings!$Z$2:$Z$21,O139)+SUMIFS(Settings!$AA$2:$AA$21,Settings!$Y$2:$Y$21,"Someone on camera?",Settings!$Z$2:$Z$21,P139)+SUMIFS(Settings!$AA$2:$AA$21,Settings!$Y$2:$Y$21,"OK with 3-month term?",Settings!$Z$2:$Z$21,Q139)+SUMIFS(Settings!$AA$2:$AA$21,Settings!$Y$2:$Y$21,"Start timeline",Settings!$Z$2:$Z$21,R139)+SUMIFS(Settings!$AA$2:$AA$21,Settings!$Y$2:$Y$21,"Social media gap",Settings!$Z$2:$Z$21,S139)+IF(E139="",0,IF(COUNTIF(Settings!$AC$2:$AC$6,E139)&gt;0,Settings!$AA$20,Settings!$AA$21)))</f>
        <v/>
      </c>
      <c r="U139" s="44" t="str">
        <f aca="false">IF(D139="","",IF(COUNTA(N139:S139)=0,"Not scored",IF(COUNTA(N139:S139)&lt;6,"Partly scored ("&amp;COUNTA(N139:S139)&amp;"/6)",IF(T139&gt;=Settings!$S$8,"Hot",IF(T139&gt;=Settings!$S$9,"Warm","Cold")))))</f>
        <v/>
      </c>
      <c r="V139" s="44" t="str">
        <f aca="false">IF(D139="","",IF(AND(N139="No",P139="No"),"🚩 Budget  ·  🚩 No one on camera",IF(N139="No","🚩 Budget under AED 5k",IF(P139="No","🚩 No one on camera",""))))</f>
        <v/>
      </c>
      <c r="W139" s="17"/>
      <c r="X139" s="17"/>
      <c r="Y139" s="40"/>
      <c r="Z139" s="17"/>
      <c r="AA139" s="45" t="str">
        <f aca="false">IF(OR(D139="",Y139="",OR(X139="Contract signed + paid",X139="Closed – No response",X139="Lost"),N(Z139)&gt;=Settings!$S$3),"",Y139+Settings!$S$2)</f>
        <v/>
      </c>
      <c r="AB139" s="40"/>
      <c r="AC139" s="41"/>
      <c r="AD139" s="17"/>
      <c r="AE139" s="17"/>
      <c r="AF139" s="17"/>
      <c r="AG139" s="46" t="str">
        <f aca="true">IF(OR(D139="",B139=""),"",INT(TODAY()-B139))</f>
        <v/>
      </c>
      <c r="AH139" s="44" t="str">
        <f aca="true">IF(D139="","",IF(OR(COUNTIFS(Clients!$C$2:$C$501,D139,Clients!$S$2:$S$501,"Paid")&gt;0,AND(H139&lt;&gt;"",COUNTIFS(Clients!$E$2:$E$501,H139,Clients!$S$2:$S$501,"Paid")&gt;0)),"⚠ Refunded before – no free video",IF(OR(X139="Contract signed + paid",X139="Closed – No response",X139="Lost"),"",IF(X139="","Set a stage",IF(AND(X139="Proposal sent",COUNTA(N139:S139)&lt;6),"Score this lead – proposal sent unscored",IF(N(Z139)&gt;=Settings!$S$3,"Close – 4 follow-ups sent",IF(AA139="",IF(Y139="","Make first contact",""),IF(TODAY()&gt;AA139,"OVERDUE follow-up",IF(TODAY()=AA139,"Follow up today","")))))))))</f>
        <v/>
      </c>
    </row>
    <row r="140" customFormat="false" ht="15" hidden="false" customHeight="false" outlineLevel="0" collapsed="false">
      <c r="A140" s="17"/>
      <c r="B140" s="40"/>
      <c r="C140" s="17"/>
      <c r="D140" s="17"/>
      <c r="E140" s="17"/>
      <c r="F140" s="17"/>
      <c r="G140" s="17"/>
      <c r="H140" s="42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44" t="str">
        <f aca="false">IF(OR(D140="",COUNTA(N140:S140)=0),"",SUMIFS(Settings!$AA$2:$AA$21,Settings!$Y$2:$Y$21,"Budget AED 5k+/mo?",Settings!$Z$2:$Z$21,N140)+SUMIFS(Settings!$AA$2:$AA$21,Settings!$Y$2:$Y$21,"Decision-maker?",Settings!$Z$2:$Z$21,O140)+SUMIFS(Settings!$AA$2:$AA$21,Settings!$Y$2:$Y$21,"Someone on camera?",Settings!$Z$2:$Z$21,P140)+SUMIFS(Settings!$AA$2:$AA$21,Settings!$Y$2:$Y$21,"OK with 3-month term?",Settings!$Z$2:$Z$21,Q140)+SUMIFS(Settings!$AA$2:$AA$21,Settings!$Y$2:$Y$21,"Start timeline",Settings!$Z$2:$Z$21,R140)+SUMIFS(Settings!$AA$2:$AA$21,Settings!$Y$2:$Y$21,"Social media gap",Settings!$Z$2:$Z$21,S140)+IF(E140="",0,IF(COUNTIF(Settings!$AC$2:$AC$6,E140)&gt;0,Settings!$AA$20,Settings!$AA$21)))</f>
        <v/>
      </c>
      <c r="U140" s="44" t="str">
        <f aca="false">IF(D140="","",IF(COUNTA(N140:S140)=0,"Not scored",IF(COUNTA(N140:S140)&lt;6,"Partly scored ("&amp;COUNTA(N140:S140)&amp;"/6)",IF(T140&gt;=Settings!$S$8,"Hot",IF(T140&gt;=Settings!$S$9,"Warm","Cold")))))</f>
        <v/>
      </c>
      <c r="V140" s="44" t="str">
        <f aca="false">IF(D140="","",IF(AND(N140="No",P140="No"),"🚩 Budget  ·  🚩 No one on camera",IF(N140="No","🚩 Budget under AED 5k",IF(P140="No","🚩 No one on camera",""))))</f>
        <v/>
      </c>
      <c r="W140" s="17"/>
      <c r="X140" s="17"/>
      <c r="Y140" s="40"/>
      <c r="Z140" s="17"/>
      <c r="AA140" s="45" t="str">
        <f aca="false">IF(OR(D140="",Y140="",OR(X140="Contract signed + paid",X140="Closed – No response",X140="Lost"),N(Z140)&gt;=Settings!$S$3),"",Y140+Settings!$S$2)</f>
        <v/>
      </c>
      <c r="AB140" s="40"/>
      <c r="AC140" s="41"/>
      <c r="AD140" s="17"/>
      <c r="AE140" s="17"/>
      <c r="AF140" s="17"/>
      <c r="AG140" s="46" t="str">
        <f aca="true">IF(OR(D140="",B140=""),"",INT(TODAY()-B140))</f>
        <v/>
      </c>
      <c r="AH140" s="44" t="str">
        <f aca="true">IF(D140="","",IF(OR(COUNTIFS(Clients!$C$2:$C$501,D140,Clients!$S$2:$S$501,"Paid")&gt;0,AND(H140&lt;&gt;"",COUNTIFS(Clients!$E$2:$E$501,H140,Clients!$S$2:$S$501,"Paid")&gt;0)),"⚠ Refunded before – no free video",IF(OR(X140="Contract signed + paid",X140="Closed – No response",X140="Lost"),"",IF(X140="","Set a stage",IF(AND(X140="Proposal sent",COUNTA(N140:S140)&lt;6),"Score this lead – proposal sent unscored",IF(N(Z140)&gt;=Settings!$S$3,"Close – 4 follow-ups sent",IF(AA140="",IF(Y140="","Make first contact",""),IF(TODAY()&gt;AA140,"OVERDUE follow-up",IF(TODAY()=AA140,"Follow up today","")))))))))</f>
        <v/>
      </c>
    </row>
    <row r="141" customFormat="false" ht="15" hidden="false" customHeight="false" outlineLevel="0" collapsed="false">
      <c r="A141" s="17"/>
      <c r="B141" s="40"/>
      <c r="C141" s="17"/>
      <c r="D141" s="17"/>
      <c r="E141" s="17"/>
      <c r="F141" s="17"/>
      <c r="G141" s="17"/>
      <c r="H141" s="42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44" t="str">
        <f aca="false">IF(OR(D141="",COUNTA(N141:S141)=0),"",SUMIFS(Settings!$AA$2:$AA$21,Settings!$Y$2:$Y$21,"Budget AED 5k+/mo?",Settings!$Z$2:$Z$21,N141)+SUMIFS(Settings!$AA$2:$AA$21,Settings!$Y$2:$Y$21,"Decision-maker?",Settings!$Z$2:$Z$21,O141)+SUMIFS(Settings!$AA$2:$AA$21,Settings!$Y$2:$Y$21,"Someone on camera?",Settings!$Z$2:$Z$21,P141)+SUMIFS(Settings!$AA$2:$AA$21,Settings!$Y$2:$Y$21,"OK with 3-month term?",Settings!$Z$2:$Z$21,Q141)+SUMIFS(Settings!$AA$2:$AA$21,Settings!$Y$2:$Y$21,"Start timeline",Settings!$Z$2:$Z$21,R141)+SUMIFS(Settings!$AA$2:$AA$21,Settings!$Y$2:$Y$21,"Social media gap",Settings!$Z$2:$Z$21,S141)+IF(E141="",0,IF(COUNTIF(Settings!$AC$2:$AC$6,E141)&gt;0,Settings!$AA$20,Settings!$AA$21)))</f>
        <v/>
      </c>
      <c r="U141" s="44" t="str">
        <f aca="false">IF(D141="","",IF(COUNTA(N141:S141)=0,"Not scored",IF(COUNTA(N141:S141)&lt;6,"Partly scored ("&amp;COUNTA(N141:S141)&amp;"/6)",IF(T141&gt;=Settings!$S$8,"Hot",IF(T141&gt;=Settings!$S$9,"Warm","Cold")))))</f>
        <v/>
      </c>
      <c r="V141" s="44" t="str">
        <f aca="false">IF(D141="","",IF(AND(N141="No",P141="No"),"🚩 Budget  ·  🚩 No one on camera",IF(N141="No","🚩 Budget under AED 5k",IF(P141="No","🚩 No one on camera",""))))</f>
        <v/>
      </c>
      <c r="W141" s="17"/>
      <c r="X141" s="17"/>
      <c r="Y141" s="40"/>
      <c r="Z141" s="17"/>
      <c r="AA141" s="45" t="str">
        <f aca="false">IF(OR(D141="",Y141="",OR(X141="Contract signed + paid",X141="Closed – No response",X141="Lost"),N(Z141)&gt;=Settings!$S$3),"",Y141+Settings!$S$2)</f>
        <v/>
      </c>
      <c r="AB141" s="40"/>
      <c r="AC141" s="41"/>
      <c r="AD141" s="17"/>
      <c r="AE141" s="17"/>
      <c r="AF141" s="17"/>
      <c r="AG141" s="46" t="str">
        <f aca="true">IF(OR(D141="",B141=""),"",INT(TODAY()-B141))</f>
        <v/>
      </c>
      <c r="AH141" s="44" t="str">
        <f aca="true">IF(D141="","",IF(OR(COUNTIFS(Clients!$C$2:$C$501,D141,Clients!$S$2:$S$501,"Paid")&gt;0,AND(H141&lt;&gt;"",COUNTIFS(Clients!$E$2:$E$501,H141,Clients!$S$2:$S$501,"Paid")&gt;0)),"⚠ Refunded before – no free video",IF(OR(X141="Contract signed + paid",X141="Closed – No response",X141="Lost"),"",IF(X141="","Set a stage",IF(AND(X141="Proposal sent",COUNTA(N141:S141)&lt;6),"Score this lead – proposal sent unscored",IF(N(Z141)&gt;=Settings!$S$3,"Close – 4 follow-ups sent",IF(AA141="",IF(Y141="","Make first contact",""),IF(TODAY()&gt;AA141,"OVERDUE follow-up",IF(TODAY()=AA141,"Follow up today","")))))))))</f>
        <v/>
      </c>
    </row>
    <row r="142" customFormat="false" ht="15" hidden="false" customHeight="false" outlineLevel="0" collapsed="false">
      <c r="A142" s="17"/>
      <c r="B142" s="40"/>
      <c r="C142" s="17"/>
      <c r="D142" s="17"/>
      <c r="E142" s="17"/>
      <c r="F142" s="17"/>
      <c r="G142" s="17"/>
      <c r="H142" s="42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44" t="str">
        <f aca="false">IF(OR(D142="",COUNTA(N142:S142)=0),"",SUMIFS(Settings!$AA$2:$AA$21,Settings!$Y$2:$Y$21,"Budget AED 5k+/mo?",Settings!$Z$2:$Z$21,N142)+SUMIFS(Settings!$AA$2:$AA$21,Settings!$Y$2:$Y$21,"Decision-maker?",Settings!$Z$2:$Z$21,O142)+SUMIFS(Settings!$AA$2:$AA$21,Settings!$Y$2:$Y$21,"Someone on camera?",Settings!$Z$2:$Z$21,P142)+SUMIFS(Settings!$AA$2:$AA$21,Settings!$Y$2:$Y$21,"OK with 3-month term?",Settings!$Z$2:$Z$21,Q142)+SUMIFS(Settings!$AA$2:$AA$21,Settings!$Y$2:$Y$21,"Start timeline",Settings!$Z$2:$Z$21,R142)+SUMIFS(Settings!$AA$2:$AA$21,Settings!$Y$2:$Y$21,"Social media gap",Settings!$Z$2:$Z$21,S142)+IF(E142="",0,IF(COUNTIF(Settings!$AC$2:$AC$6,E142)&gt;0,Settings!$AA$20,Settings!$AA$21)))</f>
        <v/>
      </c>
      <c r="U142" s="44" t="str">
        <f aca="false">IF(D142="","",IF(COUNTA(N142:S142)=0,"Not scored",IF(COUNTA(N142:S142)&lt;6,"Partly scored ("&amp;COUNTA(N142:S142)&amp;"/6)",IF(T142&gt;=Settings!$S$8,"Hot",IF(T142&gt;=Settings!$S$9,"Warm","Cold")))))</f>
        <v/>
      </c>
      <c r="V142" s="44" t="str">
        <f aca="false">IF(D142="","",IF(AND(N142="No",P142="No"),"🚩 Budget  ·  🚩 No one on camera",IF(N142="No","🚩 Budget under AED 5k",IF(P142="No","🚩 No one on camera",""))))</f>
        <v/>
      </c>
      <c r="W142" s="17"/>
      <c r="X142" s="17"/>
      <c r="Y142" s="40"/>
      <c r="Z142" s="17"/>
      <c r="AA142" s="45" t="str">
        <f aca="false">IF(OR(D142="",Y142="",OR(X142="Contract signed + paid",X142="Closed – No response",X142="Lost"),N(Z142)&gt;=Settings!$S$3),"",Y142+Settings!$S$2)</f>
        <v/>
      </c>
      <c r="AB142" s="40"/>
      <c r="AC142" s="41"/>
      <c r="AD142" s="17"/>
      <c r="AE142" s="17"/>
      <c r="AF142" s="17"/>
      <c r="AG142" s="46" t="str">
        <f aca="true">IF(OR(D142="",B142=""),"",INT(TODAY()-B142))</f>
        <v/>
      </c>
      <c r="AH142" s="44" t="str">
        <f aca="true">IF(D142="","",IF(OR(COUNTIFS(Clients!$C$2:$C$501,D142,Clients!$S$2:$S$501,"Paid")&gt;0,AND(H142&lt;&gt;"",COUNTIFS(Clients!$E$2:$E$501,H142,Clients!$S$2:$S$501,"Paid")&gt;0)),"⚠ Refunded before – no free video",IF(OR(X142="Contract signed + paid",X142="Closed – No response",X142="Lost"),"",IF(X142="","Set a stage",IF(AND(X142="Proposal sent",COUNTA(N142:S142)&lt;6),"Score this lead – proposal sent unscored",IF(N(Z142)&gt;=Settings!$S$3,"Close – 4 follow-ups sent",IF(AA142="",IF(Y142="","Make first contact",""),IF(TODAY()&gt;AA142,"OVERDUE follow-up",IF(TODAY()=AA142,"Follow up today","")))))))))</f>
        <v/>
      </c>
    </row>
    <row r="143" customFormat="false" ht="15" hidden="false" customHeight="false" outlineLevel="0" collapsed="false">
      <c r="A143" s="17"/>
      <c r="B143" s="40"/>
      <c r="C143" s="17"/>
      <c r="D143" s="17"/>
      <c r="E143" s="17"/>
      <c r="F143" s="17"/>
      <c r="G143" s="17"/>
      <c r="H143" s="42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44" t="str">
        <f aca="false">IF(OR(D143="",COUNTA(N143:S143)=0),"",SUMIFS(Settings!$AA$2:$AA$21,Settings!$Y$2:$Y$21,"Budget AED 5k+/mo?",Settings!$Z$2:$Z$21,N143)+SUMIFS(Settings!$AA$2:$AA$21,Settings!$Y$2:$Y$21,"Decision-maker?",Settings!$Z$2:$Z$21,O143)+SUMIFS(Settings!$AA$2:$AA$21,Settings!$Y$2:$Y$21,"Someone on camera?",Settings!$Z$2:$Z$21,P143)+SUMIFS(Settings!$AA$2:$AA$21,Settings!$Y$2:$Y$21,"OK with 3-month term?",Settings!$Z$2:$Z$21,Q143)+SUMIFS(Settings!$AA$2:$AA$21,Settings!$Y$2:$Y$21,"Start timeline",Settings!$Z$2:$Z$21,R143)+SUMIFS(Settings!$AA$2:$AA$21,Settings!$Y$2:$Y$21,"Social media gap",Settings!$Z$2:$Z$21,S143)+IF(E143="",0,IF(COUNTIF(Settings!$AC$2:$AC$6,E143)&gt;0,Settings!$AA$20,Settings!$AA$21)))</f>
        <v/>
      </c>
      <c r="U143" s="44" t="str">
        <f aca="false">IF(D143="","",IF(COUNTA(N143:S143)=0,"Not scored",IF(COUNTA(N143:S143)&lt;6,"Partly scored ("&amp;COUNTA(N143:S143)&amp;"/6)",IF(T143&gt;=Settings!$S$8,"Hot",IF(T143&gt;=Settings!$S$9,"Warm","Cold")))))</f>
        <v/>
      </c>
      <c r="V143" s="44" t="str">
        <f aca="false">IF(D143="","",IF(AND(N143="No",P143="No"),"🚩 Budget  ·  🚩 No one on camera",IF(N143="No","🚩 Budget under AED 5k",IF(P143="No","🚩 No one on camera",""))))</f>
        <v/>
      </c>
      <c r="W143" s="17"/>
      <c r="X143" s="17"/>
      <c r="Y143" s="40"/>
      <c r="Z143" s="17"/>
      <c r="AA143" s="45" t="str">
        <f aca="false">IF(OR(D143="",Y143="",OR(X143="Contract signed + paid",X143="Closed – No response",X143="Lost"),N(Z143)&gt;=Settings!$S$3),"",Y143+Settings!$S$2)</f>
        <v/>
      </c>
      <c r="AB143" s="40"/>
      <c r="AC143" s="41"/>
      <c r="AD143" s="17"/>
      <c r="AE143" s="17"/>
      <c r="AF143" s="17"/>
      <c r="AG143" s="46" t="str">
        <f aca="true">IF(OR(D143="",B143=""),"",INT(TODAY()-B143))</f>
        <v/>
      </c>
      <c r="AH143" s="44" t="str">
        <f aca="true">IF(D143="","",IF(OR(COUNTIFS(Clients!$C$2:$C$501,D143,Clients!$S$2:$S$501,"Paid")&gt;0,AND(H143&lt;&gt;"",COUNTIFS(Clients!$E$2:$E$501,H143,Clients!$S$2:$S$501,"Paid")&gt;0)),"⚠ Refunded before – no free video",IF(OR(X143="Contract signed + paid",X143="Closed – No response",X143="Lost"),"",IF(X143="","Set a stage",IF(AND(X143="Proposal sent",COUNTA(N143:S143)&lt;6),"Score this lead – proposal sent unscored",IF(N(Z143)&gt;=Settings!$S$3,"Close – 4 follow-ups sent",IF(AA143="",IF(Y143="","Make first contact",""),IF(TODAY()&gt;AA143,"OVERDUE follow-up",IF(TODAY()=AA143,"Follow up today","")))))))))</f>
        <v/>
      </c>
    </row>
    <row r="144" customFormat="false" ht="15" hidden="false" customHeight="false" outlineLevel="0" collapsed="false">
      <c r="A144" s="17"/>
      <c r="B144" s="40"/>
      <c r="C144" s="17"/>
      <c r="D144" s="17"/>
      <c r="E144" s="17"/>
      <c r="F144" s="17"/>
      <c r="G144" s="17"/>
      <c r="H144" s="42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44" t="str">
        <f aca="false">IF(OR(D144="",COUNTA(N144:S144)=0),"",SUMIFS(Settings!$AA$2:$AA$21,Settings!$Y$2:$Y$21,"Budget AED 5k+/mo?",Settings!$Z$2:$Z$21,N144)+SUMIFS(Settings!$AA$2:$AA$21,Settings!$Y$2:$Y$21,"Decision-maker?",Settings!$Z$2:$Z$21,O144)+SUMIFS(Settings!$AA$2:$AA$21,Settings!$Y$2:$Y$21,"Someone on camera?",Settings!$Z$2:$Z$21,P144)+SUMIFS(Settings!$AA$2:$AA$21,Settings!$Y$2:$Y$21,"OK with 3-month term?",Settings!$Z$2:$Z$21,Q144)+SUMIFS(Settings!$AA$2:$AA$21,Settings!$Y$2:$Y$21,"Start timeline",Settings!$Z$2:$Z$21,R144)+SUMIFS(Settings!$AA$2:$AA$21,Settings!$Y$2:$Y$21,"Social media gap",Settings!$Z$2:$Z$21,S144)+IF(E144="",0,IF(COUNTIF(Settings!$AC$2:$AC$6,E144)&gt;0,Settings!$AA$20,Settings!$AA$21)))</f>
        <v/>
      </c>
      <c r="U144" s="44" t="str">
        <f aca="false">IF(D144="","",IF(COUNTA(N144:S144)=0,"Not scored",IF(COUNTA(N144:S144)&lt;6,"Partly scored ("&amp;COUNTA(N144:S144)&amp;"/6)",IF(T144&gt;=Settings!$S$8,"Hot",IF(T144&gt;=Settings!$S$9,"Warm","Cold")))))</f>
        <v/>
      </c>
      <c r="V144" s="44" t="str">
        <f aca="false">IF(D144="","",IF(AND(N144="No",P144="No"),"🚩 Budget  ·  🚩 No one on camera",IF(N144="No","🚩 Budget under AED 5k",IF(P144="No","🚩 No one on camera",""))))</f>
        <v/>
      </c>
      <c r="W144" s="17"/>
      <c r="X144" s="17"/>
      <c r="Y144" s="40"/>
      <c r="Z144" s="17"/>
      <c r="AA144" s="45" t="str">
        <f aca="false">IF(OR(D144="",Y144="",OR(X144="Contract signed + paid",X144="Closed – No response",X144="Lost"),N(Z144)&gt;=Settings!$S$3),"",Y144+Settings!$S$2)</f>
        <v/>
      </c>
      <c r="AB144" s="40"/>
      <c r="AC144" s="41"/>
      <c r="AD144" s="17"/>
      <c r="AE144" s="17"/>
      <c r="AF144" s="17"/>
      <c r="AG144" s="46" t="str">
        <f aca="true">IF(OR(D144="",B144=""),"",INT(TODAY()-B144))</f>
        <v/>
      </c>
      <c r="AH144" s="44" t="str">
        <f aca="true">IF(D144="","",IF(OR(COUNTIFS(Clients!$C$2:$C$501,D144,Clients!$S$2:$S$501,"Paid")&gt;0,AND(H144&lt;&gt;"",COUNTIFS(Clients!$E$2:$E$501,H144,Clients!$S$2:$S$501,"Paid")&gt;0)),"⚠ Refunded before – no free video",IF(OR(X144="Contract signed + paid",X144="Closed – No response",X144="Lost"),"",IF(X144="","Set a stage",IF(AND(X144="Proposal sent",COUNTA(N144:S144)&lt;6),"Score this lead – proposal sent unscored",IF(N(Z144)&gt;=Settings!$S$3,"Close – 4 follow-ups sent",IF(AA144="",IF(Y144="","Make first contact",""),IF(TODAY()&gt;AA144,"OVERDUE follow-up",IF(TODAY()=AA144,"Follow up today","")))))))))</f>
        <v/>
      </c>
    </row>
    <row r="145" customFormat="false" ht="15" hidden="false" customHeight="false" outlineLevel="0" collapsed="false">
      <c r="A145" s="17"/>
      <c r="B145" s="40"/>
      <c r="C145" s="17"/>
      <c r="D145" s="17"/>
      <c r="E145" s="17"/>
      <c r="F145" s="17"/>
      <c r="G145" s="17"/>
      <c r="H145" s="42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44" t="str">
        <f aca="false">IF(OR(D145="",COUNTA(N145:S145)=0),"",SUMIFS(Settings!$AA$2:$AA$21,Settings!$Y$2:$Y$21,"Budget AED 5k+/mo?",Settings!$Z$2:$Z$21,N145)+SUMIFS(Settings!$AA$2:$AA$21,Settings!$Y$2:$Y$21,"Decision-maker?",Settings!$Z$2:$Z$21,O145)+SUMIFS(Settings!$AA$2:$AA$21,Settings!$Y$2:$Y$21,"Someone on camera?",Settings!$Z$2:$Z$21,P145)+SUMIFS(Settings!$AA$2:$AA$21,Settings!$Y$2:$Y$21,"OK with 3-month term?",Settings!$Z$2:$Z$21,Q145)+SUMIFS(Settings!$AA$2:$AA$21,Settings!$Y$2:$Y$21,"Start timeline",Settings!$Z$2:$Z$21,R145)+SUMIFS(Settings!$AA$2:$AA$21,Settings!$Y$2:$Y$21,"Social media gap",Settings!$Z$2:$Z$21,S145)+IF(E145="",0,IF(COUNTIF(Settings!$AC$2:$AC$6,E145)&gt;0,Settings!$AA$20,Settings!$AA$21)))</f>
        <v/>
      </c>
      <c r="U145" s="44" t="str">
        <f aca="false">IF(D145="","",IF(COUNTA(N145:S145)=0,"Not scored",IF(COUNTA(N145:S145)&lt;6,"Partly scored ("&amp;COUNTA(N145:S145)&amp;"/6)",IF(T145&gt;=Settings!$S$8,"Hot",IF(T145&gt;=Settings!$S$9,"Warm","Cold")))))</f>
        <v/>
      </c>
      <c r="V145" s="44" t="str">
        <f aca="false">IF(D145="","",IF(AND(N145="No",P145="No"),"🚩 Budget  ·  🚩 No one on camera",IF(N145="No","🚩 Budget under AED 5k",IF(P145="No","🚩 No one on camera",""))))</f>
        <v/>
      </c>
      <c r="W145" s="17"/>
      <c r="X145" s="17"/>
      <c r="Y145" s="40"/>
      <c r="Z145" s="17"/>
      <c r="AA145" s="45" t="str">
        <f aca="false">IF(OR(D145="",Y145="",OR(X145="Contract signed + paid",X145="Closed – No response",X145="Lost"),N(Z145)&gt;=Settings!$S$3),"",Y145+Settings!$S$2)</f>
        <v/>
      </c>
      <c r="AB145" s="40"/>
      <c r="AC145" s="41"/>
      <c r="AD145" s="17"/>
      <c r="AE145" s="17"/>
      <c r="AF145" s="17"/>
      <c r="AG145" s="46" t="str">
        <f aca="true">IF(OR(D145="",B145=""),"",INT(TODAY()-B145))</f>
        <v/>
      </c>
      <c r="AH145" s="44" t="str">
        <f aca="true">IF(D145="","",IF(OR(COUNTIFS(Clients!$C$2:$C$501,D145,Clients!$S$2:$S$501,"Paid")&gt;0,AND(H145&lt;&gt;"",COUNTIFS(Clients!$E$2:$E$501,H145,Clients!$S$2:$S$501,"Paid")&gt;0)),"⚠ Refunded before – no free video",IF(OR(X145="Contract signed + paid",X145="Closed – No response",X145="Lost"),"",IF(X145="","Set a stage",IF(AND(X145="Proposal sent",COUNTA(N145:S145)&lt;6),"Score this lead – proposal sent unscored",IF(N(Z145)&gt;=Settings!$S$3,"Close – 4 follow-ups sent",IF(AA145="",IF(Y145="","Make first contact",""),IF(TODAY()&gt;AA145,"OVERDUE follow-up",IF(TODAY()=AA145,"Follow up today","")))))))))</f>
        <v/>
      </c>
    </row>
    <row r="146" customFormat="false" ht="15" hidden="false" customHeight="false" outlineLevel="0" collapsed="false">
      <c r="A146" s="17"/>
      <c r="B146" s="40"/>
      <c r="C146" s="17"/>
      <c r="D146" s="17"/>
      <c r="E146" s="17"/>
      <c r="F146" s="17"/>
      <c r="G146" s="17"/>
      <c r="H146" s="42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44" t="str">
        <f aca="false">IF(OR(D146="",COUNTA(N146:S146)=0),"",SUMIFS(Settings!$AA$2:$AA$21,Settings!$Y$2:$Y$21,"Budget AED 5k+/mo?",Settings!$Z$2:$Z$21,N146)+SUMIFS(Settings!$AA$2:$AA$21,Settings!$Y$2:$Y$21,"Decision-maker?",Settings!$Z$2:$Z$21,O146)+SUMIFS(Settings!$AA$2:$AA$21,Settings!$Y$2:$Y$21,"Someone on camera?",Settings!$Z$2:$Z$21,P146)+SUMIFS(Settings!$AA$2:$AA$21,Settings!$Y$2:$Y$21,"OK with 3-month term?",Settings!$Z$2:$Z$21,Q146)+SUMIFS(Settings!$AA$2:$AA$21,Settings!$Y$2:$Y$21,"Start timeline",Settings!$Z$2:$Z$21,R146)+SUMIFS(Settings!$AA$2:$AA$21,Settings!$Y$2:$Y$21,"Social media gap",Settings!$Z$2:$Z$21,S146)+IF(E146="",0,IF(COUNTIF(Settings!$AC$2:$AC$6,E146)&gt;0,Settings!$AA$20,Settings!$AA$21)))</f>
        <v/>
      </c>
      <c r="U146" s="44" t="str">
        <f aca="false">IF(D146="","",IF(COUNTA(N146:S146)=0,"Not scored",IF(COUNTA(N146:S146)&lt;6,"Partly scored ("&amp;COUNTA(N146:S146)&amp;"/6)",IF(T146&gt;=Settings!$S$8,"Hot",IF(T146&gt;=Settings!$S$9,"Warm","Cold")))))</f>
        <v/>
      </c>
      <c r="V146" s="44" t="str">
        <f aca="false">IF(D146="","",IF(AND(N146="No",P146="No"),"🚩 Budget  ·  🚩 No one on camera",IF(N146="No","🚩 Budget under AED 5k",IF(P146="No","🚩 No one on camera",""))))</f>
        <v/>
      </c>
      <c r="W146" s="17"/>
      <c r="X146" s="17"/>
      <c r="Y146" s="40"/>
      <c r="Z146" s="17"/>
      <c r="AA146" s="45" t="str">
        <f aca="false">IF(OR(D146="",Y146="",OR(X146="Contract signed + paid",X146="Closed – No response",X146="Lost"),N(Z146)&gt;=Settings!$S$3),"",Y146+Settings!$S$2)</f>
        <v/>
      </c>
      <c r="AB146" s="40"/>
      <c r="AC146" s="41"/>
      <c r="AD146" s="17"/>
      <c r="AE146" s="17"/>
      <c r="AF146" s="17"/>
      <c r="AG146" s="46" t="str">
        <f aca="true">IF(OR(D146="",B146=""),"",INT(TODAY()-B146))</f>
        <v/>
      </c>
      <c r="AH146" s="44" t="str">
        <f aca="true">IF(D146="","",IF(OR(COUNTIFS(Clients!$C$2:$C$501,D146,Clients!$S$2:$S$501,"Paid")&gt;0,AND(H146&lt;&gt;"",COUNTIFS(Clients!$E$2:$E$501,H146,Clients!$S$2:$S$501,"Paid")&gt;0)),"⚠ Refunded before – no free video",IF(OR(X146="Contract signed + paid",X146="Closed – No response",X146="Lost"),"",IF(X146="","Set a stage",IF(AND(X146="Proposal sent",COUNTA(N146:S146)&lt;6),"Score this lead – proposal sent unscored",IF(N(Z146)&gt;=Settings!$S$3,"Close – 4 follow-ups sent",IF(AA146="",IF(Y146="","Make first contact",""),IF(TODAY()&gt;AA146,"OVERDUE follow-up",IF(TODAY()=AA146,"Follow up today","")))))))))</f>
        <v/>
      </c>
    </row>
    <row r="147" customFormat="false" ht="15" hidden="false" customHeight="false" outlineLevel="0" collapsed="false">
      <c r="A147" s="17"/>
      <c r="B147" s="40"/>
      <c r="C147" s="17"/>
      <c r="D147" s="17"/>
      <c r="E147" s="17"/>
      <c r="F147" s="17"/>
      <c r="G147" s="17"/>
      <c r="H147" s="42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44" t="str">
        <f aca="false">IF(OR(D147="",COUNTA(N147:S147)=0),"",SUMIFS(Settings!$AA$2:$AA$21,Settings!$Y$2:$Y$21,"Budget AED 5k+/mo?",Settings!$Z$2:$Z$21,N147)+SUMIFS(Settings!$AA$2:$AA$21,Settings!$Y$2:$Y$21,"Decision-maker?",Settings!$Z$2:$Z$21,O147)+SUMIFS(Settings!$AA$2:$AA$21,Settings!$Y$2:$Y$21,"Someone on camera?",Settings!$Z$2:$Z$21,P147)+SUMIFS(Settings!$AA$2:$AA$21,Settings!$Y$2:$Y$21,"OK with 3-month term?",Settings!$Z$2:$Z$21,Q147)+SUMIFS(Settings!$AA$2:$AA$21,Settings!$Y$2:$Y$21,"Start timeline",Settings!$Z$2:$Z$21,R147)+SUMIFS(Settings!$AA$2:$AA$21,Settings!$Y$2:$Y$21,"Social media gap",Settings!$Z$2:$Z$21,S147)+IF(E147="",0,IF(COUNTIF(Settings!$AC$2:$AC$6,E147)&gt;0,Settings!$AA$20,Settings!$AA$21)))</f>
        <v/>
      </c>
      <c r="U147" s="44" t="str">
        <f aca="false">IF(D147="","",IF(COUNTA(N147:S147)=0,"Not scored",IF(COUNTA(N147:S147)&lt;6,"Partly scored ("&amp;COUNTA(N147:S147)&amp;"/6)",IF(T147&gt;=Settings!$S$8,"Hot",IF(T147&gt;=Settings!$S$9,"Warm","Cold")))))</f>
        <v/>
      </c>
      <c r="V147" s="44" t="str">
        <f aca="false">IF(D147="","",IF(AND(N147="No",P147="No"),"🚩 Budget  ·  🚩 No one on camera",IF(N147="No","🚩 Budget under AED 5k",IF(P147="No","🚩 No one on camera",""))))</f>
        <v/>
      </c>
      <c r="W147" s="17"/>
      <c r="X147" s="17"/>
      <c r="Y147" s="40"/>
      <c r="Z147" s="17"/>
      <c r="AA147" s="45" t="str">
        <f aca="false">IF(OR(D147="",Y147="",OR(X147="Contract signed + paid",X147="Closed – No response",X147="Lost"),N(Z147)&gt;=Settings!$S$3),"",Y147+Settings!$S$2)</f>
        <v/>
      </c>
      <c r="AB147" s="40"/>
      <c r="AC147" s="41"/>
      <c r="AD147" s="17"/>
      <c r="AE147" s="17"/>
      <c r="AF147" s="17"/>
      <c r="AG147" s="46" t="str">
        <f aca="true">IF(OR(D147="",B147=""),"",INT(TODAY()-B147))</f>
        <v/>
      </c>
      <c r="AH147" s="44" t="str">
        <f aca="true">IF(D147="","",IF(OR(COUNTIFS(Clients!$C$2:$C$501,D147,Clients!$S$2:$S$501,"Paid")&gt;0,AND(H147&lt;&gt;"",COUNTIFS(Clients!$E$2:$E$501,H147,Clients!$S$2:$S$501,"Paid")&gt;0)),"⚠ Refunded before – no free video",IF(OR(X147="Contract signed + paid",X147="Closed – No response",X147="Lost"),"",IF(X147="","Set a stage",IF(AND(X147="Proposal sent",COUNTA(N147:S147)&lt;6),"Score this lead – proposal sent unscored",IF(N(Z147)&gt;=Settings!$S$3,"Close – 4 follow-ups sent",IF(AA147="",IF(Y147="","Make first contact",""),IF(TODAY()&gt;AA147,"OVERDUE follow-up",IF(TODAY()=AA147,"Follow up today","")))))))))</f>
        <v/>
      </c>
    </row>
    <row r="148" customFormat="false" ht="15" hidden="false" customHeight="false" outlineLevel="0" collapsed="false">
      <c r="A148" s="17"/>
      <c r="B148" s="40"/>
      <c r="C148" s="17"/>
      <c r="D148" s="17"/>
      <c r="E148" s="17"/>
      <c r="F148" s="17"/>
      <c r="G148" s="17"/>
      <c r="H148" s="42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44" t="str">
        <f aca="false">IF(OR(D148="",COUNTA(N148:S148)=0),"",SUMIFS(Settings!$AA$2:$AA$21,Settings!$Y$2:$Y$21,"Budget AED 5k+/mo?",Settings!$Z$2:$Z$21,N148)+SUMIFS(Settings!$AA$2:$AA$21,Settings!$Y$2:$Y$21,"Decision-maker?",Settings!$Z$2:$Z$21,O148)+SUMIFS(Settings!$AA$2:$AA$21,Settings!$Y$2:$Y$21,"Someone on camera?",Settings!$Z$2:$Z$21,P148)+SUMIFS(Settings!$AA$2:$AA$21,Settings!$Y$2:$Y$21,"OK with 3-month term?",Settings!$Z$2:$Z$21,Q148)+SUMIFS(Settings!$AA$2:$AA$21,Settings!$Y$2:$Y$21,"Start timeline",Settings!$Z$2:$Z$21,R148)+SUMIFS(Settings!$AA$2:$AA$21,Settings!$Y$2:$Y$21,"Social media gap",Settings!$Z$2:$Z$21,S148)+IF(E148="",0,IF(COUNTIF(Settings!$AC$2:$AC$6,E148)&gt;0,Settings!$AA$20,Settings!$AA$21)))</f>
        <v/>
      </c>
      <c r="U148" s="44" t="str">
        <f aca="false">IF(D148="","",IF(COUNTA(N148:S148)=0,"Not scored",IF(COUNTA(N148:S148)&lt;6,"Partly scored ("&amp;COUNTA(N148:S148)&amp;"/6)",IF(T148&gt;=Settings!$S$8,"Hot",IF(T148&gt;=Settings!$S$9,"Warm","Cold")))))</f>
        <v/>
      </c>
      <c r="V148" s="44" t="str">
        <f aca="false">IF(D148="","",IF(AND(N148="No",P148="No"),"🚩 Budget  ·  🚩 No one on camera",IF(N148="No","🚩 Budget under AED 5k",IF(P148="No","🚩 No one on camera",""))))</f>
        <v/>
      </c>
      <c r="W148" s="17"/>
      <c r="X148" s="17"/>
      <c r="Y148" s="40"/>
      <c r="Z148" s="17"/>
      <c r="AA148" s="45" t="str">
        <f aca="false">IF(OR(D148="",Y148="",OR(X148="Contract signed + paid",X148="Closed – No response",X148="Lost"),N(Z148)&gt;=Settings!$S$3),"",Y148+Settings!$S$2)</f>
        <v/>
      </c>
      <c r="AB148" s="40"/>
      <c r="AC148" s="41"/>
      <c r="AD148" s="17"/>
      <c r="AE148" s="17"/>
      <c r="AF148" s="17"/>
      <c r="AG148" s="46" t="str">
        <f aca="true">IF(OR(D148="",B148=""),"",INT(TODAY()-B148))</f>
        <v/>
      </c>
      <c r="AH148" s="44" t="str">
        <f aca="true">IF(D148="","",IF(OR(COUNTIFS(Clients!$C$2:$C$501,D148,Clients!$S$2:$S$501,"Paid")&gt;0,AND(H148&lt;&gt;"",COUNTIFS(Clients!$E$2:$E$501,H148,Clients!$S$2:$S$501,"Paid")&gt;0)),"⚠ Refunded before – no free video",IF(OR(X148="Contract signed + paid",X148="Closed – No response",X148="Lost"),"",IF(X148="","Set a stage",IF(AND(X148="Proposal sent",COUNTA(N148:S148)&lt;6),"Score this lead – proposal sent unscored",IF(N(Z148)&gt;=Settings!$S$3,"Close – 4 follow-ups sent",IF(AA148="",IF(Y148="","Make first contact",""),IF(TODAY()&gt;AA148,"OVERDUE follow-up",IF(TODAY()=AA148,"Follow up today","")))))))))</f>
        <v/>
      </c>
    </row>
    <row r="149" customFormat="false" ht="15" hidden="false" customHeight="false" outlineLevel="0" collapsed="false">
      <c r="A149" s="17"/>
      <c r="B149" s="40"/>
      <c r="C149" s="17"/>
      <c r="D149" s="17"/>
      <c r="E149" s="17"/>
      <c r="F149" s="17"/>
      <c r="G149" s="17"/>
      <c r="H149" s="42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44" t="str">
        <f aca="false">IF(OR(D149="",COUNTA(N149:S149)=0),"",SUMIFS(Settings!$AA$2:$AA$21,Settings!$Y$2:$Y$21,"Budget AED 5k+/mo?",Settings!$Z$2:$Z$21,N149)+SUMIFS(Settings!$AA$2:$AA$21,Settings!$Y$2:$Y$21,"Decision-maker?",Settings!$Z$2:$Z$21,O149)+SUMIFS(Settings!$AA$2:$AA$21,Settings!$Y$2:$Y$21,"Someone on camera?",Settings!$Z$2:$Z$21,P149)+SUMIFS(Settings!$AA$2:$AA$21,Settings!$Y$2:$Y$21,"OK with 3-month term?",Settings!$Z$2:$Z$21,Q149)+SUMIFS(Settings!$AA$2:$AA$21,Settings!$Y$2:$Y$21,"Start timeline",Settings!$Z$2:$Z$21,R149)+SUMIFS(Settings!$AA$2:$AA$21,Settings!$Y$2:$Y$21,"Social media gap",Settings!$Z$2:$Z$21,S149)+IF(E149="",0,IF(COUNTIF(Settings!$AC$2:$AC$6,E149)&gt;0,Settings!$AA$20,Settings!$AA$21)))</f>
        <v/>
      </c>
      <c r="U149" s="44" t="str">
        <f aca="false">IF(D149="","",IF(COUNTA(N149:S149)=0,"Not scored",IF(COUNTA(N149:S149)&lt;6,"Partly scored ("&amp;COUNTA(N149:S149)&amp;"/6)",IF(T149&gt;=Settings!$S$8,"Hot",IF(T149&gt;=Settings!$S$9,"Warm","Cold")))))</f>
        <v/>
      </c>
      <c r="V149" s="44" t="str">
        <f aca="false">IF(D149="","",IF(AND(N149="No",P149="No"),"🚩 Budget  ·  🚩 No one on camera",IF(N149="No","🚩 Budget under AED 5k",IF(P149="No","🚩 No one on camera",""))))</f>
        <v/>
      </c>
      <c r="W149" s="17"/>
      <c r="X149" s="17"/>
      <c r="Y149" s="40"/>
      <c r="Z149" s="17"/>
      <c r="AA149" s="45" t="str">
        <f aca="false">IF(OR(D149="",Y149="",OR(X149="Contract signed + paid",X149="Closed – No response",X149="Lost"),N(Z149)&gt;=Settings!$S$3),"",Y149+Settings!$S$2)</f>
        <v/>
      </c>
      <c r="AB149" s="40"/>
      <c r="AC149" s="41"/>
      <c r="AD149" s="17"/>
      <c r="AE149" s="17"/>
      <c r="AF149" s="17"/>
      <c r="AG149" s="46" t="str">
        <f aca="true">IF(OR(D149="",B149=""),"",INT(TODAY()-B149))</f>
        <v/>
      </c>
      <c r="AH149" s="44" t="str">
        <f aca="true">IF(D149="","",IF(OR(COUNTIFS(Clients!$C$2:$C$501,D149,Clients!$S$2:$S$501,"Paid")&gt;0,AND(H149&lt;&gt;"",COUNTIFS(Clients!$E$2:$E$501,H149,Clients!$S$2:$S$501,"Paid")&gt;0)),"⚠ Refunded before – no free video",IF(OR(X149="Contract signed + paid",X149="Closed – No response",X149="Lost"),"",IF(X149="","Set a stage",IF(AND(X149="Proposal sent",COUNTA(N149:S149)&lt;6),"Score this lead – proposal sent unscored",IF(N(Z149)&gt;=Settings!$S$3,"Close – 4 follow-ups sent",IF(AA149="",IF(Y149="","Make first contact",""),IF(TODAY()&gt;AA149,"OVERDUE follow-up",IF(TODAY()=AA149,"Follow up today","")))))))))</f>
        <v/>
      </c>
    </row>
    <row r="150" customFormat="false" ht="15" hidden="false" customHeight="false" outlineLevel="0" collapsed="false">
      <c r="A150" s="17"/>
      <c r="B150" s="40"/>
      <c r="C150" s="17"/>
      <c r="D150" s="17"/>
      <c r="E150" s="17"/>
      <c r="F150" s="17"/>
      <c r="G150" s="17"/>
      <c r="H150" s="42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44" t="str">
        <f aca="false">IF(OR(D150="",COUNTA(N150:S150)=0),"",SUMIFS(Settings!$AA$2:$AA$21,Settings!$Y$2:$Y$21,"Budget AED 5k+/mo?",Settings!$Z$2:$Z$21,N150)+SUMIFS(Settings!$AA$2:$AA$21,Settings!$Y$2:$Y$21,"Decision-maker?",Settings!$Z$2:$Z$21,O150)+SUMIFS(Settings!$AA$2:$AA$21,Settings!$Y$2:$Y$21,"Someone on camera?",Settings!$Z$2:$Z$21,P150)+SUMIFS(Settings!$AA$2:$AA$21,Settings!$Y$2:$Y$21,"OK with 3-month term?",Settings!$Z$2:$Z$21,Q150)+SUMIFS(Settings!$AA$2:$AA$21,Settings!$Y$2:$Y$21,"Start timeline",Settings!$Z$2:$Z$21,R150)+SUMIFS(Settings!$AA$2:$AA$21,Settings!$Y$2:$Y$21,"Social media gap",Settings!$Z$2:$Z$21,S150)+IF(E150="",0,IF(COUNTIF(Settings!$AC$2:$AC$6,E150)&gt;0,Settings!$AA$20,Settings!$AA$21)))</f>
        <v/>
      </c>
      <c r="U150" s="44" t="str">
        <f aca="false">IF(D150="","",IF(COUNTA(N150:S150)=0,"Not scored",IF(COUNTA(N150:S150)&lt;6,"Partly scored ("&amp;COUNTA(N150:S150)&amp;"/6)",IF(T150&gt;=Settings!$S$8,"Hot",IF(T150&gt;=Settings!$S$9,"Warm","Cold")))))</f>
        <v/>
      </c>
      <c r="V150" s="44" t="str">
        <f aca="false">IF(D150="","",IF(AND(N150="No",P150="No"),"🚩 Budget  ·  🚩 No one on camera",IF(N150="No","🚩 Budget under AED 5k",IF(P150="No","🚩 No one on camera",""))))</f>
        <v/>
      </c>
      <c r="W150" s="17"/>
      <c r="X150" s="17"/>
      <c r="Y150" s="40"/>
      <c r="Z150" s="17"/>
      <c r="AA150" s="45" t="str">
        <f aca="false">IF(OR(D150="",Y150="",OR(X150="Contract signed + paid",X150="Closed – No response",X150="Lost"),N(Z150)&gt;=Settings!$S$3),"",Y150+Settings!$S$2)</f>
        <v/>
      </c>
      <c r="AB150" s="40"/>
      <c r="AC150" s="41"/>
      <c r="AD150" s="17"/>
      <c r="AE150" s="17"/>
      <c r="AF150" s="17"/>
      <c r="AG150" s="46" t="str">
        <f aca="true">IF(OR(D150="",B150=""),"",INT(TODAY()-B150))</f>
        <v/>
      </c>
      <c r="AH150" s="44" t="str">
        <f aca="true">IF(D150="","",IF(OR(COUNTIFS(Clients!$C$2:$C$501,D150,Clients!$S$2:$S$501,"Paid")&gt;0,AND(H150&lt;&gt;"",COUNTIFS(Clients!$E$2:$E$501,H150,Clients!$S$2:$S$501,"Paid")&gt;0)),"⚠ Refunded before – no free video",IF(OR(X150="Contract signed + paid",X150="Closed – No response",X150="Lost"),"",IF(X150="","Set a stage",IF(AND(X150="Proposal sent",COUNTA(N150:S150)&lt;6),"Score this lead – proposal sent unscored",IF(N(Z150)&gt;=Settings!$S$3,"Close – 4 follow-ups sent",IF(AA150="",IF(Y150="","Make first contact",""),IF(TODAY()&gt;AA150,"OVERDUE follow-up",IF(TODAY()=AA150,"Follow up today","")))))))))</f>
        <v/>
      </c>
    </row>
    <row r="151" customFormat="false" ht="15" hidden="false" customHeight="false" outlineLevel="0" collapsed="false">
      <c r="A151" s="17"/>
      <c r="B151" s="40"/>
      <c r="C151" s="17"/>
      <c r="D151" s="17"/>
      <c r="E151" s="17"/>
      <c r="F151" s="17"/>
      <c r="G151" s="17"/>
      <c r="H151" s="42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44" t="str">
        <f aca="false">IF(OR(D151="",COUNTA(N151:S151)=0),"",SUMIFS(Settings!$AA$2:$AA$21,Settings!$Y$2:$Y$21,"Budget AED 5k+/mo?",Settings!$Z$2:$Z$21,N151)+SUMIFS(Settings!$AA$2:$AA$21,Settings!$Y$2:$Y$21,"Decision-maker?",Settings!$Z$2:$Z$21,O151)+SUMIFS(Settings!$AA$2:$AA$21,Settings!$Y$2:$Y$21,"Someone on camera?",Settings!$Z$2:$Z$21,P151)+SUMIFS(Settings!$AA$2:$AA$21,Settings!$Y$2:$Y$21,"OK with 3-month term?",Settings!$Z$2:$Z$21,Q151)+SUMIFS(Settings!$AA$2:$AA$21,Settings!$Y$2:$Y$21,"Start timeline",Settings!$Z$2:$Z$21,R151)+SUMIFS(Settings!$AA$2:$AA$21,Settings!$Y$2:$Y$21,"Social media gap",Settings!$Z$2:$Z$21,S151)+IF(E151="",0,IF(COUNTIF(Settings!$AC$2:$AC$6,E151)&gt;0,Settings!$AA$20,Settings!$AA$21)))</f>
        <v/>
      </c>
      <c r="U151" s="44" t="str">
        <f aca="false">IF(D151="","",IF(COUNTA(N151:S151)=0,"Not scored",IF(COUNTA(N151:S151)&lt;6,"Partly scored ("&amp;COUNTA(N151:S151)&amp;"/6)",IF(T151&gt;=Settings!$S$8,"Hot",IF(T151&gt;=Settings!$S$9,"Warm","Cold")))))</f>
        <v/>
      </c>
      <c r="V151" s="44" t="str">
        <f aca="false">IF(D151="","",IF(AND(N151="No",P151="No"),"🚩 Budget  ·  🚩 No one on camera",IF(N151="No","🚩 Budget under AED 5k",IF(P151="No","🚩 No one on camera",""))))</f>
        <v/>
      </c>
      <c r="W151" s="17"/>
      <c r="X151" s="17"/>
      <c r="Y151" s="40"/>
      <c r="Z151" s="17"/>
      <c r="AA151" s="45" t="str">
        <f aca="false">IF(OR(D151="",Y151="",OR(X151="Contract signed + paid",X151="Closed – No response",X151="Lost"),N(Z151)&gt;=Settings!$S$3),"",Y151+Settings!$S$2)</f>
        <v/>
      </c>
      <c r="AB151" s="40"/>
      <c r="AC151" s="41"/>
      <c r="AD151" s="17"/>
      <c r="AE151" s="17"/>
      <c r="AF151" s="17"/>
      <c r="AG151" s="46" t="str">
        <f aca="true">IF(OR(D151="",B151=""),"",INT(TODAY()-B151))</f>
        <v/>
      </c>
      <c r="AH151" s="44" t="str">
        <f aca="true">IF(D151="","",IF(OR(COUNTIFS(Clients!$C$2:$C$501,D151,Clients!$S$2:$S$501,"Paid")&gt;0,AND(H151&lt;&gt;"",COUNTIFS(Clients!$E$2:$E$501,H151,Clients!$S$2:$S$501,"Paid")&gt;0)),"⚠ Refunded before – no free video",IF(OR(X151="Contract signed + paid",X151="Closed – No response",X151="Lost"),"",IF(X151="","Set a stage",IF(AND(X151="Proposal sent",COUNTA(N151:S151)&lt;6),"Score this lead – proposal sent unscored",IF(N(Z151)&gt;=Settings!$S$3,"Close – 4 follow-ups sent",IF(AA151="",IF(Y151="","Make first contact",""),IF(TODAY()&gt;AA151,"OVERDUE follow-up",IF(TODAY()=AA151,"Follow up today","")))))))))</f>
        <v/>
      </c>
    </row>
    <row r="152" customFormat="false" ht="15" hidden="false" customHeight="false" outlineLevel="0" collapsed="false">
      <c r="A152" s="17"/>
      <c r="B152" s="40"/>
      <c r="C152" s="17"/>
      <c r="D152" s="17"/>
      <c r="E152" s="17"/>
      <c r="F152" s="17"/>
      <c r="G152" s="17"/>
      <c r="H152" s="42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44" t="str">
        <f aca="false">IF(OR(D152="",COUNTA(N152:S152)=0),"",SUMIFS(Settings!$AA$2:$AA$21,Settings!$Y$2:$Y$21,"Budget AED 5k+/mo?",Settings!$Z$2:$Z$21,N152)+SUMIFS(Settings!$AA$2:$AA$21,Settings!$Y$2:$Y$21,"Decision-maker?",Settings!$Z$2:$Z$21,O152)+SUMIFS(Settings!$AA$2:$AA$21,Settings!$Y$2:$Y$21,"Someone on camera?",Settings!$Z$2:$Z$21,P152)+SUMIFS(Settings!$AA$2:$AA$21,Settings!$Y$2:$Y$21,"OK with 3-month term?",Settings!$Z$2:$Z$21,Q152)+SUMIFS(Settings!$AA$2:$AA$21,Settings!$Y$2:$Y$21,"Start timeline",Settings!$Z$2:$Z$21,R152)+SUMIFS(Settings!$AA$2:$AA$21,Settings!$Y$2:$Y$21,"Social media gap",Settings!$Z$2:$Z$21,S152)+IF(E152="",0,IF(COUNTIF(Settings!$AC$2:$AC$6,E152)&gt;0,Settings!$AA$20,Settings!$AA$21)))</f>
        <v/>
      </c>
      <c r="U152" s="44" t="str">
        <f aca="false">IF(D152="","",IF(COUNTA(N152:S152)=0,"Not scored",IF(COUNTA(N152:S152)&lt;6,"Partly scored ("&amp;COUNTA(N152:S152)&amp;"/6)",IF(T152&gt;=Settings!$S$8,"Hot",IF(T152&gt;=Settings!$S$9,"Warm","Cold")))))</f>
        <v/>
      </c>
      <c r="V152" s="44" t="str">
        <f aca="false">IF(D152="","",IF(AND(N152="No",P152="No"),"🚩 Budget  ·  🚩 No one on camera",IF(N152="No","🚩 Budget under AED 5k",IF(P152="No","🚩 No one on camera",""))))</f>
        <v/>
      </c>
      <c r="W152" s="17"/>
      <c r="X152" s="17"/>
      <c r="Y152" s="40"/>
      <c r="Z152" s="17"/>
      <c r="AA152" s="45" t="str">
        <f aca="false">IF(OR(D152="",Y152="",OR(X152="Contract signed + paid",X152="Closed – No response",X152="Lost"),N(Z152)&gt;=Settings!$S$3),"",Y152+Settings!$S$2)</f>
        <v/>
      </c>
      <c r="AB152" s="40"/>
      <c r="AC152" s="41"/>
      <c r="AD152" s="17"/>
      <c r="AE152" s="17"/>
      <c r="AF152" s="17"/>
      <c r="AG152" s="46" t="str">
        <f aca="true">IF(OR(D152="",B152=""),"",INT(TODAY()-B152))</f>
        <v/>
      </c>
      <c r="AH152" s="44" t="str">
        <f aca="true">IF(D152="","",IF(OR(COUNTIFS(Clients!$C$2:$C$501,D152,Clients!$S$2:$S$501,"Paid")&gt;0,AND(H152&lt;&gt;"",COUNTIFS(Clients!$E$2:$E$501,H152,Clients!$S$2:$S$501,"Paid")&gt;0)),"⚠ Refunded before – no free video",IF(OR(X152="Contract signed + paid",X152="Closed – No response",X152="Lost"),"",IF(X152="","Set a stage",IF(AND(X152="Proposal sent",COUNTA(N152:S152)&lt;6),"Score this lead – proposal sent unscored",IF(N(Z152)&gt;=Settings!$S$3,"Close – 4 follow-ups sent",IF(AA152="",IF(Y152="","Make first contact",""),IF(TODAY()&gt;AA152,"OVERDUE follow-up",IF(TODAY()=AA152,"Follow up today","")))))))))</f>
        <v/>
      </c>
    </row>
    <row r="153" customFormat="false" ht="15" hidden="false" customHeight="false" outlineLevel="0" collapsed="false">
      <c r="A153" s="17"/>
      <c r="B153" s="40"/>
      <c r="C153" s="17"/>
      <c r="D153" s="17"/>
      <c r="E153" s="17"/>
      <c r="F153" s="17"/>
      <c r="G153" s="17"/>
      <c r="H153" s="42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44" t="str">
        <f aca="false">IF(OR(D153="",COUNTA(N153:S153)=0),"",SUMIFS(Settings!$AA$2:$AA$21,Settings!$Y$2:$Y$21,"Budget AED 5k+/mo?",Settings!$Z$2:$Z$21,N153)+SUMIFS(Settings!$AA$2:$AA$21,Settings!$Y$2:$Y$21,"Decision-maker?",Settings!$Z$2:$Z$21,O153)+SUMIFS(Settings!$AA$2:$AA$21,Settings!$Y$2:$Y$21,"Someone on camera?",Settings!$Z$2:$Z$21,P153)+SUMIFS(Settings!$AA$2:$AA$21,Settings!$Y$2:$Y$21,"OK with 3-month term?",Settings!$Z$2:$Z$21,Q153)+SUMIFS(Settings!$AA$2:$AA$21,Settings!$Y$2:$Y$21,"Start timeline",Settings!$Z$2:$Z$21,R153)+SUMIFS(Settings!$AA$2:$AA$21,Settings!$Y$2:$Y$21,"Social media gap",Settings!$Z$2:$Z$21,S153)+IF(E153="",0,IF(COUNTIF(Settings!$AC$2:$AC$6,E153)&gt;0,Settings!$AA$20,Settings!$AA$21)))</f>
        <v/>
      </c>
      <c r="U153" s="44" t="str">
        <f aca="false">IF(D153="","",IF(COUNTA(N153:S153)=0,"Not scored",IF(COUNTA(N153:S153)&lt;6,"Partly scored ("&amp;COUNTA(N153:S153)&amp;"/6)",IF(T153&gt;=Settings!$S$8,"Hot",IF(T153&gt;=Settings!$S$9,"Warm","Cold")))))</f>
        <v/>
      </c>
      <c r="V153" s="44" t="str">
        <f aca="false">IF(D153="","",IF(AND(N153="No",P153="No"),"🚩 Budget  ·  🚩 No one on camera",IF(N153="No","🚩 Budget under AED 5k",IF(P153="No","🚩 No one on camera",""))))</f>
        <v/>
      </c>
      <c r="W153" s="17"/>
      <c r="X153" s="17"/>
      <c r="Y153" s="40"/>
      <c r="Z153" s="17"/>
      <c r="AA153" s="45" t="str">
        <f aca="false">IF(OR(D153="",Y153="",OR(X153="Contract signed + paid",X153="Closed – No response",X153="Lost"),N(Z153)&gt;=Settings!$S$3),"",Y153+Settings!$S$2)</f>
        <v/>
      </c>
      <c r="AB153" s="40"/>
      <c r="AC153" s="41"/>
      <c r="AD153" s="17"/>
      <c r="AE153" s="17"/>
      <c r="AF153" s="17"/>
      <c r="AG153" s="46" t="str">
        <f aca="true">IF(OR(D153="",B153=""),"",INT(TODAY()-B153))</f>
        <v/>
      </c>
      <c r="AH153" s="44" t="str">
        <f aca="true">IF(D153="","",IF(OR(COUNTIFS(Clients!$C$2:$C$501,D153,Clients!$S$2:$S$501,"Paid")&gt;0,AND(H153&lt;&gt;"",COUNTIFS(Clients!$E$2:$E$501,H153,Clients!$S$2:$S$501,"Paid")&gt;0)),"⚠ Refunded before – no free video",IF(OR(X153="Contract signed + paid",X153="Closed – No response",X153="Lost"),"",IF(X153="","Set a stage",IF(AND(X153="Proposal sent",COUNTA(N153:S153)&lt;6),"Score this lead – proposal sent unscored",IF(N(Z153)&gt;=Settings!$S$3,"Close – 4 follow-ups sent",IF(AA153="",IF(Y153="","Make first contact",""),IF(TODAY()&gt;AA153,"OVERDUE follow-up",IF(TODAY()=AA153,"Follow up today","")))))))))</f>
        <v/>
      </c>
    </row>
    <row r="154" customFormat="false" ht="15" hidden="false" customHeight="false" outlineLevel="0" collapsed="false">
      <c r="A154" s="17"/>
      <c r="B154" s="40"/>
      <c r="C154" s="17"/>
      <c r="D154" s="17"/>
      <c r="E154" s="17"/>
      <c r="F154" s="17"/>
      <c r="G154" s="17"/>
      <c r="H154" s="42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44" t="str">
        <f aca="false">IF(OR(D154="",COUNTA(N154:S154)=0),"",SUMIFS(Settings!$AA$2:$AA$21,Settings!$Y$2:$Y$21,"Budget AED 5k+/mo?",Settings!$Z$2:$Z$21,N154)+SUMIFS(Settings!$AA$2:$AA$21,Settings!$Y$2:$Y$21,"Decision-maker?",Settings!$Z$2:$Z$21,O154)+SUMIFS(Settings!$AA$2:$AA$21,Settings!$Y$2:$Y$21,"Someone on camera?",Settings!$Z$2:$Z$21,P154)+SUMIFS(Settings!$AA$2:$AA$21,Settings!$Y$2:$Y$21,"OK with 3-month term?",Settings!$Z$2:$Z$21,Q154)+SUMIFS(Settings!$AA$2:$AA$21,Settings!$Y$2:$Y$21,"Start timeline",Settings!$Z$2:$Z$21,R154)+SUMIFS(Settings!$AA$2:$AA$21,Settings!$Y$2:$Y$21,"Social media gap",Settings!$Z$2:$Z$21,S154)+IF(E154="",0,IF(COUNTIF(Settings!$AC$2:$AC$6,E154)&gt;0,Settings!$AA$20,Settings!$AA$21)))</f>
        <v/>
      </c>
      <c r="U154" s="44" t="str">
        <f aca="false">IF(D154="","",IF(COUNTA(N154:S154)=0,"Not scored",IF(COUNTA(N154:S154)&lt;6,"Partly scored ("&amp;COUNTA(N154:S154)&amp;"/6)",IF(T154&gt;=Settings!$S$8,"Hot",IF(T154&gt;=Settings!$S$9,"Warm","Cold")))))</f>
        <v/>
      </c>
      <c r="V154" s="44" t="str">
        <f aca="false">IF(D154="","",IF(AND(N154="No",P154="No"),"🚩 Budget  ·  🚩 No one on camera",IF(N154="No","🚩 Budget under AED 5k",IF(P154="No","🚩 No one on camera",""))))</f>
        <v/>
      </c>
      <c r="W154" s="17"/>
      <c r="X154" s="17"/>
      <c r="Y154" s="40"/>
      <c r="Z154" s="17"/>
      <c r="AA154" s="45" t="str">
        <f aca="false">IF(OR(D154="",Y154="",OR(X154="Contract signed + paid",X154="Closed – No response",X154="Lost"),N(Z154)&gt;=Settings!$S$3),"",Y154+Settings!$S$2)</f>
        <v/>
      </c>
      <c r="AB154" s="40"/>
      <c r="AC154" s="41"/>
      <c r="AD154" s="17"/>
      <c r="AE154" s="17"/>
      <c r="AF154" s="17"/>
      <c r="AG154" s="46" t="str">
        <f aca="true">IF(OR(D154="",B154=""),"",INT(TODAY()-B154))</f>
        <v/>
      </c>
      <c r="AH154" s="44" t="str">
        <f aca="true">IF(D154="","",IF(OR(COUNTIFS(Clients!$C$2:$C$501,D154,Clients!$S$2:$S$501,"Paid")&gt;0,AND(H154&lt;&gt;"",COUNTIFS(Clients!$E$2:$E$501,H154,Clients!$S$2:$S$501,"Paid")&gt;0)),"⚠ Refunded before – no free video",IF(OR(X154="Contract signed + paid",X154="Closed – No response",X154="Lost"),"",IF(X154="","Set a stage",IF(AND(X154="Proposal sent",COUNTA(N154:S154)&lt;6),"Score this lead – proposal sent unscored",IF(N(Z154)&gt;=Settings!$S$3,"Close – 4 follow-ups sent",IF(AA154="",IF(Y154="","Make first contact",""),IF(TODAY()&gt;AA154,"OVERDUE follow-up",IF(TODAY()=AA154,"Follow up today","")))))))))</f>
        <v/>
      </c>
    </row>
    <row r="155" customFormat="false" ht="15" hidden="false" customHeight="false" outlineLevel="0" collapsed="false">
      <c r="A155" s="17"/>
      <c r="B155" s="40"/>
      <c r="C155" s="17"/>
      <c r="D155" s="17"/>
      <c r="E155" s="17"/>
      <c r="F155" s="17"/>
      <c r="G155" s="17"/>
      <c r="H155" s="42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44" t="str">
        <f aca="false">IF(OR(D155="",COUNTA(N155:S155)=0),"",SUMIFS(Settings!$AA$2:$AA$21,Settings!$Y$2:$Y$21,"Budget AED 5k+/mo?",Settings!$Z$2:$Z$21,N155)+SUMIFS(Settings!$AA$2:$AA$21,Settings!$Y$2:$Y$21,"Decision-maker?",Settings!$Z$2:$Z$21,O155)+SUMIFS(Settings!$AA$2:$AA$21,Settings!$Y$2:$Y$21,"Someone on camera?",Settings!$Z$2:$Z$21,P155)+SUMIFS(Settings!$AA$2:$AA$21,Settings!$Y$2:$Y$21,"OK with 3-month term?",Settings!$Z$2:$Z$21,Q155)+SUMIFS(Settings!$AA$2:$AA$21,Settings!$Y$2:$Y$21,"Start timeline",Settings!$Z$2:$Z$21,R155)+SUMIFS(Settings!$AA$2:$AA$21,Settings!$Y$2:$Y$21,"Social media gap",Settings!$Z$2:$Z$21,S155)+IF(E155="",0,IF(COUNTIF(Settings!$AC$2:$AC$6,E155)&gt;0,Settings!$AA$20,Settings!$AA$21)))</f>
        <v/>
      </c>
      <c r="U155" s="44" t="str">
        <f aca="false">IF(D155="","",IF(COUNTA(N155:S155)=0,"Not scored",IF(COUNTA(N155:S155)&lt;6,"Partly scored ("&amp;COUNTA(N155:S155)&amp;"/6)",IF(T155&gt;=Settings!$S$8,"Hot",IF(T155&gt;=Settings!$S$9,"Warm","Cold")))))</f>
        <v/>
      </c>
      <c r="V155" s="44" t="str">
        <f aca="false">IF(D155="","",IF(AND(N155="No",P155="No"),"🚩 Budget  ·  🚩 No one on camera",IF(N155="No","🚩 Budget under AED 5k",IF(P155="No","🚩 No one on camera",""))))</f>
        <v/>
      </c>
      <c r="W155" s="17"/>
      <c r="X155" s="17"/>
      <c r="Y155" s="40"/>
      <c r="Z155" s="17"/>
      <c r="AA155" s="45" t="str">
        <f aca="false">IF(OR(D155="",Y155="",OR(X155="Contract signed + paid",X155="Closed – No response",X155="Lost"),N(Z155)&gt;=Settings!$S$3),"",Y155+Settings!$S$2)</f>
        <v/>
      </c>
      <c r="AB155" s="40"/>
      <c r="AC155" s="41"/>
      <c r="AD155" s="17"/>
      <c r="AE155" s="17"/>
      <c r="AF155" s="17"/>
      <c r="AG155" s="46" t="str">
        <f aca="true">IF(OR(D155="",B155=""),"",INT(TODAY()-B155))</f>
        <v/>
      </c>
      <c r="AH155" s="44" t="str">
        <f aca="true">IF(D155="","",IF(OR(COUNTIFS(Clients!$C$2:$C$501,D155,Clients!$S$2:$S$501,"Paid")&gt;0,AND(H155&lt;&gt;"",COUNTIFS(Clients!$E$2:$E$501,H155,Clients!$S$2:$S$501,"Paid")&gt;0)),"⚠ Refunded before – no free video",IF(OR(X155="Contract signed + paid",X155="Closed – No response",X155="Lost"),"",IF(X155="","Set a stage",IF(AND(X155="Proposal sent",COUNTA(N155:S155)&lt;6),"Score this lead – proposal sent unscored",IF(N(Z155)&gt;=Settings!$S$3,"Close – 4 follow-ups sent",IF(AA155="",IF(Y155="","Make first contact",""),IF(TODAY()&gt;AA155,"OVERDUE follow-up",IF(TODAY()=AA155,"Follow up today","")))))))))</f>
        <v/>
      </c>
    </row>
    <row r="156" customFormat="false" ht="15" hidden="false" customHeight="false" outlineLevel="0" collapsed="false">
      <c r="A156" s="17"/>
      <c r="B156" s="40"/>
      <c r="C156" s="17"/>
      <c r="D156" s="17"/>
      <c r="E156" s="17"/>
      <c r="F156" s="17"/>
      <c r="G156" s="17"/>
      <c r="H156" s="42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44" t="str">
        <f aca="false">IF(OR(D156="",COUNTA(N156:S156)=0),"",SUMIFS(Settings!$AA$2:$AA$21,Settings!$Y$2:$Y$21,"Budget AED 5k+/mo?",Settings!$Z$2:$Z$21,N156)+SUMIFS(Settings!$AA$2:$AA$21,Settings!$Y$2:$Y$21,"Decision-maker?",Settings!$Z$2:$Z$21,O156)+SUMIFS(Settings!$AA$2:$AA$21,Settings!$Y$2:$Y$21,"Someone on camera?",Settings!$Z$2:$Z$21,P156)+SUMIFS(Settings!$AA$2:$AA$21,Settings!$Y$2:$Y$21,"OK with 3-month term?",Settings!$Z$2:$Z$21,Q156)+SUMIFS(Settings!$AA$2:$AA$21,Settings!$Y$2:$Y$21,"Start timeline",Settings!$Z$2:$Z$21,R156)+SUMIFS(Settings!$AA$2:$AA$21,Settings!$Y$2:$Y$21,"Social media gap",Settings!$Z$2:$Z$21,S156)+IF(E156="",0,IF(COUNTIF(Settings!$AC$2:$AC$6,E156)&gt;0,Settings!$AA$20,Settings!$AA$21)))</f>
        <v/>
      </c>
      <c r="U156" s="44" t="str">
        <f aca="false">IF(D156="","",IF(COUNTA(N156:S156)=0,"Not scored",IF(COUNTA(N156:S156)&lt;6,"Partly scored ("&amp;COUNTA(N156:S156)&amp;"/6)",IF(T156&gt;=Settings!$S$8,"Hot",IF(T156&gt;=Settings!$S$9,"Warm","Cold")))))</f>
        <v/>
      </c>
      <c r="V156" s="44" t="str">
        <f aca="false">IF(D156="","",IF(AND(N156="No",P156="No"),"🚩 Budget  ·  🚩 No one on camera",IF(N156="No","🚩 Budget under AED 5k",IF(P156="No","🚩 No one on camera",""))))</f>
        <v/>
      </c>
      <c r="W156" s="17"/>
      <c r="X156" s="17"/>
      <c r="Y156" s="40"/>
      <c r="Z156" s="17"/>
      <c r="AA156" s="45" t="str">
        <f aca="false">IF(OR(D156="",Y156="",OR(X156="Contract signed + paid",X156="Closed – No response",X156="Lost"),N(Z156)&gt;=Settings!$S$3),"",Y156+Settings!$S$2)</f>
        <v/>
      </c>
      <c r="AB156" s="40"/>
      <c r="AC156" s="41"/>
      <c r="AD156" s="17"/>
      <c r="AE156" s="17"/>
      <c r="AF156" s="17"/>
      <c r="AG156" s="46" t="str">
        <f aca="true">IF(OR(D156="",B156=""),"",INT(TODAY()-B156))</f>
        <v/>
      </c>
      <c r="AH156" s="44" t="str">
        <f aca="true">IF(D156="","",IF(OR(COUNTIFS(Clients!$C$2:$C$501,D156,Clients!$S$2:$S$501,"Paid")&gt;0,AND(H156&lt;&gt;"",COUNTIFS(Clients!$E$2:$E$501,H156,Clients!$S$2:$S$501,"Paid")&gt;0)),"⚠ Refunded before – no free video",IF(OR(X156="Contract signed + paid",X156="Closed – No response",X156="Lost"),"",IF(X156="","Set a stage",IF(AND(X156="Proposal sent",COUNTA(N156:S156)&lt;6),"Score this lead – proposal sent unscored",IF(N(Z156)&gt;=Settings!$S$3,"Close – 4 follow-ups sent",IF(AA156="",IF(Y156="","Make first contact",""),IF(TODAY()&gt;AA156,"OVERDUE follow-up",IF(TODAY()=AA156,"Follow up today","")))))))))</f>
        <v/>
      </c>
    </row>
    <row r="157" customFormat="false" ht="15" hidden="false" customHeight="false" outlineLevel="0" collapsed="false">
      <c r="A157" s="17"/>
      <c r="B157" s="40"/>
      <c r="C157" s="17"/>
      <c r="D157" s="17"/>
      <c r="E157" s="17"/>
      <c r="F157" s="17"/>
      <c r="G157" s="17"/>
      <c r="H157" s="42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44" t="str">
        <f aca="false">IF(OR(D157="",COUNTA(N157:S157)=0),"",SUMIFS(Settings!$AA$2:$AA$21,Settings!$Y$2:$Y$21,"Budget AED 5k+/mo?",Settings!$Z$2:$Z$21,N157)+SUMIFS(Settings!$AA$2:$AA$21,Settings!$Y$2:$Y$21,"Decision-maker?",Settings!$Z$2:$Z$21,O157)+SUMIFS(Settings!$AA$2:$AA$21,Settings!$Y$2:$Y$21,"Someone on camera?",Settings!$Z$2:$Z$21,P157)+SUMIFS(Settings!$AA$2:$AA$21,Settings!$Y$2:$Y$21,"OK with 3-month term?",Settings!$Z$2:$Z$21,Q157)+SUMIFS(Settings!$AA$2:$AA$21,Settings!$Y$2:$Y$21,"Start timeline",Settings!$Z$2:$Z$21,R157)+SUMIFS(Settings!$AA$2:$AA$21,Settings!$Y$2:$Y$21,"Social media gap",Settings!$Z$2:$Z$21,S157)+IF(E157="",0,IF(COUNTIF(Settings!$AC$2:$AC$6,E157)&gt;0,Settings!$AA$20,Settings!$AA$21)))</f>
        <v/>
      </c>
      <c r="U157" s="44" t="str">
        <f aca="false">IF(D157="","",IF(COUNTA(N157:S157)=0,"Not scored",IF(COUNTA(N157:S157)&lt;6,"Partly scored ("&amp;COUNTA(N157:S157)&amp;"/6)",IF(T157&gt;=Settings!$S$8,"Hot",IF(T157&gt;=Settings!$S$9,"Warm","Cold")))))</f>
        <v/>
      </c>
      <c r="V157" s="44" t="str">
        <f aca="false">IF(D157="","",IF(AND(N157="No",P157="No"),"🚩 Budget  ·  🚩 No one on camera",IF(N157="No","🚩 Budget under AED 5k",IF(P157="No","🚩 No one on camera",""))))</f>
        <v/>
      </c>
      <c r="W157" s="17"/>
      <c r="X157" s="17"/>
      <c r="Y157" s="40"/>
      <c r="Z157" s="17"/>
      <c r="AA157" s="45" t="str">
        <f aca="false">IF(OR(D157="",Y157="",OR(X157="Contract signed + paid",X157="Closed – No response",X157="Lost"),N(Z157)&gt;=Settings!$S$3),"",Y157+Settings!$S$2)</f>
        <v/>
      </c>
      <c r="AB157" s="40"/>
      <c r="AC157" s="41"/>
      <c r="AD157" s="17"/>
      <c r="AE157" s="17"/>
      <c r="AF157" s="17"/>
      <c r="AG157" s="46" t="str">
        <f aca="true">IF(OR(D157="",B157=""),"",INT(TODAY()-B157))</f>
        <v/>
      </c>
      <c r="AH157" s="44" t="str">
        <f aca="true">IF(D157="","",IF(OR(COUNTIFS(Clients!$C$2:$C$501,D157,Clients!$S$2:$S$501,"Paid")&gt;0,AND(H157&lt;&gt;"",COUNTIFS(Clients!$E$2:$E$501,H157,Clients!$S$2:$S$501,"Paid")&gt;0)),"⚠ Refunded before – no free video",IF(OR(X157="Contract signed + paid",X157="Closed – No response",X157="Lost"),"",IF(X157="","Set a stage",IF(AND(X157="Proposal sent",COUNTA(N157:S157)&lt;6),"Score this lead – proposal sent unscored",IF(N(Z157)&gt;=Settings!$S$3,"Close – 4 follow-ups sent",IF(AA157="",IF(Y157="","Make first contact",""),IF(TODAY()&gt;AA157,"OVERDUE follow-up",IF(TODAY()=AA157,"Follow up today","")))))))))</f>
        <v/>
      </c>
    </row>
    <row r="158" customFormat="false" ht="15" hidden="false" customHeight="false" outlineLevel="0" collapsed="false">
      <c r="A158" s="17"/>
      <c r="B158" s="40"/>
      <c r="C158" s="17"/>
      <c r="D158" s="17"/>
      <c r="E158" s="17"/>
      <c r="F158" s="17"/>
      <c r="G158" s="17"/>
      <c r="H158" s="42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44" t="str">
        <f aca="false">IF(OR(D158="",COUNTA(N158:S158)=0),"",SUMIFS(Settings!$AA$2:$AA$21,Settings!$Y$2:$Y$21,"Budget AED 5k+/mo?",Settings!$Z$2:$Z$21,N158)+SUMIFS(Settings!$AA$2:$AA$21,Settings!$Y$2:$Y$21,"Decision-maker?",Settings!$Z$2:$Z$21,O158)+SUMIFS(Settings!$AA$2:$AA$21,Settings!$Y$2:$Y$21,"Someone on camera?",Settings!$Z$2:$Z$21,P158)+SUMIFS(Settings!$AA$2:$AA$21,Settings!$Y$2:$Y$21,"OK with 3-month term?",Settings!$Z$2:$Z$21,Q158)+SUMIFS(Settings!$AA$2:$AA$21,Settings!$Y$2:$Y$21,"Start timeline",Settings!$Z$2:$Z$21,R158)+SUMIFS(Settings!$AA$2:$AA$21,Settings!$Y$2:$Y$21,"Social media gap",Settings!$Z$2:$Z$21,S158)+IF(E158="",0,IF(COUNTIF(Settings!$AC$2:$AC$6,E158)&gt;0,Settings!$AA$20,Settings!$AA$21)))</f>
        <v/>
      </c>
      <c r="U158" s="44" t="str">
        <f aca="false">IF(D158="","",IF(COUNTA(N158:S158)=0,"Not scored",IF(COUNTA(N158:S158)&lt;6,"Partly scored ("&amp;COUNTA(N158:S158)&amp;"/6)",IF(T158&gt;=Settings!$S$8,"Hot",IF(T158&gt;=Settings!$S$9,"Warm","Cold")))))</f>
        <v/>
      </c>
      <c r="V158" s="44" t="str">
        <f aca="false">IF(D158="","",IF(AND(N158="No",P158="No"),"🚩 Budget  ·  🚩 No one on camera",IF(N158="No","🚩 Budget under AED 5k",IF(P158="No","🚩 No one on camera",""))))</f>
        <v/>
      </c>
      <c r="W158" s="17"/>
      <c r="X158" s="17"/>
      <c r="Y158" s="40"/>
      <c r="Z158" s="17"/>
      <c r="AA158" s="45" t="str">
        <f aca="false">IF(OR(D158="",Y158="",OR(X158="Contract signed + paid",X158="Closed – No response",X158="Lost"),N(Z158)&gt;=Settings!$S$3),"",Y158+Settings!$S$2)</f>
        <v/>
      </c>
      <c r="AB158" s="40"/>
      <c r="AC158" s="41"/>
      <c r="AD158" s="17"/>
      <c r="AE158" s="17"/>
      <c r="AF158" s="17"/>
      <c r="AG158" s="46" t="str">
        <f aca="true">IF(OR(D158="",B158=""),"",INT(TODAY()-B158))</f>
        <v/>
      </c>
      <c r="AH158" s="44" t="str">
        <f aca="true">IF(D158="","",IF(OR(COUNTIFS(Clients!$C$2:$C$501,D158,Clients!$S$2:$S$501,"Paid")&gt;0,AND(H158&lt;&gt;"",COUNTIFS(Clients!$E$2:$E$501,H158,Clients!$S$2:$S$501,"Paid")&gt;0)),"⚠ Refunded before – no free video",IF(OR(X158="Contract signed + paid",X158="Closed – No response",X158="Lost"),"",IF(X158="","Set a stage",IF(AND(X158="Proposal sent",COUNTA(N158:S158)&lt;6),"Score this lead – proposal sent unscored",IF(N(Z158)&gt;=Settings!$S$3,"Close – 4 follow-ups sent",IF(AA158="",IF(Y158="","Make first contact",""),IF(TODAY()&gt;AA158,"OVERDUE follow-up",IF(TODAY()=AA158,"Follow up today","")))))))))</f>
        <v/>
      </c>
    </row>
    <row r="159" customFormat="false" ht="15" hidden="false" customHeight="false" outlineLevel="0" collapsed="false">
      <c r="A159" s="17"/>
      <c r="B159" s="40"/>
      <c r="C159" s="17"/>
      <c r="D159" s="17"/>
      <c r="E159" s="17"/>
      <c r="F159" s="17"/>
      <c r="G159" s="17"/>
      <c r="H159" s="42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44" t="str">
        <f aca="false">IF(OR(D159="",COUNTA(N159:S159)=0),"",SUMIFS(Settings!$AA$2:$AA$21,Settings!$Y$2:$Y$21,"Budget AED 5k+/mo?",Settings!$Z$2:$Z$21,N159)+SUMIFS(Settings!$AA$2:$AA$21,Settings!$Y$2:$Y$21,"Decision-maker?",Settings!$Z$2:$Z$21,O159)+SUMIFS(Settings!$AA$2:$AA$21,Settings!$Y$2:$Y$21,"Someone on camera?",Settings!$Z$2:$Z$21,P159)+SUMIFS(Settings!$AA$2:$AA$21,Settings!$Y$2:$Y$21,"OK with 3-month term?",Settings!$Z$2:$Z$21,Q159)+SUMIFS(Settings!$AA$2:$AA$21,Settings!$Y$2:$Y$21,"Start timeline",Settings!$Z$2:$Z$21,R159)+SUMIFS(Settings!$AA$2:$AA$21,Settings!$Y$2:$Y$21,"Social media gap",Settings!$Z$2:$Z$21,S159)+IF(E159="",0,IF(COUNTIF(Settings!$AC$2:$AC$6,E159)&gt;0,Settings!$AA$20,Settings!$AA$21)))</f>
        <v/>
      </c>
      <c r="U159" s="44" t="str">
        <f aca="false">IF(D159="","",IF(COUNTA(N159:S159)=0,"Not scored",IF(COUNTA(N159:S159)&lt;6,"Partly scored ("&amp;COUNTA(N159:S159)&amp;"/6)",IF(T159&gt;=Settings!$S$8,"Hot",IF(T159&gt;=Settings!$S$9,"Warm","Cold")))))</f>
        <v/>
      </c>
      <c r="V159" s="44" t="str">
        <f aca="false">IF(D159="","",IF(AND(N159="No",P159="No"),"🚩 Budget  ·  🚩 No one on camera",IF(N159="No","🚩 Budget under AED 5k",IF(P159="No","🚩 No one on camera",""))))</f>
        <v/>
      </c>
      <c r="W159" s="17"/>
      <c r="X159" s="17"/>
      <c r="Y159" s="40"/>
      <c r="Z159" s="17"/>
      <c r="AA159" s="45" t="str">
        <f aca="false">IF(OR(D159="",Y159="",OR(X159="Contract signed + paid",X159="Closed – No response",X159="Lost"),N(Z159)&gt;=Settings!$S$3),"",Y159+Settings!$S$2)</f>
        <v/>
      </c>
      <c r="AB159" s="40"/>
      <c r="AC159" s="41"/>
      <c r="AD159" s="17"/>
      <c r="AE159" s="17"/>
      <c r="AF159" s="17"/>
      <c r="AG159" s="46" t="str">
        <f aca="true">IF(OR(D159="",B159=""),"",INT(TODAY()-B159))</f>
        <v/>
      </c>
      <c r="AH159" s="44" t="str">
        <f aca="true">IF(D159="","",IF(OR(COUNTIFS(Clients!$C$2:$C$501,D159,Clients!$S$2:$S$501,"Paid")&gt;0,AND(H159&lt;&gt;"",COUNTIFS(Clients!$E$2:$E$501,H159,Clients!$S$2:$S$501,"Paid")&gt;0)),"⚠ Refunded before – no free video",IF(OR(X159="Contract signed + paid",X159="Closed – No response",X159="Lost"),"",IF(X159="","Set a stage",IF(AND(X159="Proposal sent",COUNTA(N159:S159)&lt;6),"Score this lead – proposal sent unscored",IF(N(Z159)&gt;=Settings!$S$3,"Close – 4 follow-ups sent",IF(AA159="",IF(Y159="","Make first contact",""),IF(TODAY()&gt;AA159,"OVERDUE follow-up",IF(TODAY()=AA159,"Follow up today","")))))))))</f>
        <v/>
      </c>
    </row>
    <row r="160" customFormat="false" ht="15" hidden="false" customHeight="false" outlineLevel="0" collapsed="false">
      <c r="A160" s="17"/>
      <c r="B160" s="40"/>
      <c r="C160" s="17"/>
      <c r="D160" s="17"/>
      <c r="E160" s="17"/>
      <c r="F160" s="17"/>
      <c r="G160" s="17"/>
      <c r="H160" s="42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44" t="str">
        <f aca="false">IF(OR(D160="",COUNTA(N160:S160)=0),"",SUMIFS(Settings!$AA$2:$AA$21,Settings!$Y$2:$Y$21,"Budget AED 5k+/mo?",Settings!$Z$2:$Z$21,N160)+SUMIFS(Settings!$AA$2:$AA$21,Settings!$Y$2:$Y$21,"Decision-maker?",Settings!$Z$2:$Z$21,O160)+SUMIFS(Settings!$AA$2:$AA$21,Settings!$Y$2:$Y$21,"Someone on camera?",Settings!$Z$2:$Z$21,P160)+SUMIFS(Settings!$AA$2:$AA$21,Settings!$Y$2:$Y$21,"OK with 3-month term?",Settings!$Z$2:$Z$21,Q160)+SUMIFS(Settings!$AA$2:$AA$21,Settings!$Y$2:$Y$21,"Start timeline",Settings!$Z$2:$Z$21,R160)+SUMIFS(Settings!$AA$2:$AA$21,Settings!$Y$2:$Y$21,"Social media gap",Settings!$Z$2:$Z$21,S160)+IF(E160="",0,IF(COUNTIF(Settings!$AC$2:$AC$6,E160)&gt;0,Settings!$AA$20,Settings!$AA$21)))</f>
        <v/>
      </c>
      <c r="U160" s="44" t="str">
        <f aca="false">IF(D160="","",IF(COUNTA(N160:S160)=0,"Not scored",IF(COUNTA(N160:S160)&lt;6,"Partly scored ("&amp;COUNTA(N160:S160)&amp;"/6)",IF(T160&gt;=Settings!$S$8,"Hot",IF(T160&gt;=Settings!$S$9,"Warm","Cold")))))</f>
        <v/>
      </c>
      <c r="V160" s="44" t="str">
        <f aca="false">IF(D160="","",IF(AND(N160="No",P160="No"),"🚩 Budget  ·  🚩 No one on camera",IF(N160="No","🚩 Budget under AED 5k",IF(P160="No","🚩 No one on camera",""))))</f>
        <v/>
      </c>
      <c r="W160" s="17"/>
      <c r="X160" s="17"/>
      <c r="Y160" s="40"/>
      <c r="Z160" s="17"/>
      <c r="AA160" s="45" t="str">
        <f aca="false">IF(OR(D160="",Y160="",OR(X160="Contract signed + paid",X160="Closed – No response",X160="Lost"),N(Z160)&gt;=Settings!$S$3),"",Y160+Settings!$S$2)</f>
        <v/>
      </c>
      <c r="AB160" s="40"/>
      <c r="AC160" s="41"/>
      <c r="AD160" s="17"/>
      <c r="AE160" s="17"/>
      <c r="AF160" s="17"/>
      <c r="AG160" s="46" t="str">
        <f aca="true">IF(OR(D160="",B160=""),"",INT(TODAY()-B160))</f>
        <v/>
      </c>
      <c r="AH160" s="44" t="str">
        <f aca="true">IF(D160="","",IF(OR(COUNTIFS(Clients!$C$2:$C$501,D160,Clients!$S$2:$S$501,"Paid")&gt;0,AND(H160&lt;&gt;"",COUNTIFS(Clients!$E$2:$E$501,H160,Clients!$S$2:$S$501,"Paid")&gt;0)),"⚠ Refunded before – no free video",IF(OR(X160="Contract signed + paid",X160="Closed – No response",X160="Lost"),"",IF(X160="","Set a stage",IF(AND(X160="Proposal sent",COUNTA(N160:S160)&lt;6),"Score this lead – proposal sent unscored",IF(N(Z160)&gt;=Settings!$S$3,"Close – 4 follow-ups sent",IF(AA160="",IF(Y160="","Make first contact",""),IF(TODAY()&gt;AA160,"OVERDUE follow-up",IF(TODAY()=AA160,"Follow up today","")))))))))</f>
        <v/>
      </c>
    </row>
    <row r="161" customFormat="false" ht="15" hidden="false" customHeight="false" outlineLevel="0" collapsed="false">
      <c r="A161" s="17"/>
      <c r="B161" s="40"/>
      <c r="C161" s="17"/>
      <c r="D161" s="17"/>
      <c r="E161" s="17"/>
      <c r="F161" s="17"/>
      <c r="G161" s="17"/>
      <c r="H161" s="42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44" t="str">
        <f aca="false">IF(OR(D161="",COUNTA(N161:S161)=0),"",SUMIFS(Settings!$AA$2:$AA$21,Settings!$Y$2:$Y$21,"Budget AED 5k+/mo?",Settings!$Z$2:$Z$21,N161)+SUMIFS(Settings!$AA$2:$AA$21,Settings!$Y$2:$Y$21,"Decision-maker?",Settings!$Z$2:$Z$21,O161)+SUMIFS(Settings!$AA$2:$AA$21,Settings!$Y$2:$Y$21,"Someone on camera?",Settings!$Z$2:$Z$21,P161)+SUMIFS(Settings!$AA$2:$AA$21,Settings!$Y$2:$Y$21,"OK with 3-month term?",Settings!$Z$2:$Z$21,Q161)+SUMIFS(Settings!$AA$2:$AA$21,Settings!$Y$2:$Y$21,"Start timeline",Settings!$Z$2:$Z$21,R161)+SUMIFS(Settings!$AA$2:$AA$21,Settings!$Y$2:$Y$21,"Social media gap",Settings!$Z$2:$Z$21,S161)+IF(E161="",0,IF(COUNTIF(Settings!$AC$2:$AC$6,E161)&gt;0,Settings!$AA$20,Settings!$AA$21)))</f>
        <v/>
      </c>
      <c r="U161" s="44" t="str">
        <f aca="false">IF(D161="","",IF(COUNTA(N161:S161)=0,"Not scored",IF(COUNTA(N161:S161)&lt;6,"Partly scored ("&amp;COUNTA(N161:S161)&amp;"/6)",IF(T161&gt;=Settings!$S$8,"Hot",IF(T161&gt;=Settings!$S$9,"Warm","Cold")))))</f>
        <v/>
      </c>
      <c r="V161" s="44" t="str">
        <f aca="false">IF(D161="","",IF(AND(N161="No",P161="No"),"🚩 Budget  ·  🚩 No one on camera",IF(N161="No","🚩 Budget under AED 5k",IF(P161="No","🚩 No one on camera",""))))</f>
        <v/>
      </c>
      <c r="W161" s="17"/>
      <c r="X161" s="17"/>
      <c r="Y161" s="40"/>
      <c r="Z161" s="17"/>
      <c r="AA161" s="45" t="str">
        <f aca="false">IF(OR(D161="",Y161="",OR(X161="Contract signed + paid",X161="Closed – No response",X161="Lost"),N(Z161)&gt;=Settings!$S$3),"",Y161+Settings!$S$2)</f>
        <v/>
      </c>
      <c r="AB161" s="40"/>
      <c r="AC161" s="41"/>
      <c r="AD161" s="17"/>
      <c r="AE161" s="17"/>
      <c r="AF161" s="17"/>
      <c r="AG161" s="46" t="str">
        <f aca="true">IF(OR(D161="",B161=""),"",INT(TODAY()-B161))</f>
        <v/>
      </c>
      <c r="AH161" s="44" t="str">
        <f aca="true">IF(D161="","",IF(OR(COUNTIFS(Clients!$C$2:$C$501,D161,Clients!$S$2:$S$501,"Paid")&gt;0,AND(H161&lt;&gt;"",COUNTIFS(Clients!$E$2:$E$501,H161,Clients!$S$2:$S$501,"Paid")&gt;0)),"⚠ Refunded before – no free video",IF(OR(X161="Contract signed + paid",X161="Closed – No response",X161="Lost"),"",IF(X161="","Set a stage",IF(AND(X161="Proposal sent",COUNTA(N161:S161)&lt;6),"Score this lead – proposal sent unscored",IF(N(Z161)&gt;=Settings!$S$3,"Close – 4 follow-ups sent",IF(AA161="",IF(Y161="","Make first contact",""),IF(TODAY()&gt;AA161,"OVERDUE follow-up",IF(TODAY()=AA161,"Follow up today","")))))))))</f>
        <v/>
      </c>
    </row>
    <row r="162" customFormat="false" ht="15" hidden="false" customHeight="false" outlineLevel="0" collapsed="false">
      <c r="A162" s="17"/>
      <c r="B162" s="40"/>
      <c r="C162" s="17"/>
      <c r="D162" s="17"/>
      <c r="E162" s="17"/>
      <c r="F162" s="17"/>
      <c r="G162" s="17"/>
      <c r="H162" s="42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44" t="str">
        <f aca="false">IF(OR(D162="",COUNTA(N162:S162)=0),"",SUMIFS(Settings!$AA$2:$AA$21,Settings!$Y$2:$Y$21,"Budget AED 5k+/mo?",Settings!$Z$2:$Z$21,N162)+SUMIFS(Settings!$AA$2:$AA$21,Settings!$Y$2:$Y$21,"Decision-maker?",Settings!$Z$2:$Z$21,O162)+SUMIFS(Settings!$AA$2:$AA$21,Settings!$Y$2:$Y$21,"Someone on camera?",Settings!$Z$2:$Z$21,P162)+SUMIFS(Settings!$AA$2:$AA$21,Settings!$Y$2:$Y$21,"OK with 3-month term?",Settings!$Z$2:$Z$21,Q162)+SUMIFS(Settings!$AA$2:$AA$21,Settings!$Y$2:$Y$21,"Start timeline",Settings!$Z$2:$Z$21,R162)+SUMIFS(Settings!$AA$2:$AA$21,Settings!$Y$2:$Y$21,"Social media gap",Settings!$Z$2:$Z$21,S162)+IF(E162="",0,IF(COUNTIF(Settings!$AC$2:$AC$6,E162)&gt;0,Settings!$AA$20,Settings!$AA$21)))</f>
        <v/>
      </c>
      <c r="U162" s="44" t="str">
        <f aca="false">IF(D162="","",IF(COUNTA(N162:S162)=0,"Not scored",IF(COUNTA(N162:S162)&lt;6,"Partly scored ("&amp;COUNTA(N162:S162)&amp;"/6)",IF(T162&gt;=Settings!$S$8,"Hot",IF(T162&gt;=Settings!$S$9,"Warm","Cold")))))</f>
        <v/>
      </c>
      <c r="V162" s="44" t="str">
        <f aca="false">IF(D162="","",IF(AND(N162="No",P162="No"),"🚩 Budget  ·  🚩 No one on camera",IF(N162="No","🚩 Budget under AED 5k",IF(P162="No","🚩 No one on camera",""))))</f>
        <v/>
      </c>
      <c r="W162" s="17"/>
      <c r="X162" s="17"/>
      <c r="Y162" s="40"/>
      <c r="Z162" s="17"/>
      <c r="AA162" s="45" t="str">
        <f aca="false">IF(OR(D162="",Y162="",OR(X162="Contract signed + paid",X162="Closed – No response",X162="Lost"),N(Z162)&gt;=Settings!$S$3),"",Y162+Settings!$S$2)</f>
        <v/>
      </c>
      <c r="AB162" s="40"/>
      <c r="AC162" s="41"/>
      <c r="AD162" s="17"/>
      <c r="AE162" s="17"/>
      <c r="AF162" s="17"/>
      <c r="AG162" s="46" t="str">
        <f aca="true">IF(OR(D162="",B162=""),"",INT(TODAY()-B162))</f>
        <v/>
      </c>
      <c r="AH162" s="44" t="str">
        <f aca="true">IF(D162="","",IF(OR(COUNTIFS(Clients!$C$2:$C$501,D162,Clients!$S$2:$S$501,"Paid")&gt;0,AND(H162&lt;&gt;"",COUNTIFS(Clients!$E$2:$E$501,H162,Clients!$S$2:$S$501,"Paid")&gt;0)),"⚠ Refunded before – no free video",IF(OR(X162="Contract signed + paid",X162="Closed – No response",X162="Lost"),"",IF(X162="","Set a stage",IF(AND(X162="Proposal sent",COUNTA(N162:S162)&lt;6),"Score this lead – proposal sent unscored",IF(N(Z162)&gt;=Settings!$S$3,"Close – 4 follow-ups sent",IF(AA162="",IF(Y162="","Make first contact",""),IF(TODAY()&gt;AA162,"OVERDUE follow-up",IF(TODAY()=AA162,"Follow up today","")))))))))</f>
        <v/>
      </c>
    </row>
    <row r="163" customFormat="false" ht="15" hidden="false" customHeight="false" outlineLevel="0" collapsed="false">
      <c r="A163" s="17"/>
      <c r="B163" s="40"/>
      <c r="C163" s="17"/>
      <c r="D163" s="17"/>
      <c r="E163" s="17"/>
      <c r="F163" s="17"/>
      <c r="G163" s="17"/>
      <c r="H163" s="42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44" t="str">
        <f aca="false">IF(OR(D163="",COUNTA(N163:S163)=0),"",SUMIFS(Settings!$AA$2:$AA$21,Settings!$Y$2:$Y$21,"Budget AED 5k+/mo?",Settings!$Z$2:$Z$21,N163)+SUMIFS(Settings!$AA$2:$AA$21,Settings!$Y$2:$Y$21,"Decision-maker?",Settings!$Z$2:$Z$21,O163)+SUMIFS(Settings!$AA$2:$AA$21,Settings!$Y$2:$Y$21,"Someone on camera?",Settings!$Z$2:$Z$21,P163)+SUMIFS(Settings!$AA$2:$AA$21,Settings!$Y$2:$Y$21,"OK with 3-month term?",Settings!$Z$2:$Z$21,Q163)+SUMIFS(Settings!$AA$2:$AA$21,Settings!$Y$2:$Y$21,"Start timeline",Settings!$Z$2:$Z$21,R163)+SUMIFS(Settings!$AA$2:$AA$21,Settings!$Y$2:$Y$21,"Social media gap",Settings!$Z$2:$Z$21,S163)+IF(E163="",0,IF(COUNTIF(Settings!$AC$2:$AC$6,E163)&gt;0,Settings!$AA$20,Settings!$AA$21)))</f>
        <v/>
      </c>
      <c r="U163" s="44" t="str">
        <f aca="false">IF(D163="","",IF(COUNTA(N163:S163)=0,"Not scored",IF(COUNTA(N163:S163)&lt;6,"Partly scored ("&amp;COUNTA(N163:S163)&amp;"/6)",IF(T163&gt;=Settings!$S$8,"Hot",IF(T163&gt;=Settings!$S$9,"Warm","Cold")))))</f>
        <v/>
      </c>
      <c r="V163" s="44" t="str">
        <f aca="false">IF(D163="","",IF(AND(N163="No",P163="No"),"🚩 Budget  ·  🚩 No one on camera",IF(N163="No","🚩 Budget under AED 5k",IF(P163="No","🚩 No one on camera",""))))</f>
        <v/>
      </c>
      <c r="W163" s="17"/>
      <c r="X163" s="17"/>
      <c r="Y163" s="40"/>
      <c r="Z163" s="17"/>
      <c r="AA163" s="45" t="str">
        <f aca="false">IF(OR(D163="",Y163="",OR(X163="Contract signed + paid",X163="Closed – No response",X163="Lost"),N(Z163)&gt;=Settings!$S$3),"",Y163+Settings!$S$2)</f>
        <v/>
      </c>
      <c r="AB163" s="40"/>
      <c r="AC163" s="41"/>
      <c r="AD163" s="17"/>
      <c r="AE163" s="17"/>
      <c r="AF163" s="17"/>
      <c r="AG163" s="46" t="str">
        <f aca="true">IF(OR(D163="",B163=""),"",INT(TODAY()-B163))</f>
        <v/>
      </c>
      <c r="AH163" s="44" t="str">
        <f aca="true">IF(D163="","",IF(OR(COUNTIFS(Clients!$C$2:$C$501,D163,Clients!$S$2:$S$501,"Paid")&gt;0,AND(H163&lt;&gt;"",COUNTIFS(Clients!$E$2:$E$501,H163,Clients!$S$2:$S$501,"Paid")&gt;0)),"⚠ Refunded before – no free video",IF(OR(X163="Contract signed + paid",X163="Closed – No response",X163="Lost"),"",IF(X163="","Set a stage",IF(AND(X163="Proposal sent",COUNTA(N163:S163)&lt;6),"Score this lead – proposal sent unscored",IF(N(Z163)&gt;=Settings!$S$3,"Close – 4 follow-ups sent",IF(AA163="",IF(Y163="","Make first contact",""),IF(TODAY()&gt;AA163,"OVERDUE follow-up",IF(TODAY()=AA163,"Follow up today","")))))))))</f>
        <v/>
      </c>
    </row>
    <row r="164" customFormat="false" ht="15" hidden="false" customHeight="false" outlineLevel="0" collapsed="false">
      <c r="A164" s="17"/>
      <c r="B164" s="40"/>
      <c r="C164" s="17"/>
      <c r="D164" s="17"/>
      <c r="E164" s="17"/>
      <c r="F164" s="17"/>
      <c r="G164" s="17"/>
      <c r="H164" s="42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44" t="str">
        <f aca="false">IF(OR(D164="",COUNTA(N164:S164)=0),"",SUMIFS(Settings!$AA$2:$AA$21,Settings!$Y$2:$Y$21,"Budget AED 5k+/mo?",Settings!$Z$2:$Z$21,N164)+SUMIFS(Settings!$AA$2:$AA$21,Settings!$Y$2:$Y$21,"Decision-maker?",Settings!$Z$2:$Z$21,O164)+SUMIFS(Settings!$AA$2:$AA$21,Settings!$Y$2:$Y$21,"Someone on camera?",Settings!$Z$2:$Z$21,P164)+SUMIFS(Settings!$AA$2:$AA$21,Settings!$Y$2:$Y$21,"OK with 3-month term?",Settings!$Z$2:$Z$21,Q164)+SUMIFS(Settings!$AA$2:$AA$21,Settings!$Y$2:$Y$21,"Start timeline",Settings!$Z$2:$Z$21,R164)+SUMIFS(Settings!$AA$2:$AA$21,Settings!$Y$2:$Y$21,"Social media gap",Settings!$Z$2:$Z$21,S164)+IF(E164="",0,IF(COUNTIF(Settings!$AC$2:$AC$6,E164)&gt;0,Settings!$AA$20,Settings!$AA$21)))</f>
        <v/>
      </c>
      <c r="U164" s="44" t="str">
        <f aca="false">IF(D164="","",IF(COUNTA(N164:S164)=0,"Not scored",IF(COUNTA(N164:S164)&lt;6,"Partly scored ("&amp;COUNTA(N164:S164)&amp;"/6)",IF(T164&gt;=Settings!$S$8,"Hot",IF(T164&gt;=Settings!$S$9,"Warm","Cold")))))</f>
        <v/>
      </c>
      <c r="V164" s="44" t="str">
        <f aca="false">IF(D164="","",IF(AND(N164="No",P164="No"),"🚩 Budget  ·  🚩 No one on camera",IF(N164="No","🚩 Budget under AED 5k",IF(P164="No","🚩 No one on camera",""))))</f>
        <v/>
      </c>
      <c r="W164" s="17"/>
      <c r="X164" s="17"/>
      <c r="Y164" s="40"/>
      <c r="Z164" s="17"/>
      <c r="AA164" s="45" t="str">
        <f aca="false">IF(OR(D164="",Y164="",OR(X164="Contract signed + paid",X164="Closed – No response",X164="Lost"),N(Z164)&gt;=Settings!$S$3),"",Y164+Settings!$S$2)</f>
        <v/>
      </c>
      <c r="AB164" s="40"/>
      <c r="AC164" s="41"/>
      <c r="AD164" s="17"/>
      <c r="AE164" s="17"/>
      <c r="AF164" s="17"/>
      <c r="AG164" s="46" t="str">
        <f aca="true">IF(OR(D164="",B164=""),"",INT(TODAY()-B164))</f>
        <v/>
      </c>
      <c r="AH164" s="44" t="str">
        <f aca="true">IF(D164="","",IF(OR(COUNTIFS(Clients!$C$2:$C$501,D164,Clients!$S$2:$S$501,"Paid")&gt;0,AND(H164&lt;&gt;"",COUNTIFS(Clients!$E$2:$E$501,H164,Clients!$S$2:$S$501,"Paid")&gt;0)),"⚠ Refunded before – no free video",IF(OR(X164="Contract signed + paid",X164="Closed – No response",X164="Lost"),"",IF(X164="","Set a stage",IF(AND(X164="Proposal sent",COUNTA(N164:S164)&lt;6),"Score this lead – proposal sent unscored",IF(N(Z164)&gt;=Settings!$S$3,"Close – 4 follow-ups sent",IF(AA164="",IF(Y164="","Make first contact",""),IF(TODAY()&gt;AA164,"OVERDUE follow-up",IF(TODAY()=AA164,"Follow up today","")))))))))</f>
        <v/>
      </c>
    </row>
    <row r="165" customFormat="false" ht="15" hidden="false" customHeight="false" outlineLevel="0" collapsed="false">
      <c r="A165" s="17"/>
      <c r="B165" s="40"/>
      <c r="C165" s="17"/>
      <c r="D165" s="17"/>
      <c r="E165" s="17"/>
      <c r="F165" s="17"/>
      <c r="G165" s="17"/>
      <c r="H165" s="42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44" t="str">
        <f aca="false">IF(OR(D165="",COUNTA(N165:S165)=0),"",SUMIFS(Settings!$AA$2:$AA$21,Settings!$Y$2:$Y$21,"Budget AED 5k+/mo?",Settings!$Z$2:$Z$21,N165)+SUMIFS(Settings!$AA$2:$AA$21,Settings!$Y$2:$Y$21,"Decision-maker?",Settings!$Z$2:$Z$21,O165)+SUMIFS(Settings!$AA$2:$AA$21,Settings!$Y$2:$Y$21,"Someone on camera?",Settings!$Z$2:$Z$21,P165)+SUMIFS(Settings!$AA$2:$AA$21,Settings!$Y$2:$Y$21,"OK with 3-month term?",Settings!$Z$2:$Z$21,Q165)+SUMIFS(Settings!$AA$2:$AA$21,Settings!$Y$2:$Y$21,"Start timeline",Settings!$Z$2:$Z$21,R165)+SUMIFS(Settings!$AA$2:$AA$21,Settings!$Y$2:$Y$21,"Social media gap",Settings!$Z$2:$Z$21,S165)+IF(E165="",0,IF(COUNTIF(Settings!$AC$2:$AC$6,E165)&gt;0,Settings!$AA$20,Settings!$AA$21)))</f>
        <v/>
      </c>
      <c r="U165" s="44" t="str">
        <f aca="false">IF(D165="","",IF(COUNTA(N165:S165)=0,"Not scored",IF(COUNTA(N165:S165)&lt;6,"Partly scored ("&amp;COUNTA(N165:S165)&amp;"/6)",IF(T165&gt;=Settings!$S$8,"Hot",IF(T165&gt;=Settings!$S$9,"Warm","Cold")))))</f>
        <v/>
      </c>
      <c r="V165" s="44" t="str">
        <f aca="false">IF(D165="","",IF(AND(N165="No",P165="No"),"🚩 Budget  ·  🚩 No one on camera",IF(N165="No","🚩 Budget under AED 5k",IF(P165="No","🚩 No one on camera",""))))</f>
        <v/>
      </c>
      <c r="W165" s="17"/>
      <c r="X165" s="17"/>
      <c r="Y165" s="40"/>
      <c r="Z165" s="17"/>
      <c r="AA165" s="45" t="str">
        <f aca="false">IF(OR(D165="",Y165="",OR(X165="Contract signed + paid",X165="Closed – No response",X165="Lost"),N(Z165)&gt;=Settings!$S$3),"",Y165+Settings!$S$2)</f>
        <v/>
      </c>
      <c r="AB165" s="40"/>
      <c r="AC165" s="41"/>
      <c r="AD165" s="17"/>
      <c r="AE165" s="17"/>
      <c r="AF165" s="17"/>
      <c r="AG165" s="46" t="str">
        <f aca="true">IF(OR(D165="",B165=""),"",INT(TODAY()-B165))</f>
        <v/>
      </c>
      <c r="AH165" s="44" t="str">
        <f aca="true">IF(D165="","",IF(OR(COUNTIFS(Clients!$C$2:$C$501,D165,Clients!$S$2:$S$501,"Paid")&gt;0,AND(H165&lt;&gt;"",COUNTIFS(Clients!$E$2:$E$501,H165,Clients!$S$2:$S$501,"Paid")&gt;0)),"⚠ Refunded before – no free video",IF(OR(X165="Contract signed + paid",X165="Closed – No response",X165="Lost"),"",IF(X165="","Set a stage",IF(AND(X165="Proposal sent",COUNTA(N165:S165)&lt;6),"Score this lead – proposal sent unscored",IF(N(Z165)&gt;=Settings!$S$3,"Close – 4 follow-ups sent",IF(AA165="",IF(Y165="","Make first contact",""),IF(TODAY()&gt;AA165,"OVERDUE follow-up",IF(TODAY()=AA165,"Follow up today","")))))))))</f>
        <v/>
      </c>
    </row>
    <row r="166" customFormat="false" ht="15" hidden="false" customHeight="false" outlineLevel="0" collapsed="false">
      <c r="A166" s="17"/>
      <c r="B166" s="40"/>
      <c r="C166" s="17"/>
      <c r="D166" s="17"/>
      <c r="E166" s="17"/>
      <c r="F166" s="17"/>
      <c r="G166" s="17"/>
      <c r="H166" s="42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44" t="str">
        <f aca="false">IF(OR(D166="",COUNTA(N166:S166)=0),"",SUMIFS(Settings!$AA$2:$AA$21,Settings!$Y$2:$Y$21,"Budget AED 5k+/mo?",Settings!$Z$2:$Z$21,N166)+SUMIFS(Settings!$AA$2:$AA$21,Settings!$Y$2:$Y$21,"Decision-maker?",Settings!$Z$2:$Z$21,O166)+SUMIFS(Settings!$AA$2:$AA$21,Settings!$Y$2:$Y$21,"Someone on camera?",Settings!$Z$2:$Z$21,P166)+SUMIFS(Settings!$AA$2:$AA$21,Settings!$Y$2:$Y$21,"OK with 3-month term?",Settings!$Z$2:$Z$21,Q166)+SUMIFS(Settings!$AA$2:$AA$21,Settings!$Y$2:$Y$21,"Start timeline",Settings!$Z$2:$Z$21,R166)+SUMIFS(Settings!$AA$2:$AA$21,Settings!$Y$2:$Y$21,"Social media gap",Settings!$Z$2:$Z$21,S166)+IF(E166="",0,IF(COUNTIF(Settings!$AC$2:$AC$6,E166)&gt;0,Settings!$AA$20,Settings!$AA$21)))</f>
        <v/>
      </c>
      <c r="U166" s="44" t="str">
        <f aca="false">IF(D166="","",IF(COUNTA(N166:S166)=0,"Not scored",IF(COUNTA(N166:S166)&lt;6,"Partly scored ("&amp;COUNTA(N166:S166)&amp;"/6)",IF(T166&gt;=Settings!$S$8,"Hot",IF(T166&gt;=Settings!$S$9,"Warm","Cold")))))</f>
        <v/>
      </c>
      <c r="V166" s="44" t="str">
        <f aca="false">IF(D166="","",IF(AND(N166="No",P166="No"),"🚩 Budget  ·  🚩 No one on camera",IF(N166="No","🚩 Budget under AED 5k",IF(P166="No","🚩 No one on camera",""))))</f>
        <v/>
      </c>
      <c r="W166" s="17"/>
      <c r="X166" s="17"/>
      <c r="Y166" s="40"/>
      <c r="Z166" s="17"/>
      <c r="AA166" s="45" t="str">
        <f aca="false">IF(OR(D166="",Y166="",OR(X166="Contract signed + paid",X166="Closed – No response",X166="Lost"),N(Z166)&gt;=Settings!$S$3),"",Y166+Settings!$S$2)</f>
        <v/>
      </c>
      <c r="AB166" s="40"/>
      <c r="AC166" s="41"/>
      <c r="AD166" s="17"/>
      <c r="AE166" s="17"/>
      <c r="AF166" s="17"/>
      <c r="AG166" s="46" t="str">
        <f aca="true">IF(OR(D166="",B166=""),"",INT(TODAY()-B166))</f>
        <v/>
      </c>
      <c r="AH166" s="44" t="str">
        <f aca="true">IF(D166="","",IF(OR(COUNTIFS(Clients!$C$2:$C$501,D166,Clients!$S$2:$S$501,"Paid")&gt;0,AND(H166&lt;&gt;"",COUNTIFS(Clients!$E$2:$E$501,H166,Clients!$S$2:$S$501,"Paid")&gt;0)),"⚠ Refunded before – no free video",IF(OR(X166="Contract signed + paid",X166="Closed – No response",X166="Lost"),"",IF(X166="","Set a stage",IF(AND(X166="Proposal sent",COUNTA(N166:S166)&lt;6),"Score this lead – proposal sent unscored",IF(N(Z166)&gt;=Settings!$S$3,"Close – 4 follow-ups sent",IF(AA166="",IF(Y166="","Make first contact",""),IF(TODAY()&gt;AA166,"OVERDUE follow-up",IF(TODAY()=AA166,"Follow up today","")))))))))</f>
        <v/>
      </c>
    </row>
    <row r="167" customFormat="false" ht="15" hidden="false" customHeight="false" outlineLevel="0" collapsed="false">
      <c r="A167" s="17"/>
      <c r="B167" s="40"/>
      <c r="C167" s="17"/>
      <c r="D167" s="17"/>
      <c r="E167" s="17"/>
      <c r="F167" s="17"/>
      <c r="G167" s="17"/>
      <c r="H167" s="42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44" t="str">
        <f aca="false">IF(OR(D167="",COUNTA(N167:S167)=0),"",SUMIFS(Settings!$AA$2:$AA$21,Settings!$Y$2:$Y$21,"Budget AED 5k+/mo?",Settings!$Z$2:$Z$21,N167)+SUMIFS(Settings!$AA$2:$AA$21,Settings!$Y$2:$Y$21,"Decision-maker?",Settings!$Z$2:$Z$21,O167)+SUMIFS(Settings!$AA$2:$AA$21,Settings!$Y$2:$Y$21,"Someone on camera?",Settings!$Z$2:$Z$21,P167)+SUMIFS(Settings!$AA$2:$AA$21,Settings!$Y$2:$Y$21,"OK with 3-month term?",Settings!$Z$2:$Z$21,Q167)+SUMIFS(Settings!$AA$2:$AA$21,Settings!$Y$2:$Y$21,"Start timeline",Settings!$Z$2:$Z$21,R167)+SUMIFS(Settings!$AA$2:$AA$21,Settings!$Y$2:$Y$21,"Social media gap",Settings!$Z$2:$Z$21,S167)+IF(E167="",0,IF(COUNTIF(Settings!$AC$2:$AC$6,E167)&gt;0,Settings!$AA$20,Settings!$AA$21)))</f>
        <v/>
      </c>
      <c r="U167" s="44" t="str">
        <f aca="false">IF(D167="","",IF(COUNTA(N167:S167)=0,"Not scored",IF(COUNTA(N167:S167)&lt;6,"Partly scored ("&amp;COUNTA(N167:S167)&amp;"/6)",IF(T167&gt;=Settings!$S$8,"Hot",IF(T167&gt;=Settings!$S$9,"Warm","Cold")))))</f>
        <v/>
      </c>
      <c r="V167" s="44" t="str">
        <f aca="false">IF(D167="","",IF(AND(N167="No",P167="No"),"🚩 Budget  ·  🚩 No one on camera",IF(N167="No","🚩 Budget under AED 5k",IF(P167="No","🚩 No one on camera",""))))</f>
        <v/>
      </c>
      <c r="W167" s="17"/>
      <c r="X167" s="17"/>
      <c r="Y167" s="40"/>
      <c r="Z167" s="17"/>
      <c r="AA167" s="45" t="str">
        <f aca="false">IF(OR(D167="",Y167="",OR(X167="Contract signed + paid",X167="Closed – No response",X167="Lost"),N(Z167)&gt;=Settings!$S$3),"",Y167+Settings!$S$2)</f>
        <v/>
      </c>
      <c r="AB167" s="40"/>
      <c r="AC167" s="41"/>
      <c r="AD167" s="17"/>
      <c r="AE167" s="17"/>
      <c r="AF167" s="17"/>
      <c r="AG167" s="46" t="str">
        <f aca="true">IF(OR(D167="",B167=""),"",INT(TODAY()-B167))</f>
        <v/>
      </c>
      <c r="AH167" s="44" t="str">
        <f aca="true">IF(D167="","",IF(OR(COUNTIFS(Clients!$C$2:$C$501,D167,Clients!$S$2:$S$501,"Paid")&gt;0,AND(H167&lt;&gt;"",COUNTIFS(Clients!$E$2:$E$501,H167,Clients!$S$2:$S$501,"Paid")&gt;0)),"⚠ Refunded before – no free video",IF(OR(X167="Contract signed + paid",X167="Closed – No response",X167="Lost"),"",IF(X167="","Set a stage",IF(AND(X167="Proposal sent",COUNTA(N167:S167)&lt;6),"Score this lead – proposal sent unscored",IF(N(Z167)&gt;=Settings!$S$3,"Close – 4 follow-ups sent",IF(AA167="",IF(Y167="","Make first contact",""),IF(TODAY()&gt;AA167,"OVERDUE follow-up",IF(TODAY()=AA167,"Follow up today","")))))))))</f>
        <v/>
      </c>
    </row>
    <row r="168" customFormat="false" ht="15" hidden="false" customHeight="false" outlineLevel="0" collapsed="false">
      <c r="A168" s="17"/>
      <c r="B168" s="40"/>
      <c r="C168" s="17"/>
      <c r="D168" s="17"/>
      <c r="E168" s="17"/>
      <c r="F168" s="17"/>
      <c r="G168" s="17"/>
      <c r="H168" s="42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44" t="str">
        <f aca="false">IF(OR(D168="",COUNTA(N168:S168)=0),"",SUMIFS(Settings!$AA$2:$AA$21,Settings!$Y$2:$Y$21,"Budget AED 5k+/mo?",Settings!$Z$2:$Z$21,N168)+SUMIFS(Settings!$AA$2:$AA$21,Settings!$Y$2:$Y$21,"Decision-maker?",Settings!$Z$2:$Z$21,O168)+SUMIFS(Settings!$AA$2:$AA$21,Settings!$Y$2:$Y$21,"Someone on camera?",Settings!$Z$2:$Z$21,P168)+SUMIFS(Settings!$AA$2:$AA$21,Settings!$Y$2:$Y$21,"OK with 3-month term?",Settings!$Z$2:$Z$21,Q168)+SUMIFS(Settings!$AA$2:$AA$21,Settings!$Y$2:$Y$21,"Start timeline",Settings!$Z$2:$Z$21,R168)+SUMIFS(Settings!$AA$2:$AA$21,Settings!$Y$2:$Y$21,"Social media gap",Settings!$Z$2:$Z$21,S168)+IF(E168="",0,IF(COUNTIF(Settings!$AC$2:$AC$6,E168)&gt;0,Settings!$AA$20,Settings!$AA$21)))</f>
        <v/>
      </c>
      <c r="U168" s="44" t="str">
        <f aca="false">IF(D168="","",IF(COUNTA(N168:S168)=0,"Not scored",IF(COUNTA(N168:S168)&lt;6,"Partly scored ("&amp;COUNTA(N168:S168)&amp;"/6)",IF(T168&gt;=Settings!$S$8,"Hot",IF(T168&gt;=Settings!$S$9,"Warm","Cold")))))</f>
        <v/>
      </c>
      <c r="V168" s="44" t="str">
        <f aca="false">IF(D168="","",IF(AND(N168="No",P168="No"),"🚩 Budget  ·  🚩 No one on camera",IF(N168="No","🚩 Budget under AED 5k",IF(P168="No","🚩 No one on camera",""))))</f>
        <v/>
      </c>
      <c r="W168" s="17"/>
      <c r="X168" s="17"/>
      <c r="Y168" s="40"/>
      <c r="Z168" s="17"/>
      <c r="AA168" s="45" t="str">
        <f aca="false">IF(OR(D168="",Y168="",OR(X168="Contract signed + paid",X168="Closed – No response",X168="Lost"),N(Z168)&gt;=Settings!$S$3),"",Y168+Settings!$S$2)</f>
        <v/>
      </c>
      <c r="AB168" s="40"/>
      <c r="AC168" s="41"/>
      <c r="AD168" s="17"/>
      <c r="AE168" s="17"/>
      <c r="AF168" s="17"/>
      <c r="AG168" s="46" t="str">
        <f aca="true">IF(OR(D168="",B168=""),"",INT(TODAY()-B168))</f>
        <v/>
      </c>
      <c r="AH168" s="44" t="str">
        <f aca="true">IF(D168="","",IF(OR(COUNTIFS(Clients!$C$2:$C$501,D168,Clients!$S$2:$S$501,"Paid")&gt;0,AND(H168&lt;&gt;"",COUNTIFS(Clients!$E$2:$E$501,H168,Clients!$S$2:$S$501,"Paid")&gt;0)),"⚠ Refunded before – no free video",IF(OR(X168="Contract signed + paid",X168="Closed – No response",X168="Lost"),"",IF(X168="","Set a stage",IF(AND(X168="Proposal sent",COUNTA(N168:S168)&lt;6),"Score this lead – proposal sent unscored",IF(N(Z168)&gt;=Settings!$S$3,"Close – 4 follow-ups sent",IF(AA168="",IF(Y168="","Make first contact",""),IF(TODAY()&gt;AA168,"OVERDUE follow-up",IF(TODAY()=AA168,"Follow up today","")))))))))</f>
        <v/>
      </c>
    </row>
    <row r="169" customFormat="false" ht="15" hidden="false" customHeight="false" outlineLevel="0" collapsed="false">
      <c r="A169" s="17"/>
      <c r="B169" s="40"/>
      <c r="C169" s="17"/>
      <c r="D169" s="17"/>
      <c r="E169" s="17"/>
      <c r="F169" s="17"/>
      <c r="G169" s="17"/>
      <c r="H169" s="42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44" t="str">
        <f aca="false">IF(OR(D169="",COUNTA(N169:S169)=0),"",SUMIFS(Settings!$AA$2:$AA$21,Settings!$Y$2:$Y$21,"Budget AED 5k+/mo?",Settings!$Z$2:$Z$21,N169)+SUMIFS(Settings!$AA$2:$AA$21,Settings!$Y$2:$Y$21,"Decision-maker?",Settings!$Z$2:$Z$21,O169)+SUMIFS(Settings!$AA$2:$AA$21,Settings!$Y$2:$Y$21,"Someone on camera?",Settings!$Z$2:$Z$21,P169)+SUMIFS(Settings!$AA$2:$AA$21,Settings!$Y$2:$Y$21,"OK with 3-month term?",Settings!$Z$2:$Z$21,Q169)+SUMIFS(Settings!$AA$2:$AA$21,Settings!$Y$2:$Y$21,"Start timeline",Settings!$Z$2:$Z$21,R169)+SUMIFS(Settings!$AA$2:$AA$21,Settings!$Y$2:$Y$21,"Social media gap",Settings!$Z$2:$Z$21,S169)+IF(E169="",0,IF(COUNTIF(Settings!$AC$2:$AC$6,E169)&gt;0,Settings!$AA$20,Settings!$AA$21)))</f>
        <v/>
      </c>
      <c r="U169" s="44" t="str">
        <f aca="false">IF(D169="","",IF(COUNTA(N169:S169)=0,"Not scored",IF(COUNTA(N169:S169)&lt;6,"Partly scored ("&amp;COUNTA(N169:S169)&amp;"/6)",IF(T169&gt;=Settings!$S$8,"Hot",IF(T169&gt;=Settings!$S$9,"Warm","Cold")))))</f>
        <v/>
      </c>
      <c r="V169" s="44" t="str">
        <f aca="false">IF(D169="","",IF(AND(N169="No",P169="No"),"🚩 Budget  ·  🚩 No one on camera",IF(N169="No","🚩 Budget under AED 5k",IF(P169="No","🚩 No one on camera",""))))</f>
        <v/>
      </c>
      <c r="W169" s="17"/>
      <c r="X169" s="17"/>
      <c r="Y169" s="40"/>
      <c r="Z169" s="17"/>
      <c r="AA169" s="45" t="str">
        <f aca="false">IF(OR(D169="",Y169="",OR(X169="Contract signed + paid",X169="Closed – No response",X169="Lost"),N(Z169)&gt;=Settings!$S$3),"",Y169+Settings!$S$2)</f>
        <v/>
      </c>
      <c r="AB169" s="40"/>
      <c r="AC169" s="41"/>
      <c r="AD169" s="17"/>
      <c r="AE169" s="17"/>
      <c r="AF169" s="17"/>
      <c r="AG169" s="46" t="str">
        <f aca="true">IF(OR(D169="",B169=""),"",INT(TODAY()-B169))</f>
        <v/>
      </c>
      <c r="AH169" s="44" t="str">
        <f aca="true">IF(D169="","",IF(OR(COUNTIFS(Clients!$C$2:$C$501,D169,Clients!$S$2:$S$501,"Paid")&gt;0,AND(H169&lt;&gt;"",COUNTIFS(Clients!$E$2:$E$501,H169,Clients!$S$2:$S$501,"Paid")&gt;0)),"⚠ Refunded before – no free video",IF(OR(X169="Contract signed + paid",X169="Closed – No response",X169="Lost"),"",IF(X169="","Set a stage",IF(AND(X169="Proposal sent",COUNTA(N169:S169)&lt;6),"Score this lead – proposal sent unscored",IF(N(Z169)&gt;=Settings!$S$3,"Close – 4 follow-ups sent",IF(AA169="",IF(Y169="","Make first contact",""),IF(TODAY()&gt;AA169,"OVERDUE follow-up",IF(TODAY()=AA169,"Follow up today","")))))))))</f>
        <v/>
      </c>
    </row>
    <row r="170" customFormat="false" ht="15" hidden="false" customHeight="false" outlineLevel="0" collapsed="false">
      <c r="A170" s="17"/>
      <c r="B170" s="40"/>
      <c r="C170" s="17"/>
      <c r="D170" s="17"/>
      <c r="E170" s="17"/>
      <c r="F170" s="17"/>
      <c r="G170" s="17"/>
      <c r="H170" s="42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44" t="str">
        <f aca="false">IF(OR(D170="",COUNTA(N170:S170)=0),"",SUMIFS(Settings!$AA$2:$AA$21,Settings!$Y$2:$Y$21,"Budget AED 5k+/mo?",Settings!$Z$2:$Z$21,N170)+SUMIFS(Settings!$AA$2:$AA$21,Settings!$Y$2:$Y$21,"Decision-maker?",Settings!$Z$2:$Z$21,O170)+SUMIFS(Settings!$AA$2:$AA$21,Settings!$Y$2:$Y$21,"Someone on camera?",Settings!$Z$2:$Z$21,P170)+SUMIFS(Settings!$AA$2:$AA$21,Settings!$Y$2:$Y$21,"OK with 3-month term?",Settings!$Z$2:$Z$21,Q170)+SUMIFS(Settings!$AA$2:$AA$21,Settings!$Y$2:$Y$21,"Start timeline",Settings!$Z$2:$Z$21,R170)+SUMIFS(Settings!$AA$2:$AA$21,Settings!$Y$2:$Y$21,"Social media gap",Settings!$Z$2:$Z$21,S170)+IF(E170="",0,IF(COUNTIF(Settings!$AC$2:$AC$6,E170)&gt;0,Settings!$AA$20,Settings!$AA$21)))</f>
        <v/>
      </c>
      <c r="U170" s="44" t="str">
        <f aca="false">IF(D170="","",IF(COUNTA(N170:S170)=0,"Not scored",IF(COUNTA(N170:S170)&lt;6,"Partly scored ("&amp;COUNTA(N170:S170)&amp;"/6)",IF(T170&gt;=Settings!$S$8,"Hot",IF(T170&gt;=Settings!$S$9,"Warm","Cold")))))</f>
        <v/>
      </c>
      <c r="V170" s="44" t="str">
        <f aca="false">IF(D170="","",IF(AND(N170="No",P170="No"),"🚩 Budget  ·  🚩 No one on camera",IF(N170="No","🚩 Budget under AED 5k",IF(P170="No","🚩 No one on camera",""))))</f>
        <v/>
      </c>
      <c r="W170" s="17"/>
      <c r="X170" s="17"/>
      <c r="Y170" s="40"/>
      <c r="Z170" s="17"/>
      <c r="AA170" s="45" t="str">
        <f aca="false">IF(OR(D170="",Y170="",OR(X170="Contract signed + paid",X170="Closed – No response",X170="Lost"),N(Z170)&gt;=Settings!$S$3),"",Y170+Settings!$S$2)</f>
        <v/>
      </c>
      <c r="AB170" s="40"/>
      <c r="AC170" s="41"/>
      <c r="AD170" s="17"/>
      <c r="AE170" s="17"/>
      <c r="AF170" s="17"/>
      <c r="AG170" s="46" t="str">
        <f aca="true">IF(OR(D170="",B170=""),"",INT(TODAY()-B170))</f>
        <v/>
      </c>
      <c r="AH170" s="44" t="str">
        <f aca="true">IF(D170="","",IF(OR(COUNTIFS(Clients!$C$2:$C$501,D170,Clients!$S$2:$S$501,"Paid")&gt;0,AND(H170&lt;&gt;"",COUNTIFS(Clients!$E$2:$E$501,H170,Clients!$S$2:$S$501,"Paid")&gt;0)),"⚠ Refunded before – no free video",IF(OR(X170="Contract signed + paid",X170="Closed – No response",X170="Lost"),"",IF(X170="","Set a stage",IF(AND(X170="Proposal sent",COUNTA(N170:S170)&lt;6),"Score this lead – proposal sent unscored",IF(N(Z170)&gt;=Settings!$S$3,"Close – 4 follow-ups sent",IF(AA170="",IF(Y170="","Make first contact",""),IF(TODAY()&gt;AA170,"OVERDUE follow-up",IF(TODAY()=AA170,"Follow up today","")))))))))</f>
        <v/>
      </c>
    </row>
    <row r="171" customFormat="false" ht="15" hidden="false" customHeight="false" outlineLevel="0" collapsed="false">
      <c r="A171" s="17"/>
      <c r="B171" s="40"/>
      <c r="C171" s="17"/>
      <c r="D171" s="17"/>
      <c r="E171" s="17"/>
      <c r="F171" s="17"/>
      <c r="G171" s="17"/>
      <c r="H171" s="42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44" t="str">
        <f aca="false">IF(OR(D171="",COUNTA(N171:S171)=0),"",SUMIFS(Settings!$AA$2:$AA$21,Settings!$Y$2:$Y$21,"Budget AED 5k+/mo?",Settings!$Z$2:$Z$21,N171)+SUMIFS(Settings!$AA$2:$AA$21,Settings!$Y$2:$Y$21,"Decision-maker?",Settings!$Z$2:$Z$21,O171)+SUMIFS(Settings!$AA$2:$AA$21,Settings!$Y$2:$Y$21,"Someone on camera?",Settings!$Z$2:$Z$21,P171)+SUMIFS(Settings!$AA$2:$AA$21,Settings!$Y$2:$Y$21,"OK with 3-month term?",Settings!$Z$2:$Z$21,Q171)+SUMIFS(Settings!$AA$2:$AA$21,Settings!$Y$2:$Y$21,"Start timeline",Settings!$Z$2:$Z$21,R171)+SUMIFS(Settings!$AA$2:$AA$21,Settings!$Y$2:$Y$21,"Social media gap",Settings!$Z$2:$Z$21,S171)+IF(E171="",0,IF(COUNTIF(Settings!$AC$2:$AC$6,E171)&gt;0,Settings!$AA$20,Settings!$AA$21)))</f>
        <v/>
      </c>
      <c r="U171" s="44" t="str">
        <f aca="false">IF(D171="","",IF(COUNTA(N171:S171)=0,"Not scored",IF(COUNTA(N171:S171)&lt;6,"Partly scored ("&amp;COUNTA(N171:S171)&amp;"/6)",IF(T171&gt;=Settings!$S$8,"Hot",IF(T171&gt;=Settings!$S$9,"Warm","Cold")))))</f>
        <v/>
      </c>
      <c r="V171" s="44" t="str">
        <f aca="false">IF(D171="","",IF(AND(N171="No",P171="No"),"🚩 Budget  ·  🚩 No one on camera",IF(N171="No","🚩 Budget under AED 5k",IF(P171="No","🚩 No one on camera",""))))</f>
        <v/>
      </c>
      <c r="W171" s="17"/>
      <c r="X171" s="17"/>
      <c r="Y171" s="40"/>
      <c r="Z171" s="17"/>
      <c r="AA171" s="45" t="str">
        <f aca="false">IF(OR(D171="",Y171="",OR(X171="Contract signed + paid",X171="Closed – No response",X171="Lost"),N(Z171)&gt;=Settings!$S$3),"",Y171+Settings!$S$2)</f>
        <v/>
      </c>
      <c r="AB171" s="40"/>
      <c r="AC171" s="41"/>
      <c r="AD171" s="17"/>
      <c r="AE171" s="17"/>
      <c r="AF171" s="17"/>
      <c r="AG171" s="46" t="str">
        <f aca="true">IF(OR(D171="",B171=""),"",INT(TODAY()-B171))</f>
        <v/>
      </c>
      <c r="AH171" s="44" t="str">
        <f aca="true">IF(D171="","",IF(OR(COUNTIFS(Clients!$C$2:$C$501,D171,Clients!$S$2:$S$501,"Paid")&gt;0,AND(H171&lt;&gt;"",COUNTIFS(Clients!$E$2:$E$501,H171,Clients!$S$2:$S$501,"Paid")&gt;0)),"⚠ Refunded before – no free video",IF(OR(X171="Contract signed + paid",X171="Closed – No response",X171="Lost"),"",IF(X171="","Set a stage",IF(AND(X171="Proposal sent",COUNTA(N171:S171)&lt;6),"Score this lead – proposal sent unscored",IF(N(Z171)&gt;=Settings!$S$3,"Close – 4 follow-ups sent",IF(AA171="",IF(Y171="","Make first contact",""),IF(TODAY()&gt;AA171,"OVERDUE follow-up",IF(TODAY()=AA171,"Follow up today","")))))))))</f>
        <v/>
      </c>
    </row>
    <row r="172" customFormat="false" ht="15" hidden="false" customHeight="false" outlineLevel="0" collapsed="false">
      <c r="A172" s="17"/>
      <c r="B172" s="40"/>
      <c r="C172" s="17"/>
      <c r="D172" s="17"/>
      <c r="E172" s="17"/>
      <c r="F172" s="17"/>
      <c r="G172" s="17"/>
      <c r="H172" s="42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44" t="str">
        <f aca="false">IF(OR(D172="",COUNTA(N172:S172)=0),"",SUMIFS(Settings!$AA$2:$AA$21,Settings!$Y$2:$Y$21,"Budget AED 5k+/mo?",Settings!$Z$2:$Z$21,N172)+SUMIFS(Settings!$AA$2:$AA$21,Settings!$Y$2:$Y$21,"Decision-maker?",Settings!$Z$2:$Z$21,O172)+SUMIFS(Settings!$AA$2:$AA$21,Settings!$Y$2:$Y$21,"Someone on camera?",Settings!$Z$2:$Z$21,P172)+SUMIFS(Settings!$AA$2:$AA$21,Settings!$Y$2:$Y$21,"OK with 3-month term?",Settings!$Z$2:$Z$21,Q172)+SUMIFS(Settings!$AA$2:$AA$21,Settings!$Y$2:$Y$21,"Start timeline",Settings!$Z$2:$Z$21,R172)+SUMIFS(Settings!$AA$2:$AA$21,Settings!$Y$2:$Y$21,"Social media gap",Settings!$Z$2:$Z$21,S172)+IF(E172="",0,IF(COUNTIF(Settings!$AC$2:$AC$6,E172)&gt;0,Settings!$AA$20,Settings!$AA$21)))</f>
        <v/>
      </c>
      <c r="U172" s="44" t="str">
        <f aca="false">IF(D172="","",IF(COUNTA(N172:S172)=0,"Not scored",IF(COUNTA(N172:S172)&lt;6,"Partly scored ("&amp;COUNTA(N172:S172)&amp;"/6)",IF(T172&gt;=Settings!$S$8,"Hot",IF(T172&gt;=Settings!$S$9,"Warm","Cold")))))</f>
        <v/>
      </c>
      <c r="V172" s="44" t="str">
        <f aca="false">IF(D172="","",IF(AND(N172="No",P172="No"),"🚩 Budget  ·  🚩 No one on camera",IF(N172="No","🚩 Budget under AED 5k",IF(P172="No","🚩 No one on camera",""))))</f>
        <v/>
      </c>
      <c r="W172" s="17"/>
      <c r="X172" s="17"/>
      <c r="Y172" s="40"/>
      <c r="Z172" s="17"/>
      <c r="AA172" s="45" t="str">
        <f aca="false">IF(OR(D172="",Y172="",OR(X172="Contract signed + paid",X172="Closed – No response",X172="Lost"),N(Z172)&gt;=Settings!$S$3),"",Y172+Settings!$S$2)</f>
        <v/>
      </c>
      <c r="AB172" s="40"/>
      <c r="AC172" s="41"/>
      <c r="AD172" s="17"/>
      <c r="AE172" s="17"/>
      <c r="AF172" s="17"/>
      <c r="AG172" s="46" t="str">
        <f aca="true">IF(OR(D172="",B172=""),"",INT(TODAY()-B172))</f>
        <v/>
      </c>
      <c r="AH172" s="44" t="str">
        <f aca="true">IF(D172="","",IF(OR(COUNTIFS(Clients!$C$2:$C$501,D172,Clients!$S$2:$S$501,"Paid")&gt;0,AND(H172&lt;&gt;"",COUNTIFS(Clients!$E$2:$E$501,H172,Clients!$S$2:$S$501,"Paid")&gt;0)),"⚠ Refunded before – no free video",IF(OR(X172="Contract signed + paid",X172="Closed – No response",X172="Lost"),"",IF(X172="","Set a stage",IF(AND(X172="Proposal sent",COUNTA(N172:S172)&lt;6),"Score this lead – proposal sent unscored",IF(N(Z172)&gt;=Settings!$S$3,"Close – 4 follow-ups sent",IF(AA172="",IF(Y172="","Make first contact",""),IF(TODAY()&gt;AA172,"OVERDUE follow-up",IF(TODAY()=AA172,"Follow up today","")))))))))</f>
        <v/>
      </c>
    </row>
    <row r="173" customFormat="false" ht="15" hidden="false" customHeight="false" outlineLevel="0" collapsed="false">
      <c r="A173" s="17"/>
      <c r="B173" s="40"/>
      <c r="C173" s="17"/>
      <c r="D173" s="17"/>
      <c r="E173" s="17"/>
      <c r="F173" s="17"/>
      <c r="G173" s="17"/>
      <c r="H173" s="42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44" t="str">
        <f aca="false">IF(OR(D173="",COUNTA(N173:S173)=0),"",SUMIFS(Settings!$AA$2:$AA$21,Settings!$Y$2:$Y$21,"Budget AED 5k+/mo?",Settings!$Z$2:$Z$21,N173)+SUMIFS(Settings!$AA$2:$AA$21,Settings!$Y$2:$Y$21,"Decision-maker?",Settings!$Z$2:$Z$21,O173)+SUMIFS(Settings!$AA$2:$AA$21,Settings!$Y$2:$Y$21,"Someone on camera?",Settings!$Z$2:$Z$21,P173)+SUMIFS(Settings!$AA$2:$AA$21,Settings!$Y$2:$Y$21,"OK with 3-month term?",Settings!$Z$2:$Z$21,Q173)+SUMIFS(Settings!$AA$2:$AA$21,Settings!$Y$2:$Y$21,"Start timeline",Settings!$Z$2:$Z$21,R173)+SUMIFS(Settings!$AA$2:$AA$21,Settings!$Y$2:$Y$21,"Social media gap",Settings!$Z$2:$Z$21,S173)+IF(E173="",0,IF(COUNTIF(Settings!$AC$2:$AC$6,E173)&gt;0,Settings!$AA$20,Settings!$AA$21)))</f>
        <v/>
      </c>
      <c r="U173" s="44" t="str">
        <f aca="false">IF(D173="","",IF(COUNTA(N173:S173)=0,"Not scored",IF(COUNTA(N173:S173)&lt;6,"Partly scored ("&amp;COUNTA(N173:S173)&amp;"/6)",IF(T173&gt;=Settings!$S$8,"Hot",IF(T173&gt;=Settings!$S$9,"Warm","Cold")))))</f>
        <v/>
      </c>
      <c r="V173" s="44" t="str">
        <f aca="false">IF(D173="","",IF(AND(N173="No",P173="No"),"🚩 Budget  ·  🚩 No one on camera",IF(N173="No","🚩 Budget under AED 5k",IF(P173="No","🚩 No one on camera",""))))</f>
        <v/>
      </c>
      <c r="W173" s="17"/>
      <c r="X173" s="17"/>
      <c r="Y173" s="40"/>
      <c r="Z173" s="17"/>
      <c r="AA173" s="45" t="str">
        <f aca="false">IF(OR(D173="",Y173="",OR(X173="Contract signed + paid",X173="Closed – No response",X173="Lost"),N(Z173)&gt;=Settings!$S$3),"",Y173+Settings!$S$2)</f>
        <v/>
      </c>
      <c r="AB173" s="40"/>
      <c r="AC173" s="41"/>
      <c r="AD173" s="17"/>
      <c r="AE173" s="17"/>
      <c r="AF173" s="17"/>
      <c r="AG173" s="46" t="str">
        <f aca="true">IF(OR(D173="",B173=""),"",INT(TODAY()-B173))</f>
        <v/>
      </c>
      <c r="AH173" s="44" t="str">
        <f aca="true">IF(D173="","",IF(OR(COUNTIFS(Clients!$C$2:$C$501,D173,Clients!$S$2:$S$501,"Paid")&gt;0,AND(H173&lt;&gt;"",COUNTIFS(Clients!$E$2:$E$501,H173,Clients!$S$2:$S$501,"Paid")&gt;0)),"⚠ Refunded before – no free video",IF(OR(X173="Contract signed + paid",X173="Closed – No response",X173="Lost"),"",IF(X173="","Set a stage",IF(AND(X173="Proposal sent",COUNTA(N173:S173)&lt;6),"Score this lead – proposal sent unscored",IF(N(Z173)&gt;=Settings!$S$3,"Close – 4 follow-ups sent",IF(AA173="",IF(Y173="","Make first contact",""),IF(TODAY()&gt;AA173,"OVERDUE follow-up",IF(TODAY()=AA173,"Follow up today","")))))))))</f>
        <v/>
      </c>
    </row>
    <row r="174" customFormat="false" ht="15" hidden="false" customHeight="false" outlineLevel="0" collapsed="false">
      <c r="A174" s="17"/>
      <c r="B174" s="40"/>
      <c r="C174" s="17"/>
      <c r="D174" s="17"/>
      <c r="E174" s="17"/>
      <c r="F174" s="17"/>
      <c r="G174" s="17"/>
      <c r="H174" s="42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44" t="str">
        <f aca="false">IF(OR(D174="",COUNTA(N174:S174)=0),"",SUMIFS(Settings!$AA$2:$AA$21,Settings!$Y$2:$Y$21,"Budget AED 5k+/mo?",Settings!$Z$2:$Z$21,N174)+SUMIFS(Settings!$AA$2:$AA$21,Settings!$Y$2:$Y$21,"Decision-maker?",Settings!$Z$2:$Z$21,O174)+SUMIFS(Settings!$AA$2:$AA$21,Settings!$Y$2:$Y$21,"Someone on camera?",Settings!$Z$2:$Z$21,P174)+SUMIFS(Settings!$AA$2:$AA$21,Settings!$Y$2:$Y$21,"OK with 3-month term?",Settings!$Z$2:$Z$21,Q174)+SUMIFS(Settings!$AA$2:$AA$21,Settings!$Y$2:$Y$21,"Start timeline",Settings!$Z$2:$Z$21,R174)+SUMIFS(Settings!$AA$2:$AA$21,Settings!$Y$2:$Y$21,"Social media gap",Settings!$Z$2:$Z$21,S174)+IF(E174="",0,IF(COUNTIF(Settings!$AC$2:$AC$6,E174)&gt;0,Settings!$AA$20,Settings!$AA$21)))</f>
        <v/>
      </c>
      <c r="U174" s="44" t="str">
        <f aca="false">IF(D174="","",IF(COUNTA(N174:S174)=0,"Not scored",IF(COUNTA(N174:S174)&lt;6,"Partly scored ("&amp;COUNTA(N174:S174)&amp;"/6)",IF(T174&gt;=Settings!$S$8,"Hot",IF(T174&gt;=Settings!$S$9,"Warm","Cold")))))</f>
        <v/>
      </c>
      <c r="V174" s="44" t="str">
        <f aca="false">IF(D174="","",IF(AND(N174="No",P174="No"),"🚩 Budget  ·  🚩 No one on camera",IF(N174="No","🚩 Budget under AED 5k",IF(P174="No","🚩 No one on camera",""))))</f>
        <v/>
      </c>
      <c r="W174" s="17"/>
      <c r="X174" s="17"/>
      <c r="Y174" s="40"/>
      <c r="Z174" s="17"/>
      <c r="AA174" s="45" t="str">
        <f aca="false">IF(OR(D174="",Y174="",OR(X174="Contract signed + paid",X174="Closed – No response",X174="Lost"),N(Z174)&gt;=Settings!$S$3),"",Y174+Settings!$S$2)</f>
        <v/>
      </c>
      <c r="AB174" s="40"/>
      <c r="AC174" s="41"/>
      <c r="AD174" s="17"/>
      <c r="AE174" s="17"/>
      <c r="AF174" s="17"/>
      <c r="AG174" s="46" t="str">
        <f aca="true">IF(OR(D174="",B174=""),"",INT(TODAY()-B174))</f>
        <v/>
      </c>
      <c r="AH174" s="44" t="str">
        <f aca="true">IF(D174="","",IF(OR(COUNTIFS(Clients!$C$2:$C$501,D174,Clients!$S$2:$S$501,"Paid")&gt;0,AND(H174&lt;&gt;"",COUNTIFS(Clients!$E$2:$E$501,H174,Clients!$S$2:$S$501,"Paid")&gt;0)),"⚠ Refunded before – no free video",IF(OR(X174="Contract signed + paid",X174="Closed – No response",X174="Lost"),"",IF(X174="","Set a stage",IF(AND(X174="Proposal sent",COUNTA(N174:S174)&lt;6),"Score this lead – proposal sent unscored",IF(N(Z174)&gt;=Settings!$S$3,"Close – 4 follow-ups sent",IF(AA174="",IF(Y174="","Make first contact",""),IF(TODAY()&gt;AA174,"OVERDUE follow-up",IF(TODAY()=AA174,"Follow up today","")))))))))</f>
        <v/>
      </c>
    </row>
    <row r="175" customFormat="false" ht="15" hidden="false" customHeight="false" outlineLevel="0" collapsed="false">
      <c r="A175" s="17"/>
      <c r="B175" s="40"/>
      <c r="C175" s="17"/>
      <c r="D175" s="17"/>
      <c r="E175" s="17"/>
      <c r="F175" s="17"/>
      <c r="G175" s="17"/>
      <c r="H175" s="42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44" t="str">
        <f aca="false">IF(OR(D175="",COUNTA(N175:S175)=0),"",SUMIFS(Settings!$AA$2:$AA$21,Settings!$Y$2:$Y$21,"Budget AED 5k+/mo?",Settings!$Z$2:$Z$21,N175)+SUMIFS(Settings!$AA$2:$AA$21,Settings!$Y$2:$Y$21,"Decision-maker?",Settings!$Z$2:$Z$21,O175)+SUMIFS(Settings!$AA$2:$AA$21,Settings!$Y$2:$Y$21,"Someone on camera?",Settings!$Z$2:$Z$21,P175)+SUMIFS(Settings!$AA$2:$AA$21,Settings!$Y$2:$Y$21,"OK with 3-month term?",Settings!$Z$2:$Z$21,Q175)+SUMIFS(Settings!$AA$2:$AA$21,Settings!$Y$2:$Y$21,"Start timeline",Settings!$Z$2:$Z$21,R175)+SUMIFS(Settings!$AA$2:$AA$21,Settings!$Y$2:$Y$21,"Social media gap",Settings!$Z$2:$Z$21,S175)+IF(E175="",0,IF(COUNTIF(Settings!$AC$2:$AC$6,E175)&gt;0,Settings!$AA$20,Settings!$AA$21)))</f>
        <v/>
      </c>
      <c r="U175" s="44" t="str">
        <f aca="false">IF(D175="","",IF(COUNTA(N175:S175)=0,"Not scored",IF(COUNTA(N175:S175)&lt;6,"Partly scored ("&amp;COUNTA(N175:S175)&amp;"/6)",IF(T175&gt;=Settings!$S$8,"Hot",IF(T175&gt;=Settings!$S$9,"Warm","Cold")))))</f>
        <v/>
      </c>
      <c r="V175" s="44" t="str">
        <f aca="false">IF(D175="","",IF(AND(N175="No",P175="No"),"🚩 Budget  ·  🚩 No one on camera",IF(N175="No","🚩 Budget under AED 5k",IF(P175="No","🚩 No one on camera",""))))</f>
        <v/>
      </c>
      <c r="W175" s="17"/>
      <c r="X175" s="17"/>
      <c r="Y175" s="40"/>
      <c r="Z175" s="17"/>
      <c r="AA175" s="45" t="str">
        <f aca="false">IF(OR(D175="",Y175="",OR(X175="Contract signed + paid",X175="Closed – No response",X175="Lost"),N(Z175)&gt;=Settings!$S$3),"",Y175+Settings!$S$2)</f>
        <v/>
      </c>
      <c r="AB175" s="40"/>
      <c r="AC175" s="41"/>
      <c r="AD175" s="17"/>
      <c r="AE175" s="17"/>
      <c r="AF175" s="17"/>
      <c r="AG175" s="46" t="str">
        <f aca="true">IF(OR(D175="",B175=""),"",INT(TODAY()-B175))</f>
        <v/>
      </c>
      <c r="AH175" s="44" t="str">
        <f aca="true">IF(D175="","",IF(OR(COUNTIFS(Clients!$C$2:$C$501,D175,Clients!$S$2:$S$501,"Paid")&gt;0,AND(H175&lt;&gt;"",COUNTIFS(Clients!$E$2:$E$501,H175,Clients!$S$2:$S$501,"Paid")&gt;0)),"⚠ Refunded before – no free video",IF(OR(X175="Contract signed + paid",X175="Closed – No response",X175="Lost"),"",IF(X175="","Set a stage",IF(AND(X175="Proposal sent",COUNTA(N175:S175)&lt;6),"Score this lead – proposal sent unscored",IF(N(Z175)&gt;=Settings!$S$3,"Close – 4 follow-ups sent",IF(AA175="",IF(Y175="","Make first contact",""),IF(TODAY()&gt;AA175,"OVERDUE follow-up",IF(TODAY()=AA175,"Follow up today","")))))))))</f>
        <v/>
      </c>
    </row>
    <row r="176" customFormat="false" ht="15" hidden="false" customHeight="false" outlineLevel="0" collapsed="false">
      <c r="A176" s="17"/>
      <c r="B176" s="40"/>
      <c r="C176" s="17"/>
      <c r="D176" s="17"/>
      <c r="E176" s="17"/>
      <c r="F176" s="17"/>
      <c r="G176" s="17"/>
      <c r="H176" s="42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44" t="str">
        <f aca="false">IF(OR(D176="",COUNTA(N176:S176)=0),"",SUMIFS(Settings!$AA$2:$AA$21,Settings!$Y$2:$Y$21,"Budget AED 5k+/mo?",Settings!$Z$2:$Z$21,N176)+SUMIFS(Settings!$AA$2:$AA$21,Settings!$Y$2:$Y$21,"Decision-maker?",Settings!$Z$2:$Z$21,O176)+SUMIFS(Settings!$AA$2:$AA$21,Settings!$Y$2:$Y$21,"Someone on camera?",Settings!$Z$2:$Z$21,P176)+SUMIFS(Settings!$AA$2:$AA$21,Settings!$Y$2:$Y$21,"OK with 3-month term?",Settings!$Z$2:$Z$21,Q176)+SUMIFS(Settings!$AA$2:$AA$21,Settings!$Y$2:$Y$21,"Start timeline",Settings!$Z$2:$Z$21,R176)+SUMIFS(Settings!$AA$2:$AA$21,Settings!$Y$2:$Y$21,"Social media gap",Settings!$Z$2:$Z$21,S176)+IF(E176="",0,IF(COUNTIF(Settings!$AC$2:$AC$6,E176)&gt;0,Settings!$AA$20,Settings!$AA$21)))</f>
        <v/>
      </c>
      <c r="U176" s="44" t="str">
        <f aca="false">IF(D176="","",IF(COUNTA(N176:S176)=0,"Not scored",IF(COUNTA(N176:S176)&lt;6,"Partly scored ("&amp;COUNTA(N176:S176)&amp;"/6)",IF(T176&gt;=Settings!$S$8,"Hot",IF(T176&gt;=Settings!$S$9,"Warm","Cold")))))</f>
        <v/>
      </c>
      <c r="V176" s="44" t="str">
        <f aca="false">IF(D176="","",IF(AND(N176="No",P176="No"),"🚩 Budget  ·  🚩 No one on camera",IF(N176="No","🚩 Budget under AED 5k",IF(P176="No","🚩 No one on camera",""))))</f>
        <v/>
      </c>
      <c r="W176" s="17"/>
      <c r="X176" s="17"/>
      <c r="Y176" s="40"/>
      <c r="Z176" s="17"/>
      <c r="AA176" s="45" t="str">
        <f aca="false">IF(OR(D176="",Y176="",OR(X176="Contract signed + paid",X176="Closed – No response",X176="Lost"),N(Z176)&gt;=Settings!$S$3),"",Y176+Settings!$S$2)</f>
        <v/>
      </c>
      <c r="AB176" s="40"/>
      <c r="AC176" s="41"/>
      <c r="AD176" s="17"/>
      <c r="AE176" s="17"/>
      <c r="AF176" s="17"/>
      <c r="AG176" s="46" t="str">
        <f aca="true">IF(OR(D176="",B176=""),"",INT(TODAY()-B176))</f>
        <v/>
      </c>
      <c r="AH176" s="44" t="str">
        <f aca="true">IF(D176="","",IF(OR(COUNTIFS(Clients!$C$2:$C$501,D176,Clients!$S$2:$S$501,"Paid")&gt;0,AND(H176&lt;&gt;"",COUNTIFS(Clients!$E$2:$E$501,H176,Clients!$S$2:$S$501,"Paid")&gt;0)),"⚠ Refunded before – no free video",IF(OR(X176="Contract signed + paid",X176="Closed – No response",X176="Lost"),"",IF(X176="","Set a stage",IF(AND(X176="Proposal sent",COUNTA(N176:S176)&lt;6),"Score this lead – proposal sent unscored",IF(N(Z176)&gt;=Settings!$S$3,"Close – 4 follow-ups sent",IF(AA176="",IF(Y176="","Make first contact",""),IF(TODAY()&gt;AA176,"OVERDUE follow-up",IF(TODAY()=AA176,"Follow up today","")))))))))</f>
        <v/>
      </c>
    </row>
    <row r="177" customFormat="false" ht="15" hidden="false" customHeight="false" outlineLevel="0" collapsed="false">
      <c r="A177" s="17"/>
      <c r="B177" s="40"/>
      <c r="C177" s="17"/>
      <c r="D177" s="17"/>
      <c r="E177" s="17"/>
      <c r="F177" s="17"/>
      <c r="G177" s="17"/>
      <c r="H177" s="42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44" t="str">
        <f aca="false">IF(OR(D177="",COUNTA(N177:S177)=0),"",SUMIFS(Settings!$AA$2:$AA$21,Settings!$Y$2:$Y$21,"Budget AED 5k+/mo?",Settings!$Z$2:$Z$21,N177)+SUMIFS(Settings!$AA$2:$AA$21,Settings!$Y$2:$Y$21,"Decision-maker?",Settings!$Z$2:$Z$21,O177)+SUMIFS(Settings!$AA$2:$AA$21,Settings!$Y$2:$Y$21,"Someone on camera?",Settings!$Z$2:$Z$21,P177)+SUMIFS(Settings!$AA$2:$AA$21,Settings!$Y$2:$Y$21,"OK with 3-month term?",Settings!$Z$2:$Z$21,Q177)+SUMIFS(Settings!$AA$2:$AA$21,Settings!$Y$2:$Y$21,"Start timeline",Settings!$Z$2:$Z$21,R177)+SUMIFS(Settings!$AA$2:$AA$21,Settings!$Y$2:$Y$21,"Social media gap",Settings!$Z$2:$Z$21,S177)+IF(E177="",0,IF(COUNTIF(Settings!$AC$2:$AC$6,E177)&gt;0,Settings!$AA$20,Settings!$AA$21)))</f>
        <v/>
      </c>
      <c r="U177" s="44" t="str">
        <f aca="false">IF(D177="","",IF(COUNTA(N177:S177)=0,"Not scored",IF(COUNTA(N177:S177)&lt;6,"Partly scored ("&amp;COUNTA(N177:S177)&amp;"/6)",IF(T177&gt;=Settings!$S$8,"Hot",IF(T177&gt;=Settings!$S$9,"Warm","Cold")))))</f>
        <v/>
      </c>
      <c r="V177" s="44" t="str">
        <f aca="false">IF(D177="","",IF(AND(N177="No",P177="No"),"🚩 Budget  ·  🚩 No one on camera",IF(N177="No","🚩 Budget under AED 5k",IF(P177="No","🚩 No one on camera",""))))</f>
        <v/>
      </c>
      <c r="W177" s="17"/>
      <c r="X177" s="17"/>
      <c r="Y177" s="40"/>
      <c r="Z177" s="17"/>
      <c r="AA177" s="45" t="str">
        <f aca="false">IF(OR(D177="",Y177="",OR(X177="Contract signed + paid",X177="Closed – No response",X177="Lost"),N(Z177)&gt;=Settings!$S$3),"",Y177+Settings!$S$2)</f>
        <v/>
      </c>
      <c r="AB177" s="40"/>
      <c r="AC177" s="41"/>
      <c r="AD177" s="17"/>
      <c r="AE177" s="17"/>
      <c r="AF177" s="17"/>
      <c r="AG177" s="46" t="str">
        <f aca="true">IF(OR(D177="",B177=""),"",INT(TODAY()-B177))</f>
        <v/>
      </c>
      <c r="AH177" s="44" t="str">
        <f aca="true">IF(D177="","",IF(OR(COUNTIFS(Clients!$C$2:$C$501,D177,Clients!$S$2:$S$501,"Paid")&gt;0,AND(H177&lt;&gt;"",COUNTIFS(Clients!$E$2:$E$501,H177,Clients!$S$2:$S$501,"Paid")&gt;0)),"⚠ Refunded before – no free video",IF(OR(X177="Contract signed + paid",X177="Closed – No response",X177="Lost"),"",IF(X177="","Set a stage",IF(AND(X177="Proposal sent",COUNTA(N177:S177)&lt;6),"Score this lead – proposal sent unscored",IF(N(Z177)&gt;=Settings!$S$3,"Close – 4 follow-ups sent",IF(AA177="",IF(Y177="","Make first contact",""),IF(TODAY()&gt;AA177,"OVERDUE follow-up",IF(TODAY()=AA177,"Follow up today","")))))))))</f>
        <v/>
      </c>
    </row>
    <row r="178" customFormat="false" ht="15" hidden="false" customHeight="false" outlineLevel="0" collapsed="false">
      <c r="A178" s="17"/>
      <c r="B178" s="40"/>
      <c r="C178" s="17"/>
      <c r="D178" s="17"/>
      <c r="E178" s="17"/>
      <c r="F178" s="17"/>
      <c r="G178" s="17"/>
      <c r="H178" s="42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44" t="str">
        <f aca="false">IF(OR(D178="",COUNTA(N178:S178)=0),"",SUMIFS(Settings!$AA$2:$AA$21,Settings!$Y$2:$Y$21,"Budget AED 5k+/mo?",Settings!$Z$2:$Z$21,N178)+SUMIFS(Settings!$AA$2:$AA$21,Settings!$Y$2:$Y$21,"Decision-maker?",Settings!$Z$2:$Z$21,O178)+SUMIFS(Settings!$AA$2:$AA$21,Settings!$Y$2:$Y$21,"Someone on camera?",Settings!$Z$2:$Z$21,P178)+SUMIFS(Settings!$AA$2:$AA$21,Settings!$Y$2:$Y$21,"OK with 3-month term?",Settings!$Z$2:$Z$21,Q178)+SUMIFS(Settings!$AA$2:$AA$21,Settings!$Y$2:$Y$21,"Start timeline",Settings!$Z$2:$Z$21,R178)+SUMIFS(Settings!$AA$2:$AA$21,Settings!$Y$2:$Y$21,"Social media gap",Settings!$Z$2:$Z$21,S178)+IF(E178="",0,IF(COUNTIF(Settings!$AC$2:$AC$6,E178)&gt;0,Settings!$AA$20,Settings!$AA$21)))</f>
        <v/>
      </c>
      <c r="U178" s="44" t="str">
        <f aca="false">IF(D178="","",IF(COUNTA(N178:S178)=0,"Not scored",IF(COUNTA(N178:S178)&lt;6,"Partly scored ("&amp;COUNTA(N178:S178)&amp;"/6)",IF(T178&gt;=Settings!$S$8,"Hot",IF(T178&gt;=Settings!$S$9,"Warm","Cold")))))</f>
        <v/>
      </c>
      <c r="V178" s="44" t="str">
        <f aca="false">IF(D178="","",IF(AND(N178="No",P178="No"),"🚩 Budget  ·  🚩 No one on camera",IF(N178="No","🚩 Budget under AED 5k",IF(P178="No","🚩 No one on camera",""))))</f>
        <v/>
      </c>
      <c r="W178" s="17"/>
      <c r="X178" s="17"/>
      <c r="Y178" s="40"/>
      <c r="Z178" s="17"/>
      <c r="AA178" s="45" t="str">
        <f aca="false">IF(OR(D178="",Y178="",OR(X178="Contract signed + paid",X178="Closed – No response",X178="Lost"),N(Z178)&gt;=Settings!$S$3),"",Y178+Settings!$S$2)</f>
        <v/>
      </c>
      <c r="AB178" s="40"/>
      <c r="AC178" s="41"/>
      <c r="AD178" s="17"/>
      <c r="AE178" s="17"/>
      <c r="AF178" s="17"/>
      <c r="AG178" s="46" t="str">
        <f aca="true">IF(OR(D178="",B178=""),"",INT(TODAY()-B178))</f>
        <v/>
      </c>
      <c r="AH178" s="44" t="str">
        <f aca="true">IF(D178="","",IF(OR(COUNTIFS(Clients!$C$2:$C$501,D178,Clients!$S$2:$S$501,"Paid")&gt;0,AND(H178&lt;&gt;"",COUNTIFS(Clients!$E$2:$E$501,H178,Clients!$S$2:$S$501,"Paid")&gt;0)),"⚠ Refunded before – no free video",IF(OR(X178="Contract signed + paid",X178="Closed – No response",X178="Lost"),"",IF(X178="","Set a stage",IF(AND(X178="Proposal sent",COUNTA(N178:S178)&lt;6),"Score this lead – proposal sent unscored",IF(N(Z178)&gt;=Settings!$S$3,"Close – 4 follow-ups sent",IF(AA178="",IF(Y178="","Make first contact",""),IF(TODAY()&gt;AA178,"OVERDUE follow-up",IF(TODAY()=AA178,"Follow up today","")))))))))</f>
        <v/>
      </c>
    </row>
    <row r="179" customFormat="false" ht="15" hidden="false" customHeight="false" outlineLevel="0" collapsed="false">
      <c r="A179" s="17"/>
      <c r="B179" s="40"/>
      <c r="C179" s="17"/>
      <c r="D179" s="17"/>
      <c r="E179" s="17"/>
      <c r="F179" s="17"/>
      <c r="G179" s="17"/>
      <c r="H179" s="42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44" t="str">
        <f aca="false">IF(OR(D179="",COUNTA(N179:S179)=0),"",SUMIFS(Settings!$AA$2:$AA$21,Settings!$Y$2:$Y$21,"Budget AED 5k+/mo?",Settings!$Z$2:$Z$21,N179)+SUMIFS(Settings!$AA$2:$AA$21,Settings!$Y$2:$Y$21,"Decision-maker?",Settings!$Z$2:$Z$21,O179)+SUMIFS(Settings!$AA$2:$AA$21,Settings!$Y$2:$Y$21,"Someone on camera?",Settings!$Z$2:$Z$21,P179)+SUMIFS(Settings!$AA$2:$AA$21,Settings!$Y$2:$Y$21,"OK with 3-month term?",Settings!$Z$2:$Z$21,Q179)+SUMIFS(Settings!$AA$2:$AA$21,Settings!$Y$2:$Y$21,"Start timeline",Settings!$Z$2:$Z$21,R179)+SUMIFS(Settings!$AA$2:$AA$21,Settings!$Y$2:$Y$21,"Social media gap",Settings!$Z$2:$Z$21,S179)+IF(E179="",0,IF(COUNTIF(Settings!$AC$2:$AC$6,E179)&gt;0,Settings!$AA$20,Settings!$AA$21)))</f>
        <v/>
      </c>
      <c r="U179" s="44" t="str">
        <f aca="false">IF(D179="","",IF(COUNTA(N179:S179)=0,"Not scored",IF(COUNTA(N179:S179)&lt;6,"Partly scored ("&amp;COUNTA(N179:S179)&amp;"/6)",IF(T179&gt;=Settings!$S$8,"Hot",IF(T179&gt;=Settings!$S$9,"Warm","Cold")))))</f>
        <v/>
      </c>
      <c r="V179" s="44" t="str">
        <f aca="false">IF(D179="","",IF(AND(N179="No",P179="No"),"🚩 Budget  ·  🚩 No one on camera",IF(N179="No","🚩 Budget under AED 5k",IF(P179="No","🚩 No one on camera",""))))</f>
        <v/>
      </c>
      <c r="W179" s="17"/>
      <c r="X179" s="17"/>
      <c r="Y179" s="40"/>
      <c r="Z179" s="17"/>
      <c r="AA179" s="45" t="str">
        <f aca="false">IF(OR(D179="",Y179="",OR(X179="Contract signed + paid",X179="Closed – No response",X179="Lost"),N(Z179)&gt;=Settings!$S$3),"",Y179+Settings!$S$2)</f>
        <v/>
      </c>
      <c r="AB179" s="40"/>
      <c r="AC179" s="41"/>
      <c r="AD179" s="17"/>
      <c r="AE179" s="17"/>
      <c r="AF179" s="17"/>
      <c r="AG179" s="46" t="str">
        <f aca="true">IF(OR(D179="",B179=""),"",INT(TODAY()-B179))</f>
        <v/>
      </c>
      <c r="AH179" s="44" t="str">
        <f aca="true">IF(D179="","",IF(OR(COUNTIFS(Clients!$C$2:$C$501,D179,Clients!$S$2:$S$501,"Paid")&gt;0,AND(H179&lt;&gt;"",COUNTIFS(Clients!$E$2:$E$501,H179,Clients!$S$2:$S$501,"Paid")&gt;0)),"⚠ Refunded before – no free video",IF(OR(X179="Contract signed + paid",X179="Closed – No response",X179="Lost"),"",IF(X179="","Set a stage",IF(AND(X179="Proposal sent",COUNTA(N179:S179)&lt;6),"Score this lead – proposal sent unscored",IF(N(Z179)&gt;=Settings!$S$3,"Close – 4 follow-ups sent",IF(AA179="",IF(Y179="","Make first contact",""),IF(TODAY()&gt;AA179,"OVERDUE follow-up",IF(TODAY()=AA179,"Follow up today","")))))))))</f>
        <v/>
      </c>
    </row>
    <row r="180" customFormat="false" ht="15" hidden="false" customHeight="false" outlineLevel="0" collapsed="false">
      <c r="A180" s="17"/>
      <c r="B180" s="40"/>
      <c r="C180" s="17"/>
      <c r="D180" s="17"/>
      <c r="E180" s="17"/>
      <c r="F180" s="17"/>
      <c r="G180" s="17"/>
      <c r="H180" s="42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44" t="str">
        <f aca="false">IF(OR(D180="",COUNTA(N180:S180)=0),"",SUMIFS(Settings!$AA$2:$AA$21,Settings!$Y$2:$Y$21,"Budget AED 5k+/mo?",Settings!$Z$2:$Z$21,N180)+SUMIFS(Settings!$AA$2:$AA$21,Settings!$Y$2:$Y$21,"Decision-maker?",Settings!$Z$2:$Z$21,O180)+SUMIFS(Settings!$AA$2:$AA$21,Settings!$Y$2:$Y$21,"Someone on camera?",Settings!$Z$2:$Z$21,P180)+SUMIFS(Settings!$AA$2:$AA$21,Settings!$Y$2:$Y$21,"OK with 3-month term?",Settings!$Z$2:$Z$21,Q180)+SUMIFS(Settings!$AA$2:$AA$21,Settings!$Y$2:$Y$21,"Start timeline",Settings!$Z$2:$Z$21,R180)+SUMIFS(Settings!$AA$2:$AA$21,Settings!$Y$2:$Y$21,"Social media gap",Settings!$Z$2:$Z$21,S180)+IF(E180="",0,IF(COUNTIF(Settings!$AC$2:$AC$6,E180)&gt;0,Settings!$AA$20,Settings!$AA$21)))</f>
        <v/>
      </c>
      <c r="U180" s="44" t="str">
        <f aca="false">IF(D180="","",IF(COUNTA(N180:S180)=0,"Not scored",IF(COUNTA(N180:S180)&lt;6,"Partly scored ("&amp;COUNTA(N180:S180)&amp;"/6)",IF(T180&gt;=Settings!$S$8,"Hot",IF(T180&gt;=Settings!$S$9,"Warm","Cold")))))</f>
        <v/>
      </c>
      <c r="V180" s="44" t="str">
        <f aca="false">IF(D180="","",IF(AND(N180="No",P180="No"),"🚩 Budget  ·  🚩 No one on camera",IF(N180="No","🚩 Budget under AED 5k",IF(P180="No","🚩 No one on camera",""))))</f>
        <v/>
      </c>
      <c r="W180" s="17"/>
      <c r="X180" s="17"/>
      <c r="Y180" s="40"/>
      <c r="Z180" s="17"/>
      <c r="AA180" s="45" t="str">
        <f aca="false">IF(OR(D180="",Y180="",OR(X180="Contract signed + paid",X180="Closed – No response",X180="Lost"),N(Z180)&gt;=Settings!$S$3),"",Y180+Settings!$S$2)</f>
        <v/>
      </c>
      <c r="AB180" s="40"/>
      <c r="AC180" s="41"/>
      <c r="AD180" s="17"/>
      <c r="AE180" s="17"/>
      <c r="AF180" s="17"/>
      <c r="AG180" s="46" t="str">
        <f aca="true">IF(OR(D180="",B180=""),"",INT(TODAY()-B180))</f>
        <v/>
      </c>
      <c r="AH180" s="44" t="str">
        <f aca="true">IF(D180="","",IF(OR(COUNTIFS(Clients!$C$2:$C$501,D180,Clients!$S$2:$S$501,"Paid")&gt;0,AND(H180&lt;&gt;"",COUNTIFS(Clients!$E$2:$E$501,H180,Clients!$S$2:$S$501,"Paid")&gt;0)),"⚠ Refunded before – no free video",IF(OR(X180="Contract signed + paid",X180="Closed – No response",X180="Lost"),"",IF(X180="","Set a stage",IF(AND(X180="Proposal sent",COUNTA(N180:S180)&lt;6),"Score this lead – proposal sent unscored",IF(N(Z180)&gt;=Settings!$S$3,"Close – 4 follow-ups sent",IF(AA180="",IF(Y180="","Make first contact",""),IF(TODAY()&gt;AA180,"OVERDUE follow-up",IF(TODAY()=AA180,"Follow up today","")))))))))</f>
        <v/>
      </c>
    </row>
    <row r="181" customFormat="false" ht="15" hidden="false" customHeight="false" outlineLevel="0" collapsed="false">
      <c r="A181" s="17"/>
      <c r="B181" s="40"/>
      <c r="C181" s="17"/>
      <c r="D181" s="17"/>
      <c r="E181" s="17"/>
      <c r="F181" s="17"/>
      <c r="G181" s="17"/>
      <c r="H181" s="42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44" t="str">
        <f aca="false">IF(OR(D181="",COUNTA(N181:S181)=0),"",SUMIFS(Settings!$AA$2:$AA$21,Settings!$Y$2:$Y$21,"Budget AED 5k+/mo?",Settings!$Z$2:$Z$21,N181)+SUMIFS(Settings!$AA$2:$AA$21,Settings!$Y$2:$Y$21,"Decision-maker?",Settings!$Z$2:$Z$21,O181)+SUMIFS(Settings!$AA$2:$AA$21,Settings!$Y$2:$Y$21,"Someone on camera?",Settings!$Z$2:$Z$21,P181)+SUMIFS(Settings!$AA$2:$AA$21,Settings!$Y$2:$Y$21,"OK with 3-month term?",Settings!$Z$2:$Z$21,Q181)+SUMIFS(Settings!$AA$2:$AA$21,Settings!$Y$2:$Y$21,"Start timeline",Settings!$Z$2:$Z$21,R181)+SUMIFS(Settings!$AA$2:$AA$21,Settings!$Y$2:$Y$21,"Social media gap",Settings!$Z$2:$Z$21,S181)+IF(E181="",0,IF(COUNTIF(Settings!$AC$2:$AC$6,E181)&gt;0,Settings!$AA$20,Settings!$AA$21)))</f>
        <v/>
      </c>
      <c r="U181" s="44" t="str">
        <f aca="false">IF(D181="","",IF(COUNTA(N181:S181)=0,"Not scored",IF(COUNTA(N181:S181)&lt;6,"Partly scored ("&amp;COUNTA(N181:S181)&amp;"/6)",IF(T181&gt;=Settings!$S$8,"Hot",IF(T181&gt;=Settings!$S$9,"Warm","Cold")))))</f>
        <v/>
      </c>
      <c r="V181" s="44" t="str">
        <f aca="false">IF(D181="","",IF(AND(N181="No",P181="No"),"🚩 Budget  ·  🚩 No one on camera",IF(N181="No","🚩 Budget under AED 5k",IF(P181="No","🚩 No one on camera",""))))</f>
        <v/>
      </c>
      <c r="W181" s="17"/>
      <c r="X181" s="17"/>
      <c r="Y181" s="40"/>
      <c r="Z181" s="17"/>
      <c r="AA181" s="45" t="str">
        <f aca="false">IF(OR(D181="",Y181="",OR(X181="Contract signed + paid",X181="Closed – No response",X181="Lost"),N(Z181)&gt;=Settings!$S$3),"",Y181+Settings!$S$2)</f>
        <v/>
      </c>
      <c r="AB181" s="40"/>
      <c r="AC181" s="41"/>
      <c r="AD181" s="17"/>
      <c r="AE181" s="17"/>
      <c r="AF181" s="17"/>
      <c r="AG181" s="46" t="str">
        <f aca="true">IF(OR(D181="",B181=""),"",INT(TODAY()-B181))</f>
        <v/>
      </c>
      <c r="AH181" s="44" t="str">
        <f aca="true">IF(D181="","",IF(OR(COUNTIFS(Clients!$C$2:$C$501,D181,Clients!$S$2:$S$501,"Paid")&gt;0,AND(H181&lt;&gt;"",COUNTIFS(Clients!$E$2:$E$501,H181,Clients!$S$2:$S$501,"Paid")&gt;0)),"⚠ Refunded before – no free video",IF(OR(X181="Contract signed + paid",X181="Closed – No response",X181="Lost"),"",IF(X181="","Set a stage",IF(AND(X181="Proposal sent",COUNTA(N181:S181)&lt;6),"Score this lead – proposal sent unscored",IF(N(Z181)&gt;=Settings!$S$3,"Close – 4 follow-ups sent",IF(AA181="",IF(Y181="","Make first contact",""),IF(TODAY()&gt;AA181,"OVERDUE follow-up",IF(TODAY()=AA181,"Follow up today","")))))))))</f>
        <v/>
      </c>
    </row>
    <row r="182" customFormat="false" ht="15" hidden="false" customHeight="false" outlineLevel="0" collapsed="false">
      <c r="A182" s="17"/>
      <c r="B182" s="40"/>
      <c r="C182" s="17"/>
      <c r="D182" s="17"/>
      <c r="E182" s="17"/>
      <c r="F182" s="17"/>
      <c r="G182" s="17"/>
      <c r="H182" s="42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44" t="str">
        <f aca="false">IF(OR(D182="",COUNTA(N182:S182)=0),"",SUMIFS(Settings!$AA$2:$AA$21,Settings!$Y$2:$Y$21,"Budget AED 5k+/mo?",Settings!$Z$2:$Z$21,N182)+SUMIFS(Settings!$AA$2:$AA$21,Settings!$Y$2:$Y$21,"Decision-maker?",Settings!$Z$2:$Z$21,O182)+SUMIFS(Settings!$AA$2:$AA$21,Settings!$Y$2:$Y$21,"Someone on camera?",Settings!$Z$2:$Z$21,P182)+SUMIFS(Settings!$AA$2:$AA$21,Settings!$Y$2:$Y$21,"OK with 3-month term?",Settings!$Z$2:$Z$21,Q182)+SUMIFS(Settings!$AA$2:$AA$21,Settings!$Y$2:$Y$21,"Start timeline",Settings!$Z$2:$Z$21,R182)+SUMIFS(Settings!$AA$2:$AA$21,Settings!$Y$2:$Y$21,"Social media gap",Settings!$Z$2:$Z$21,S182)+IF(E182="",0,IF(COUNTIF(Settings!$AC$2:$AC$6,E182)&gt;0,Settings!$AA$20,Settings!$AA$21)))</f>
        <v/>
      </c>
      <c r="U182" s="44" t="str">
        <f aca="false">IF(D182="","",IF(COUNTA(N182:S182)=0,"Not scored",IF(COUNTA(N182:S182)&lt;6,"Partly scored ("&amp;COUNTA(N182:S182)&amp;"/6)",IF(T182&gt;=Settings!$S$8,"Hot",IF(T182&gt;=Settings!$S$9,"Warm","Cold")))))</f>
        <v/>
      </c>
      <c r="V182" s="44" t="str">
        <f aca="false">IF(D182="","",IF(AND(N182="No",P182="No"),"🚩 Budget  ·  🚩 No one on camera",IF(N182="No","🚩 Budget under AED 5k",IF(P182="No","🚩 No one on camera",""))))</f>
        <v/>
      </c>
      <c r="W182" s="17"/>
      <c r="X182" s="17"/>
      <c r="Y182" s="40"/>
      <c r="Z182" s="17"/>
      <c r="AA182" s="45" t="str">
        <f aca="false">IF(OR(D182="",Y182="",OR(X182="Contract signed + paid",X182="Closed – No response",X182="Lost"),N(Z182)&gt;=Settings!$S$3),"",Y182+Settings!$S$2)</f>
        <v/>
      </c>
      <c r="AB182" s="40"/>
      <c r="AC182" s="41"/>
      <c r="AD182" s="17"/>
      <c r="AE182" s="17"/>
      <c r="AF182" s="17"/>
      <c r="AG182" s="46" t="str">
        <f aca="true">IF(OR(D182="",B182=""),"",INT(TODAY()-B182))</f>
        <v/>
      </c>
      <c r="AH182" s="44" t="str">
        <f aca="true">IF(D182="","",IF(OR(COUNTIFS(Clients!$C$2:$C$501,D182,Clients!$S$2:$S$501,"Paid")&gt;0,AND(H182&lt;&gt;"",COUNTIFS(Clients!$E$2:$E$501,H182,Clients!$S$2:$S$501,"Paid")&gt;0)),"⚠ Refunded before – no free video",IF(OR(X182="Contract signed + paid",X182="Closed – No response",X182="Lost"),"",IF(X182="","Set a stage",IF(AND(X182="Proposal sent",COUNTA(N182:S182)&lt;6),"Score this lead – proposal sent unscored",IF(N(Z182)&gt;=Settings!$S$3,"Close – 4 follow-ups sent",IF(AA182="",IF(Y182="","Make first contact",""),IF(TODAY()&gt;AA182,"OVERDUE follow-up",IF(TODAY()=AA182,"Follow up today","")))))))))</f>
        <v/>
      </c>
    </row>
    <row r="183" customFormat="false" ht="15" hidden="false" customHeight="false" outlineLevel="0" collapsed="false">
      <c r="A183" s="17"/>
      <c r="B183" s="40"/>
      <c r="C183" s="17"/>
      <c r="D183" s="17"/>
      <c r="E183" s="17"/>
      <c r="F183" s="17"/>
      <c r="G183" s="17"/>
      <c r="H183" s="42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44" t="str">
        <f aca="false">IF(OR(D183="",COUNTA(N183:S183)=0),"",SUMIFS(Settings!$AA$2:$AA$21,Settings!$Y$2:$Y$21,"Budget AED 5k+/mo?",Settings!$Z$2:$Z$21,N183)+SUMIFS(Settings!$AA$2:$AA$21,Settings!$Y$2:$Y$21,"Decision-maker?",Settings!$Z$2:$Z$21,O183)+SUMIFS(Settings!$AA$2:$AA$21,Settings!$Y$2:$Y$21,"Someone on camera?",Settings!$Z$2:$Z$21,P183)+SUMIFS(Settings!$AA$2:$AA$21,Settings!$Y$2:$Y$21,"OK with 3-month term?",Settings!$Z$2:$Z$21,Q183)+SUMIFS(Settings!$AA$2:$AA$21,Settings!$Y$2:$Y$21,"Start timeline",Settings!$Z$2:$Z$21,R183)+SUMIFS(Settings!$AA$2:$AA$21,Settings!$Y$2:$Y$21,"Social media gap",Settings!$Z$2:$Z$21,S183)+IF(E183="",0,IF(COUNTIF(Settings!$AC$2:$AC$6,E183)&gt;0,Settings!$AA$20,Settings!$AA$21)))</f>
        <v/>
      </c>
      <c r="U183" s="44" t="str">
        <f aca="false">IF(D183="","",IF(COUNTA(N183:S183)=0,"Not scored",IF(COUNTA(N183:S183)&lt;6,"Partly scored ("&amp;COUNTA(N183:S183)&amp;"/6)",IF(T183&gt;=Settings!$S$8,"Hot",IF(T183&gt;=Settings!$S$9,"Warm","Cold")))))</f>
        <v/>
      </c>
      <c r="V183" s="44" t="str">
        <f aca="false">IF(D183="","",IF(AND(N183="No",P183="No"),"🚩 Budget  ·  🚩 No one on camera",IF(N183="No","🚩 Budget under AED 5k",IF(P183="No","🚩 No one on camera",""))))</f>
        <v/>
      </c>
      <c r="W183" s="17"/>
      <c r="X183" s="17"/>
      <c r="Y183" s="40"/>
      <c r="Z183" s="17"/>
      <c r="AA183" s="45" t="str">
        <f aca="false">IF(OR(D183="",Y183="",OR(X183="Contract signed + paid",X183="Closed – No response",X183="Lost"),N(Z183)&gt;=Settings!$S$3),"",Y183+Settings!$S$2)</f>
        <v/>
      </c>
      <c r="AB183" s="40"/>
      <c r="AC183" s="41"/>
      <c r="AD183" s="17"/>
      <c r="AE183" s="17"/>
      <c r="AF183" s="17"/>
      <c r="AG183" s="46" t="str">
        <f aca="true">IF(OR(D183="",B183=""),"",INT(TODAY()-B183))</f>
        <v/>
      </c>
      <c r="AH183" s="44" t="str">
        <f aca="true">IF(D183="","",IF(OR(COUNTIFS(Clients!$C$2:$C$501,D183,Clients!$S$2:$S$501,"Paid")&gt;0,AND(H183&lt;&gt;"",COUNTIFS(Clients!$E$2:$E$501,H183,Clients!$S$2:$S$501,"Paid")&gt;0)),"⚠ Refunded before – no free video",IF(OR(X183="Contract signed + paid",X183="Closed – No response",X183="Lost"),"",IF(X183="","Set a stage",IF(AND(X183="Proposal sent",COUNTA(N183:S183)&lt;6),"Score this lead – proposal sent unscored",IF(N(Z183)&gt;=Settings!$S$3,"Close – 4 follow-ups sent",IF(AA183="",IF(Y183="","Make first contact",""),IF(TODAY()&gt;AA183,"OVERDUE follow-up",IF(TODAY()=AA183,"Follow up today","")))))))))</f>
        <v/>
      </c>
    </row>
    <row r="184" customFormat="false" ht="15" hidden="false" customHeight="false" outlineLevel="0" collapsed="false">
      <c r="A184" s="17"/>
      <c r="B184" s="40"/>
      <c r="C184" s="17"/>
      <c r="D184" s="17"/>
      <c r="E184" s="17"/>
      <c r="F184" s="17"/>
      <c r="G184" s="17"/>
      <c r="H184" s="42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44" t="str">
        <f aca="false">IF(OR(D184="",COUNTA(N184:S184)=0),"",SUMIFS(Settings!$AA$2:$AA$21,Settings!$Y$2:$Y$21,"Budget AED 5k+/mo?",Settings!$Z$2:$Z$21,N184)+SUMIFS(Settings!$AA$2:$AA$21,Settings!$Y$2:$Y$21,"Decision-maker?",Settings!$Z$2:$Z$21,O184)+SUMIFS(Settings!$AA$2:$AA$21,Settings!$Y$2:$Y$21,"Someone on camera?",Settings!$Z$2:$Z$21,P184)+SUMIFS(Settings!$AA$2:$AA$21,Settings!$Y$2:$Y$21,"OK with 3-month term?",Settings!$Z$2:$Z$21,Q184)+SUMIFS(Settings!$AA$2:$AA$21,Settings!$Y$2:$Y$21,"Start timeline",Settings!$Z$2:$Z$21,R184)+SUMIFS(Settings!$AA$2:$AA$21,Settings!$Y$2:$Y$21,"Social media gap",Settings!$Z$2:$Z$21,S184)+IF(E184="",0,IF(COUNTIF(Settings!$AC$2:$AC$6,E184)&gt;0,Settings!$AA$20,Settings!$AA$21)))</f>
        <v/>
      </c>
      <c r="U184" s="44" t="str">
        <f aca="false">IF(D184="","",IF(COUNTA(N184:S184)=0,"Not scored",IF(COUNTA(N184:S184)&lt;6,"Partly scored ("&amp;COUNTA(N184:S184)&amp;"/6)",IF(T184&gt;=Settings!$S$8,"Hot",IF(T184&gt;=Settings!$S$9,"Warm","Cold")))))</f>
        <v/>
      </c>
      <c r="V184" s="44" t="str">
        <f aca="false">IF(D184="","",IF(AND(N184="No",P184="No"),"🚩 Budget  ·  🚩 No one on camera",IF(N184="No","🚩 Budget under AED 5k",IF(P184="No","🚩 No one on camera",""))))</f>
        <v/>
      </c>
      <c r="W184" s="17"/>
      <c r="X184" s="17"/>
      <c r="Y184" s="40"/>
      <c r="Z184" s="17"/>
      <c r="AA184" s="45" t="str">
        <f aca="false">IF(OR(D184="",Y184="",OR(X184="Contract signed + paid",X184="Closed – No response",X184="Lost"),N(Z184)&gt;=Settings!$S$3),"",Y184+Settings!$S$2)</f>
        <v/>
      </c>
      <c r="AB184" s="40"/>
      <c r="AC184" s="41"/>
      <c r="AD184" s="17"/>
      <c r="AE184" s="17"/>
      <c r="AF184" s="17"/>
      <c r="AG184" s="46" t="str">
        <f aca="true">IF(OR(D184="",B184=""),"",INT(TODAY()-B184))</f>
        <v/>
      </c>
      <c r="AH184" s="44" t="str">
        <f aca="true">IF(D184="","",IF(OR(COUNTIFS(Clients!$C$2:$C$501,D184,Clients!$S$2:$S$501,"Paid")&gt;0,AND(H184&lt;&gt;"",COUNTIFS(Clients!$E$2:$E$501,H184,Clients!$S$2:$S$501,"Paid")&gt;0)),"⚠ Refunded before – no free video",IF(OR(X184="Contract signed + paid",X184="Closed – No response",X184="Lost"),"",IF(X184="","Set a stage",IF(AND(X184="Proposal sent",COUNTA(N184:S184)&lt;6),"Score this lead – proposal sent unscored",IF(N(Z184)&gt;=Settings!$S$3,"Close – 4 follow-ups sent",IF(AA184="",IF(Y184="","Make first contact",""),IF(TODAY()&gt;AA184,"OVERDUE follow-up",IF(TODAY()=AA184,"Follow up today","")))))))))</f>
        <v/>
      </c>
    </row>
    <row r="185" customFormat="false" ht="15" hidden="false" customHeight="false" outlineLevel="0" collapsed="false">
      <c r="A185" s="17"/>
      <c r="B185" s="40"/>
      <c r="C185" s="17"/>
      <c r="D185" s="17"/>
      <c r="E185" s="17"/>
      <c r="F185" s="17"/>
      <c r="G185" s="17"/>
      <c r="H185" s="42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44" t="str">
        <f aca="false">IF(OR(D185="",COUNTA(N185:S185)=0),"",SUMIFS(Settings!$AA$2:$AA$21,Settings!$Y$2:$Y$21,"Budget AED 5k+/mo?",Settings!$Z$2:$Z$21,N185)+SUMIFS(Settings!$AA$2:$AA$21,Settings!$Y$2:$Y$21,"Decision-maker?",Settings!$Z$2:$Z$21,O185)+SUMIFS(Settings!$AA$2:$AA$21,Settings!$Y$2:$Y$21,"Someone on camera?",Settings!$Z$2:$Z$21,P185)+SUMIFS(Settings!$AA$2:$AA$21,Settings!$Y$2:$Y$21,"OK with 3-month term?",Settings!$Z$2:$Z$21,Q185)+SUMIFS(Settings!$AA$2:$AA$21,Settings!$Y$2:$Y$21,"Start timeline",Settings!$Z$2:$Z$21,R185)+SUMIFS(Settings!$AA$2:$AA$21,Settings!$Y$2:$Y$21,"Social media gap",Settings!$Z$2:$Z$21,S185)+IF(E185="",0,IF(COUNTIF(Settings!$AC$2:$AC$6,E185)&gt;0,Settings!$AA$20,Settings!$AA$21)))</f>
        <v/>
      </c>
      <c r="U185" s="44" t="str">
        <f aca="false">IF(D185="","",IF(COUNTA(N185:S185)=0,"Not scored",IF(COUNTA(N185:S185)&lt;6,"Partly scored ("&amp;COUNTA(N185:S185)&amp;"/6)",IF(T185&gt;=Settings!$S$8,"Hot",IF(T185&gt;=Settings!$S$9,"Warm","Cold")))))</f>
        <v/>
      </c>
      <c r="V185" s="44" t="str">
        <f aca="false">IF(D185="","",IF(AND(N185="No",P185="No"),"🚩 Budget  ·  🚩 No one on camera",IF(N185="No","🚩 Budget under AED 5k",IF(P185="No","🚩 No one on camera",""))))</f>
        <v/>
      </c>
      <c r="W185" s="17"/>
      <c r="X185" s="17"/>
      <c r="Y185" s="40"/>
      <c r="Z185" s="17"/>
      <c r="AA185" s="45" t="str">
        <f aca="false">IF(OR(D185="",Y185="",OR(X185="Contract signed + paid",X185="Closed – No response",X185="Lost"),N(Z185)&gt;=Settings!$S$3),"",Y185+Settings!$S$2)</f>
        <v/>
      </c>
      <c r="AB185" s="40"/>
      <c r="AC185" s="41"/>
      <c r="AD185" s="17"/>
      <c r="AE185" s="17"/>
      <c r="AF185" s="17"/>
      <c r="AG185" s="46" t="str">
        <f aca="true">IF(OR(D185="",B185=""),"",INT(TODAY()-B185))</f>
        <v/>
      </c>
      <c r="AH185" s="44" t="str">
        <f aca="true">IF(D185="","",IF(OR(COUNTIFS(Clients!$C$2:$C$501,D185,Clients!$S$2:$S$501,"Paid")&gt;0,AND(H185&lt;&gt;"",COUNTIFS(Clients!$E$2:$E$501,H185,Clients!$S$2:$S$501,"Paid")&gt;0)),"⚠ Refunded before – no free video",IF(OR(X185="Contract signed + paid",X185="Closed – No response",X185="Lost"),"",IF(X185="","Set a stage",IF(AND(X185="Proposal sent",COUNTA(N185:S185)&lt;6),"Score this lead – proposal sent unscored",IF(N(Z185)&gt;=Settings!$S$3,"Close – 4 follow-ups sent",IF(AA185="",IF(Y185="","Make first contact",""),IF(TODAY()&gt;AA185,"OVERDUE follow-up",IF(TODAY()=AA185,"Follow up today","")))))))))</f>
        <v/>
      </c>
    </row>
    <row r="186" customFormat="false" ht="15" hidden="false" customHeight="false" outlineLevel="0" collapsed="false">
      <c r="A186" s="17"/>
      <c r="B186" s="40"/>
      <c r="C186" s="17"/>
      <c r="D186" s="17"/>
      <c r="E186" s="17"/>
      <c r="F186" s="17"/>
      <c r="G186" s="17"/>
      <c r="H186" s="42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44" t="str">
        <f aca="false">IF(OR(D186="",COUNTA(N186:S186)=0),"",SUMIFS(Settings!$AA$2:$AA$21,Settings!$Y$2:$Y$21,"Budget AED 5k+/mo?",Settings!$Z$2:$Z$21,N186)+SUMIFS(Settings!$AA$2:$AA$21,Settings!$Y$2:$Y$21,"Decision-maker?",Settings!$Z$2:$Z$21,O186)+SUMIFS(Settings!$AA$2:$AA$21,Settings!$Y$2:$Y$21,"Someone on camera?",Settings!$Z$2:$Z$21,P186)+SUMIFS(Settings!$AA$2:$AA$21,Settings!$Y$2:$Y$21,"OK with 3-month term?",Settings!$Z$2:$Z$21,Q186)+SUMIFS(Settings!$AA$2:$AA$21,Settings!$Y$2:$Y$21,"Start timeline",Settings!$Z$2:$Z$21,R186)+SUMIFS(Settings!$AA$2:$AA$21,Settings!$Y$2:$Y$21,"Social media gap",Settings!$Z$2:$Z$21,S186)+IF(E186="",0,IF(COUNTIF(Settings!$AC$2:$AC$6,E186)&gt;0,Settings!$AA$20,Settings!$AA$21)))</f>
        <v/>
      </c>
      <c r="U186" s="44" t="str">
        <f aca="false">IF(D186="","",IF(COUNTA(N186:S186)=0,"Not scored",IF(COUNTA(N186:S186)&lt;6,"Partly scored ("&amp;COUNTA(N186:S186)&amp;"/6)",IF(T186&gt;=Settings!$S$8,"Hot",IF(T186&gt;=Settings!$S$9,"Warm","Cold")))))</f>
        <v/>
      </c>
      <c r="V186" s="44" t="str">
        <f aca="false">IF(D186="","",IF(AND(N186="No",P186="No"),"🚩 Budget  ·  🚩 No one on camera",IF(N186="No","🚩 Budget under AED 5k",IF(P186="No","🚩 No one on camera",""))))</f>
        <v/>
      </c>
      <c r="W186" s="17"/>
      <c r="X186" s="17"/>
      <c r="Y186" s="40"/>
      <c r="Z186" s="17"/>
      <c r="AA186" s="45" t="str">
        <f aca="false">IF(OR(D186="",Y186="",OR(X186="Contract signed + paid",X186="Closed – No response",X186="Lost"),N(Z186)&gt;=Settings!$S$3),"",Y186+Settings!$S$2)</f>
        <v/>
      </c>
      <c r="AB186" s="40"/>
      <c r="AC186" s="41"/>
      <c r="AD186" s="17"/>
      <c r="AE186" s="17"/>
      <c r="AF186" s="17"/>
      <c r="AG186" s="46" t="str">
        <f aca="true">IF(OR(D186="",B186=""),"",INT(TODAY()-B186))</f>
        <v/>
      </c>
      <c r="AH186" s="44" t="str">
        <f aca="true">IF(D186="","",IF(OR(COUNTIFS(Clients!$C$2:$C$501,D186,Clients!$S$2:$S$501,"Paid")&gt;0,AND(H186&lt;&gt;"",COUNTIFS(Clients!$E$2:$E$501,H186,Clients!$S$2:$S$501,"Paid")&gt;0)),"⚠ Refunded before – no free video",IF(OR(X186="Contract signed + paid",X186="Closed – No response",X186="Lost"),"",IF(X186="","Set a stage",IF(AND(X186="Proposal sent",COUNTA(N186:S186)&lt;6),"Score this lead – proposal sent unscored",IF(N(Z186)&gt;=Settings!$S$3,"Close – 4 follow-ups sent",IF(AA186="",IF(Y186="","Make first contact",""),IF(TODAY()&gt;AA186,"OVERDUE follow-up",IF(TODAY()=AA186,"Follow up today","")))))))))</f>
        <v/>
      </c>
    </row>
    <row r="187" customFormat="false" ht="15" hidden="false" customHeight="false" outlineLevel="0" collapsed="false">
      <c r="A187" s="17"/>
      <c r="B187" s="40"/>
      <c r="C187" s="17"/>
      <c r="D187" s="17"/>
      <c r="E187" s="17"/>
      <c r="F187" s="17"/>
      <c r="G187" s="17"/>
      <c r="H187" s="42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44" t="str">
        <f aca="false">IF(OR(D187="",COUNTA(N187:S187)=0),"",SUMIFS(Settings!$AA$2:$AA$21,Settings!$Y$2:$Y$21,"Budget AED 5k+/mo?",Settings!$Z$2:$Z$21,N187)+SUMIFS(Settings!$AA$2:$AA$21,Settings!$Y$2:$Y$21,"Decision-maker?",Settings!$Z$2:$Z$21,O187)+SUMIFS(Settings!$AA$2:$AA$21,Settings!$Y$2:$Y$21,"Someone on camera?",Settings!$Z$2:$Z$21,P187)+SUMIFS(Settings!$AA$2:$AA$21,Settings!$Y$2:$Y$21,"OK with 3-month term?",Settings!$Z$2:$Z$21,Q187)+SUMIFS(Settings!$AA$2:$AA$21,Settings!$Y$2:$Y$21,"Start timeline",Settings!$Z$2:$Z$21,R187)+SUMIFS(Settings!$AA$2:$AA$21,Settings!$Y$2:$Y$21,"Social media gap",Settings!$Z$2:$Z$21,S187)+IF(E187="",0,IF(COUNTIF(Settings!$AC$2:$AC$6,E187)&gt;0,Settings!$AA$20,Settings!$AA$21)))</f>
        <v/>
      </c>
      <c r="U187" s="44" t="str">
        <f aca="false">IF(D187="","",IF(COUNTA(N187:S187)=0,"Not scored",IF(COUNTA(N187:S187)&lt;6,"Partly scored ("&amp;COUNTA(N187:S187)&amp;"/6)",IF(T187&gt;=Settings!$S$8,"Hot",IF(T187&gt;=Settings!$S$9,"Warm","Cold")))))</f>
        <v/>
      </c>
      <c r="V187" s="44" t="str">
        <f aca="false">IF(D187="","",IF(AND(N187="No",P187="No"),"🚩 Budget  ·  🚩 No one on camera",IF(N187="No","🚩 Budget under AED 5k",IF(P187="No","🚩 No one on camera",""))))</f>
        <v/>
      </c>
      <c r="W187" s="17"/>
      <c r="X187" s="17"/>
      <c r="Y187" s="40"/>
      <c r="Z187" s="17"/>
      <c r="AA187" s="45" t="str">
        <f aca="false">IF(OR(D187="",Y187="",OR(X187="Contract signed + paid",X187="Closed – No response",X187="Lost"),N(Z187)&gt;=Settings!$S$3),"",Y187+Settings!$S$2)</f>
        <v/>
      </c>
      <c r="AB187" s="40"/>
      <c r="AC187" s="41"/>
      <c r="AD187" s="17"/>
      <c r="AE187" s="17"/>
      <c r="AF187" s="17"/>
      <c r="AG187" s="46" t="str">
        <f aca="true">IF(OR(D187="",B187=""),"",INT(TODAY()-B187))</f>
        <v/>
      </c>
      <c r="AH187" s="44" t="str">
        <f aca="true">IF(D187="","",IF(OR(COUNTIFS(Clients!$C$2:$C$501,D187,Clients!$S$2:$S$501,"Paid")&gt;0,AND(H187&lt;&gt;"",COUNTIFS(Clients!$E$2:$E$501,H187,Clients!$S$2:$S$501,"Paid")&gt;0)),"⚠ Refunded before – no free video",IF(OR(X187="Contract signed + paid",X187="Closed – No response",X187="Lost"),"",IF(X187="","Set a stage",IF(AND(X187="Proposal sent",COUNTA(N187:S187)&lt;6),"Score this lead – proposal sent unscored",IF(N(Z187)&gt;=Settings!$S$3,"Close – 4 follow-ups sent",IF(AA187="",IF(Y187="","Make first contact",""),IF(TODAY()&gt;AA187,"OVERDUE follow-up",IF(TODAY()=AA187,"Follow up today","")))))))))</f>
        <v/>
      </c>
    </row>
    <row r="188" customFormat="false" ht="15" hidden="false" customHeight="false" outlineLevel="0" collapsed="false">
      <c r="A188" s="17"/>
      <c r="B188" s="40"/>
      <c r="C188" s="17"/>
      <c r="D188" s="17"/>
      <c r="E188" s="17"/>
      <c r="F188" s="17"/>
      <c r="G188" s="17"/>
      <c r="H188" s="42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44" t="str">
        <f aca="false">IF(OR(D188="",COUNTA(N188:S188)=0),"",SUMIFS(Settings!$AA$2:$AA$21,Settings!$Y$2:$Y$21,"Budget AED 5k+/mo?",Settings!$Z$2:$Z$21,N188)+SUMIFS(Settings!$AA$2:$AA$21,Settings!$Y$2:$Y$21,"Decision-maker?",Settings!$Z$2:$Z$21,O188)+SUMIFS(Settings!$AA$2:$AA$21,Settings!$Y$2:$Y$21,"Someone on camera?",Settings!$Z$2:$Z$21,P188)+SUMIFS(Settings!$AA$2:$AA$21,Settings!$Y$2:$Y$21,"OK with 3-month term?",Settings!$Z$2:$Z$21,Q188)+SUMIFS(Settings!$AA$2:$AA$21,Settings!$Y$2:$Y$21,"Start timeline",Settings!$Z$2:$Z$21,R188)+SUMIFS(Settings!$AA$2:$AA$21,Settings!$Y$2:$Y$21,"Social media gap",Settings!$Z$2:$Z$21,S188)+IF(E188="",0,IF(COUNTIF(Settings!$AC$2:$AC$6,E188)&gt;0,Settings!$AA$20,Settings!$AA$21)))</f>
        <v/>
      </c>
      <c r="U188" s="44" t="str">
        <f aca="false">IF(D188="","",IF(COUNTA(N188:S188)=0,"Not scored",IF(COUNTA(N188:S188)&lt;6,"Partly scored ("&amp;COUNTA(N188:S188)&amp;"/6)",IF(T188&gt;=Settings!$S$8,"Hot",IF(T188&gt;=Settings!$S$9,"Warm","Cold")))))</f>
        <v/>
      </c>
      <c r="V188" s="44" t="str">
        <f aca="false">IF(D188="","",IF(AND(N188="No",P188="No"),"🚩 Budget  ·  🚩 No one on camera",IF(N188="No","🚩 Budget under AED 5k",IF(P188="No","🚩 No one on camera",""))))</f>
        <v/>
      </c>
      <c r="W188" s="17"/>
      <c r="X188" s="17"/>
      <c r="Y188" s="40"/>
      <c r="Z188" s="17"/>
      <c r="AA188" s="45" t="str">
        <f aca="false">IF(OR(D188="",Y188="",OR(X188="Contract signed + paid",X188="Closed – No response",X188="Lost"),N(Z188)&gt;=Settings!$S$3),"",Y188+Settings!$S$2)</f>
        <v/>
      </c>
      <c r="AB188" s="40"/>
      <c r="AC188" s="41"/>
      <c r="AD188" s="17"/>
      <c r="AE188" s="17"/>
      <c r="AF188" s="17"/>
      <c r="AG188" s="46" t="str">
        <f aca="true">IF(OR(D188="",B188=""),"",INT(TODAY()-B188))</f>
        <v/>
      </c>
      <c r="AH188" s="44" t="str">
        <f aca="true">IF(D188="","",IF(OR(COUNTIFS(Clients!$C$2:$C$501,D188,Clients!$S$2:$S$501,"Paid")&gt;0,AND(H188&lt;&gt;"",COUNTIFS(Clients!$E$2:$E$501,H188,Clients!$S$2:$S$501,"Paid")&gt;0)),"⚠ Refunded before – no free video",IF(OR(X188="Contract signed + paid",X188="Closed – No response",X188="Lost"),"",IF(X188="","Set a stage",IF(AND(X188="Proposal sent",COUNTA(N188:S188)&lt;6),"Score this lead – proposal sent unscored",IF(N(Z188)&gt;=Settings!$S$3,"Close – 4 follow-ups sent",IF(AA188="",IF(Y188="","Make first contact",""),IF(TODAY()&gt;AA188,"OVERDUE follow-up",IF(TODAY()=AA188,"Follow up today","")))))))))</f>
        <v/>
      </c>
    </row>
    <row r="189" customFormat="false" ht="15" hidden="false" customHeight="false" outlineLevel="0" collapsed="false">
      <c r="A189" s="17"/>
      <c r="B189" s="40"/>
      <c r="C189" s="17"/>
      <c r="D189" s="17"/>
      <c r="E189" s="17"/>
      <c r="F189" s="17"/>
      <c r="G189" s="17"/>
      <c r="H189" s="42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44" t="str">
        <f aca="false">IF(OR(D189="",COUNTA(N189:S189)=0),"",SUMIFS(Settings!$AA$2:$AA$21,Settings!$Y$2:$Y$21,"Budget AED 5k+/mo?",Settings!$Z$2:$Z$21,N189)+SUMIFS(Settings!$AA$2:$AA$21,Settings!$Y$2:$Y$21,"Decision-maker?",Settings!$Z$2:$Z$21,O189)+SUMIFS(Settings!$AA$2:$AA$21,Settings!$Y$2:$Y$21,"Someone on camera?",Settings!$Z$2:$Z$21,P189)+SUMIFS(Settings!$AA$2:$AA$21,Settings!$Y$2:$Y$21,"OK with 3-month term?",Settings!$Z$2:$Z$21,Q189)+SUMIFS(Settings!$AA$2:$AA$21,Settings!$Y$2:$Y$21,"Start timeline",Settings!$Z$2:$Z$21,R189)+SUMIFS(Settings!$AA$2:$AA$21,Settings!$Y$2:$Y$21,"Social media gap",Settings!$Z$2:$Z$21,S189)+IF(E189="",0,IF(COUNTIF(Settings!$AC$2:$AC$6,E189)&gt;0,Settings!$AA$20,Settings!$AA$21)))</f>
        <v/>
      </c>
      <c r="U189" s="44" t="str">
        <f aca="false">IF(D189="","",IF(COUNTA(N189:S189)=0,"Not scored",IF(COUNTA(N189:S189)&lt;6,"Partly scored ("&amp;COUNTA(N189:S189)&amp;"/6)",IF(T189&gt;=Settings!$S$8,"Hot",IF(T189&gt;=Settings!$S$9,"Warm","Cold")))))</f>
        <v/>
      </c>
      <c r="V189" s="44" t="str">
        <f aca="false">IF(D189="","",IF(AND(N189="No",P189="No"),"🚩 Budget  ·  🚩 No one on camera",IF(N189="No","🚩 Budget under AED 5k",IF(P189="No","🚩 No one on camera",""))))</f>
        <v/>
      </c>
      <c r="W189" s="17"/>
      <c r="X189" s="17"/>
      <c r="Y189" s="40"/>
      <c r="Z189" s="17"/>
      <c r="AA189" s="45" t="str">
        <f aca="false">IF(OR(D189="",Y189="",OR(X189="Contract signed + paid",X189="Closed – No response",X189="Lost"),N(Z189)&gt;=Settings!$S$3),"",Y189+Settings!$S$2)</f>
        <v/>
      </c>
      <c r="AB189" s="40"/>
      <c r="AC189" s="41"/>
      <c r="AD189" s="17"/>
      <c r="AE189" s="17"/>
      <c r="AF189" s="17"/>
      <c r="AG189" s="46" t="str">
        <f aca="true">IF(OR(D189="",B189=""),"",INT(TODAY()-B189))</f>
        <v/>
      </c>
      <c r="AH189" s="44" t="str">
        <f aca="true">IF(D189="","",IF(OR(COUNTIFS(Clients!$C$2:$C$501,D189,Clients!$S$2:$S$501,"Paid")&gt;0,AND(H189&lt;&gt;"",COUNTIFS(Clients!$E$2:$E$501,H189,Clients!$S$2:$S$501,"Paid")&gt;0)),"⚠ Refunded before – no free video",IF(OR(X189="Contract signed + paid",X189="Closed – No response",X189="Lost"),"",IF(X189="","Set a stage",IF(AND(X189="Proposal sent",COUNTA(N189:S189)&lt;6),"Score this lead – proposal sent unscored",IF(N(Z189)&gt;=Settings!$S$3,"Close – 4 follow-ups sent",IF(AA189="",IF(Y189="","Make first contact",""),IF(TODAY()&gt;AA189,"OVERDUE follow-up",IF(TODAY()=AA189,"Follow up today","")))))))))</f>
        <v/>
      </c>
    </row>
    <row r="190" customFormat="false" ht="15" hidden="false" customHeight="false" outlineLevel="0" collapsed="false">
      <c r="A190" s="17"/>
      <c r="B190" s="40"/>
      <c r="C190" s="17"/>
      <c r="D190" s="17"/>
      <c r="E190" s="17"/>
      <c r="F190" s="17"/>
      <c r="G190" s="17"/>
      <c r="H190" s="42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44" t="str">
        <f aca="false">IF(OR(D190="",COUNTA(N190:S190)=0),"",SUMIFS(Settings!$AA$2:$AA$21,Settings!$Y$2:$Y$21,"Budget AED 5k+/mo?",Settings!$Z$2:$Z$21,N190)+SUMIFS(Settings!$AA$2:$AA$21,Settings!$Y$2:$Y$21,"Decision-maker?",Settings!$Z$2:$Z$21,O190)+SUMIFS(Settings!$AA$2:$AA$21,Settings!$Y$2:$Y$21,"Someone on camera?",Settings!$Z$2:$Z$21,P190)+SUMIFS(Settings!$AA$2:$AA$21,Settings!$Y$2:$Y$21,"OK with 3-month term?",Settings!$Z$2:$Z$21,Q190)+SUMIFS(Settings!$AA$2:$AA$21,Settings!$Y$2:$Y$21,"Start timeline",Settings!$Z$2:$Z$21,R190)+SUMIFS(Settings!$AA$2:$AA$21,Settings!$Y$2:$Y$21,"Social media gap",Settings!$Z$2:$Z$21,S190)+IF(E190="",0,IF(COUNTIF(Settings!$AC$2:$AC$6,E190)&gt;0,Settings!$AA$20,Settings!$AA$21)))</f>
        <v/>
      </c>
      <c r="U190" s="44" t="str">
        <f aca="false">IF(D190="","",IF(COUNTA(N190:S190)=0,"Not scored",IF(COUNTA(N190:S190)&lt;6,"Partly scored ("&amp;COUNTA(N190:S190)&amp;"/6)",IF(T190&gt;=Settings!$S$8,"Hot",IF(T190&gt;=Settings!$S$9,"Warm","Cold")))))</f>
        <v/>
      </c>
      <c r="V190" s="44" t="str">
        <f aca="false">IF(D190="","",IF(AND(N190="No",P190="No"),"🚩 Budget  ·  🚩 No one on camera",IF(N190="No","🚩 Budget under AED 5k",IF(P190="No","🚩 No one on camera",""))))</f>
        <v/>
      </c>
      <c r="W190" s="17"/>
      <c r="X190" s="17"/>
      <c r="Y190" s="40"/>
      <c r="Z190" s="17"/>
      <c r="AA190" s="45" t="str">
        <f aca="false">IF(OR(D190="",Y190="",OR(X190="Contract signed + paid",X190="Closed – No response",X190="Lost"),N(Z190)&gt;=Settings!$S$3),"",Y190+Settings!$S$2)</f>
        <v/>
      </c>
      <c r="AB190" s="40"/>
      <c r="AC190" s="41"/>
      <c r="AD190" s="17"/>
      <c r="AE190" s="17"/>
      <c r="AF190" s="17"/>
      <c r="AG190" s="46" t="str">
        <f aca="true">IF(OR(D190="",B190=""),"",INT(TODAY()-B190))</f>
        <v/>
      </c>
      <c r="AH190" s="44" t="str">
        <f aca="true">IF(D190="","",IF(OR(COUNTIFS(Clients!$C$2:$C$501,D190,Clients!$S$2:$S$501,"Paid")&gt;0,AND(H190&lt;&gt;"",COUNTIFS(Clients!$E$2:$E$501,H190,Clients!$S$2:$S$501,"Paid")&gt;0)),"⚠ Refunded before – no free video",IF(OR(X190="Contract signed + paid",X190="Closed – No response",X190="Lost"),"",IF(X190="","Set a stage",IF(AND(X190="Proposal sent",COUNTA(N190:S190)&lt;6),"Score this lead – proposal sent unscored",IF(N(Z190)&gt;=Settings!$S$3,"Close – 4 follow-ups sent",IF(AA190="",IF(Y190="","Make first contact",""),IF(TODAY()&gt;AA190,"OVERDUE follow-up",IF(TODAY()=AA190,"Follow up today","")))))))))</f>
        <v/>
      </c>
    </row>
    <row r="191" customFormat="false" ht="15" hidden="false" customHeight="false" outlineLevel="0" collapsed="false">
      <c r="A191" s="17"/>
      <c r="B191" s="40"/>
      <c r="C191" s="17"/>
      <c r="D191" s="17"/>
      <c r="E191" s="17"/>
      <c r="F191" s="17"/>
      <c r="G191" s="17"/>
      <c r="H191" s="42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44" t="str">
        <f aca="false">IF(OR(D191="",COUNTA(N191:S191)=0),"",SUMIFS(Settings!$AA$2:$AA$21,Settings!$Y$2:$Y$21,"Budget AED 5k+/mo?",Settings!$Z$2:$Z$21,N191)+SUMIFS(Settings!$AA$2:$AA$21,Settings!$Y$2:$Y$21,"Decision-maker?",Settings!$Z$2:$Z$21,O191)+SUMIFS(Settings!$AA$2:$AA$21,Settings!$Y$2:$Y$21,"Someone on camera?",Settings!$Z$2:$Z$21,P191)+SUMIFS(Settings!$AA$2:$AA$21,Settings!$Y$2:$Y$21,"OK with 3-month term?",Settings!$Z$2:$Z$21,Q191)+SUMIFS(Settings!$AA$2:$AA$21,Settings!$Y$2:$Y$21,"Start timeline",Settings!$Z$2:$Z$21,R191)+SUMIFS(Settings!$AA$2:$AA$21,Settings!$Y$2:$Y$21,"Social media gap",Settings!$Z$2:$Z$21,S191)+IF(E191="",0,IF(COUNTIF(Settings!$AC$2:$AC$6,E191)&gt;0,Settings!$AA$20,Settings!$AA$21)))</f>
        <v/>
      </c>
      <c r="U191" s="44" t="str">
        <f aca="false">IF(D191="","",IF(COUNTA(N191:S191)=0,"Not scored",IF(COUNTA(N191:S191)&lt;6,"Partly scored ("&amp;COUNTA(N191:S191)&amp;"/6)",IF(T191&gt;=Settings!$S$8,"Hot",IF(T191&gt;=Settings!$S$9,"Warm","Cold")))))</f>
        <v/>
      </c>
      <c r="V191" s="44" t="str">
        <f aca="false">IF(D191="","",IF(AND(N191="No",P191="No"),"🚩 Budget  ·  🚩 No one on camera",IF(N191="No","🚩 Budget under AED 5k",IF(P191="No","🚩 No one on camera",""))))</f>
        <v/>
      </c>
      <c r="W191" s="17"/>
      <c r="X191" s="17"/>
      <c r="Y191" s="40"/>
      <c r="Z191" s="17"/>
      <c r="AA191" s="45" t="str">
        <f aca="false">IF(OR(D191="",Y191="",OR(X191="Contract signed + paid",X191="Closed – No response",X191="Lost"),N(Z191)&gt;=Settings!$S$3),"",Y191+Settings!$S$2)</f>
        <v/>
      </c>
      <c r="AB191" s="40"/>
      <c r="AC191" s="41"/>
      <c r="AD191" s="17"/>
      <c r="AE191" s="17"/>
      <c r="AF191" s="17"/>
      <c r="AG191" s="46" t="str">
        <f aca="true">IF(OR(D191="",B191=""),"",INT(TODAY()-B191))</f>
        <v/>
      </c>
      <c r="AH191" s="44" t="str">
        <f aca="true">IF(D191="","",IF(OR(COUNTIFS(Clients!$C$2:$C$501,D191,Clients!$S$2:$S$501,"Paid")&gt;0,AND(H191&lt;&gt;"",COUNTIFS(Clients!$E$2:$E$501,H191,Clients!$S$2:$S$501,"Paid")&gt;0)),"⚠ Refunded before – no free video",IF(OR(X191="Contract signed + paid",X191="Closed – No response",X191="Lost"),"",IF(X191="","Set a stage",IF(AND(X191="Proposal sent",COUNTA(N191:S191)&lt;6),"Score this lead – proposal sent unscored",IF(N(Z191)&gt;=Settings!$S$3,"Close – 4 follow-ups sent",IF(AA191="",IF(Y191="","Make first contact",""),IF(TODAY()&gt;AA191,"OVERDUE follow-up",IF(TODAY()=AA191,"Follow up today","")))))))))</f>
        <v/>
      </c>
    </row>
    <row r="192" customFormat="false" ht="15" hidden="false" customHeight="false" outlineLevel="0" collapsed="false">
      <c r="A192" s="17"/>
      <c r="B192" s="40"/>
      <c r="C192" s="17"/>
      <c r="D192" s="17"/>
      <c r="E192" s="17"/>
      <c r="F192" s="17"/>
      <c r="G192" s="17"/>
      <c r="H192" s="42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44" t="str">
        <f aca="false">IF(OR(D192="",COUNTA(N192:S192)=0),"",SUMIFS(Settings!$AA$2:$AA$21,Settings!$Y$2:$Y$21,"Budget AED 5k+/mo?",Settings!$Z$2:$Z$21,N192)+SUMIFS(Settings!$AA$2:$AA$21,Settings!$Y$2:$Y$21,"Decision-maker?",Settings!$Z$2:$Z$21,O192)+SUMIFS(Settings!$AA$2:$AA$21,Settings!$Y$2:$Y$21,"Someone on camera?",Settings!$Z$2:$Z$21,P192)+SUMIFS(Settings!$AA$2:$AA$21,Settings!$Y$2:$Y$21,"OK with 3-month term?",Settings!$Z$2:$Z$21,Q192)+SUMIFS(Settings!$AA$2:$AA$21,Settings!$Y$2:$Y$21,"Start timeline",Settings!$Z$2:$Z$21,R192)+SUMIFS(Settings!$AA$2:$AA$21,Settings!$Y$2:$Y$21,"Social media gap",Settings!$Z$2:$Z$21,S192)+IF(E192="",0,IF(COUNTIF(Settings!$AC$2:$AC$6,E192)&gt;0,Settings!$AA$20,Settings!$AA$21)))</f>
        <v/>
      </c>
      <c r="U192" s="44" t="str">
        <f aca="false">IF(D192="","",IF(COUNTA(N192:S192)=0,"Not scored",IF(COUNTA(N192:S192)&lt;6,"Partly scored ("&amp;COUNTA(N192:S192)&amp;"/6)",IF(T192&gt;=Settings!$S$8,"Hot",IF(T192&gt;=Settings!$S$9,"Warm","Cold")))))</f>
        <v/>
      </c>
      <c r="V192" s="44" t="str">
        <f aca="false">IF(D192="","",IF(AND(N192="No",P192="No"),"🚩 Budget  ·  🚩 No one on camera",IF(N192="No","🚩 Budget under AED 5k",IF(P192="No","🚩 No one on camera",""))))</f>
        <v/>
      </c>
      <c r="W192" s="17"/>
      <c r="X192" s="17"/>
      <c r="Y192" s="40"/>
      <c r="Z192" s="17"/>
      <c r="AA192" s="45" t="str">
        <f aca="false">IF(OR(D192="",Y192="",OR(X192="Contract signed + paid",X192="Closed – No response",X192="Lost"),N(Z192)&gt;=Settings!$S$3),"",Y192+Settings!$S$2)</f>
        <v/>
      </c>
      <c r="AB192" s="40"/>
      <c r="AC192" s="41"/>
      <c r="AD192" s="17"/>
      <c r="AE192" s="17"/>
      <c r="AF192" s="17"/>
      <c r="AG192" s="46" t="str">
        <f aca="true">IF(OR(D192="",B192=""),"",INT(TODAY()-B192))</f>
        <v/>
      </c>
      <c r="AH192" s="44" t="str">
        <f aca="true">IF(D192="","",IF(OR(COUNTIFS(Clients!$C$2:$C$501,D192,Clients!$S$2:$S$501,"Paid")&gt;0,AND(H192&lt;&gt;"",COUNTIFS(Clients!$E$2:$E$501,H192,Clients!$S$2:$S$501,"Paid")&gt;0)),"⚠ Refunded before – no free video",IF(OR(X192="Contract signed + paid",X192="Closed – No response",X192="Lost"),"",IF(X192="","Set a stage",IF(AND(X192="Proposal sent",COUNTA(N192:S192)&lt;6),"Score this lead – proposal sent unscored",IF(N(Z192)&gt;=Settings!$S$3,"Close – 4 follow-ups sent",IF(AA192="",IF(Y192="","Make first contact",""),IF(TODAY()&gt;AA192,"OVERDUE follow-up",IF(TODAY()=AA192,"Follow up today","")))))))))</f>
        <v/>
      </c>
    </row>
    <row r="193" customFormat="false" ht="15" hidden="false" customHeight="false" outlineLevel="0" collapsed="false">
      <c r="A193" s="17"/>
      <c r="B193" s="40"/>
      <c r="C193" s="17"/>
      <c r="D193" s="17"/>
      <c r="E193" s="17"/>
      <c r="F193" s="17"/>
      <c r="G193" s="17"/>
      <c r="H193" s="42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44" t="str">
        <f aca="false">IF(OR(D193="",COUNTA(N193:S193)=0),"",SUMIFS(Settings!$AA$2:$AA$21,Settings!$Y$2:$Y$21,"Budget AED 5k+/mo?",Settings!$Z$2:$Z$21,N193)+SUMIFS(Settings!$AA$2:$AA$21,Settings!$Y$2:$Y$21,"Decision-maker?",Settings!$Z$2:$Z$21,O193)+SUMIFS(Settings!$AA$2:$AA$21,Settings!$Y$2:$Y$21,"Someone on camera?",Settings!$Z$2:$Z$21,P193)+SUMIFS(Settings!$AA$2:$AA$21,Settings!$Y$2:$Y$21,"OK with 3-month term?",Settings!$Z$2:$Z$21,Q193)+SUMIFS(Settings!$AA$2:$AA$21,Settings!$Y$2:$Y$21,"Start timeline",Settings!$Z$2:$Z$21,R193)+SUMIFS(Settings!$AA$2:$AA$21,Settings!$Y$2:$Y$21,"Social media gap",Settings!$Z$2:$Z$21,S193)+IF(E193="",0,IF(COUNTIF(Settings!$AC$2:$AC$6,E193)&gt;0,Settings!$AA$20,Settings!$AA$21)))</f>
        <v/>
      </c>
      <c r="U193" s="44" t="str">
        <f aca="false">IF(D193="","",IF(COUNTA(N193:S193)=0,"Not scored",IF(COUNTA(N193:S193)&lt;6,"Partly scored ("&amp;COUNTA(N193:S193)&amp;"/6)",IF(T193&gt;=Settings!$S$8,"Hot",IF(T193&gt;=Settings!$S$9,"Warm","Cold")))))</f>
        <v/>
      </c>
      <c r="V193" s="44" t="str">
        <f aca="false">IF(D193="","",IF(AND(N193="No",P193="No"),"🚩 Budget  ·  🚩 No one on camera",IF(N193="No","🚩 Budget under AED 5k",IF(P193="No","🚩 No one on camera",""))))</f>
        <v/>
      </c>
      <c r="W193" s="17"/>
      <c r="X193" s="17"/>
      <c r="Y193" s="40"/>
      <c r="Z193" s="17"/>
      <c r="AA193" s="45" t="str">
        <f aca="false">IF(OR(D193="",Y193="",OR(X193="Contract signed + paid",X193="Closed – No response",X193="Lost"),N(Z193)&gt;=Settings!$S$3),"",Y193+Settings!$S$2)</f>
        <v/>
      </c>
      <c r="AB193" s="40"/>
      <c r="AC193" s="41"/>
      <c r="AD193" s="17"/>
      <c r="AE193" s="17"/>
      <c r="AF193" s="17"/>
      <c r="AG193" s="46" t="str">
        <f aca="true">IF(OR(D193="",B193=""),"",INT(TODAY()-B193))</f>
        <v/>
      </c>
      <c r="AH193" s="44" t="str">
        <f aca="true">IF(D193="","",IF(OR(COUNTIFS(Clients!$C$2:$C$501,D193,Clients!$S$2:$S$501,"Paid")&gt;0,AND(H193&lt;&gt;"",COUNTIFS(Clients!$E$2:$E$501,H193,Clients!$S$2:$S$501,"Paid")&gt;0)),"⚠ Refunded before – no free video",IF(OR(X193="Contract signed + paid",X193="Closed – No response",X193="Lost"),"",IF(X193="","Set a stage",IF(AND(X193="Proposal sent",COUNTA(N193:S193)&lt;6),"Score this lead – proposal sent unscored",IF(N(Z193)&gt;=Settings!$S$3,"Close – 4 follow-ups sent",IF(AA193="",IF(Y193="","Make first contact",""),IF(TODAY()&gt;AA193,"OVERDUE follow-up",IF(TODAY()=AA193,"Follow up today","")))))))))</f>
        <v/>
      </c>
    </row>
    <row r="194" customFormat="false" ht="15" hidden="false" customHeight="false" outlineLevel="0" collapsed="false">
      <c r="A194" s="17"/>
      <c r="B194" s="40"/>
      <c r="C194" s="17"/>
      <c r="D194" s="17"/>
      <c r="E194" s="17"/>
      <c r="F194" s="17"/>
      <c r="G194" s="17"/>
      <c r="H194" s="42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44" t="str">
        <f aca="false">IF(OR(D194="",COUNTA(N194:S194)=0),"",SUMIFS(Settings!$AA$2:$AA$21,Settings!$Y$2:$Y$21,"Budget AED 5k+/mo?",Settings!$Z$2:$Z$21,N194)+SUMIFS(Settings!$AA$2:$AA$21,Settings!$Y$2:$Y$21,"Decision-maker?",Settings!$Z$2:$Z$21,O194)+SUMIFS(Settings!$AA$2:$AA$21,Settings!$Y$2:$Y$21,"Someone on camera?",Settings!$Z$2:$Z$21,P194)+SUMIFS(Settings!$AA$2:$AA$21,Settings!$Y$2:$Y$21,"OK with 3-month term?",Settings!$Z$2:$Z$21,Q194)+SUMIFS(Settings!$AA$2:$AA$21,Settings!$Y$2:$Y$21,"Start timeline",Settings!$Z$2:$Z$21,R194)+SUMIFS(Settings!$AA$2:$AA$21,Settings!$Y$2:$Y$21,"Social media gap",Settings!$Z$2:$Z$21,S194)+IF(E194="",0,IF(COUNTIF(Settings!$AC$2:$AC$6,E194)&gt;0,Settings!$AA$20,Settings!$AA$21)))</f>
        <v/>
      </c>
      <c r="U194" s="44" t="str">
        <f aca="false">IF(D194="","",IF(COUNTA(N194:S194)=0,"Not scored",IF(COUNTA(N194:S194)&lt;6,"Partly scored ("&amp;COUNTA(N194:S194)&amp;"/6)",IF(T194&gt;=Settings!$S$8,"Hot",IF(T194&gt;=Settings!$S$9,"Warm","Cold")))))</f>
        <v/>
      </c>
      <c r="V194" s="44" t="str">
        <f aca="false">IF(D194="","",IF(AND(N194="No",P194="No"),"🚩 Budget  ·  🚩 No one on camera",IF(N194="No","🚩 Budget under AED 5k",IF(P194="No","🚩 No one on camera",""))))</f>
        <v/>
      </c>
      <c r="W194" s="17"/>
      <c r="X194" s="17"/>
      <c r="Y194" s="40"/>
      <c r="Z194" s="17"/>
      <c r="AA194" s="45" t="str">
        <f aca="false">IF(OR(D194="",Y194="",OR(X194="Contract signed + paid",X194="Closed – No response",X194="Lost"),N(Z194)&gt;=Settings!$S$3),"",Y194+Settings!$S$2)</f>
        <v/>
      </c>
      <c r="AB194" s="40"/>
      <c r="AC194" s="41"/>
      <c r="AD194" s="17"/>
      <c r="AE194" s="17"/>
      <c r="AF194" s="17"/>
      <c r="AG194" s="46" t="str">
        <f aca="true">IF(OR(D194="",B194=""),"",INT(TODAY()-B194))</f>
        <v/>
      </c>
      <c r="AH194" s="44" t="str">
        <f aca="true">IF(D194="","",IF(OR(COUNTIFS(Clients!$C$2:$C$501,D194,Clients!$S$2:$S$501,"Paid")&gt;0,AND(H194&lt;&gt;"",COUNTIFS(Clients!$E$2:$E$501,H194,Clients!$S$2:$S$501,"Paid")&gt;0)),"⚠ Refunded before – no free video",IF(OR(X194="Contract signed + paid",X194="Closed – No response",X194="Lost"),"",IF(X194="","Set a stage",IF(AND(X194="Proposal sent",COUNTA(N194:S194)&lt;6),"Score this lead – proposal sent unscored",IF(N(Z194)&gt;=Settings!$S$3,"Close – 4 follow-ups sent",IF(AA194="",IF(Y194="","Make first contact",""),IF(TODAY()&gt;AA194,"OVERDUE follow-up",IF(TODAY()=AA194,"Follow up today","")))))))))</f>
        <v/>
      </c>
    </row>
    <row r="195" customFormat="false" ht="15" hidden="false" customHeight="false" outlineLevel="0" collapsed="false">
      <c r="A195" s="17"/>
      <c r="B195" s="40"/>
      <c r="C195" s="17"/>
      <c r="D195" s="17"/>
      <c r="E195" s="17"/>
      <c r="F195" s="17"/>
      <c r="G195" s="17"/>
      <c r="H195" s="42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44" t="str">
        <f aca="false">IF(OR(D195="",COUNTA(N195:S195)=0),"",SUMIFS(Settings!$AA$2:$AA$21,Settings!$Y$2:$Y$21,"Budget AED 5k+/mo?",Settings!$Z$2:$Z$21,N195)+SUMIFS(Settings!$AA$2:$AA$21,Settings!$Y$2:$Y$21,"Decision-maker?",Settings!$Z$2:$Z$21,O195)+SUMIFS(Settings!$AA$2:$AA$21,Settings!$Y$2:$Y$21,"Someone on camera?",Settings!$Z$2:$Z$21,P195)+SUMIFS(Settings!$AA$2:$AA$21,Settings!$Y$2:$Y$21,"OK with 3-month term?",Settings!$Z$2:$Z$21,Q195)+SUMIFS(Settings!$AA$2:$AA$21,Settings!$Y$2:$Y$21,"Start timeline",Settings!$Z$2:$Z$21,R195)+SUMIFS(Settings!$AA$2:$AA$21,Settings!$Y$2:$Y$21,"Social media gap",Settings!$Z$2:$Z$21,S195)+IF(E195="",0,IF(COUNTIF(Settings!$AC$2:$AC$6,E195)&gt;0,Settings!$AA$20,Settings!$AA$21)))</f>
        <v/>
      </c>
      <c r="U195" s="44" t="str">
        <f aca="false">IF(D195="","",IF(COUNTA(N195:S195)=0,"Not scored",IF(COUNTA(N195:S195)&lt;6,"Partly scored ("&amp;COUNTA(N195:S195)&amp;"/6)",IF(T195&gt;=Settings!$S$8,"Hot",IF(T195&gt;=Settings!$S$9,"Warm","Cold")))))</f>
        <v/>
      </c>
      <c r="V195" s="44" t="str">
        <f aca="false">IF(D195="","",IF(AND(N195="No",P195="No"),"🚩 Budget  ·  🚩 No one on camera",IF(N195="No","🚩 Budget under AED 5k",IF(P195="No","🚩 No one on camera",""))))</f>
        <v/>
      </c>
      <c r="W195" s="17"/>
      <c r="X195" s="17"/>
      <c r="Y195" s="40"/>
      <c r="Z195" s="17"/>
      <c r="AA195" s="45" t="str">
        <f aca="false">IF(OR(D195="",Y195="",OR(X195="Contract signed + paid",X195="Closed – No response",X195="Lost"),N(Z195)&gt;=Settings!$S$3),"",Y195+Settings!$S$2)</f>
        <v/>
      </c>
      <c r="AB195" s="40"/>
      <c r="AC195" s="41"/>
      <c r="AD195" s="17"/>
      <c r="AE195" s="17"/>
      <c r="AF195" s="17"/>
      <c r="AG195" s="46" t="str">
        <f aca="true">IF(OR(D195="",B195=""),"",INT(TODAY()-B195))</f>
        <v/>
      </c>
      <c r="AH195" s="44" t="str">
        <f aca="true">IF(D195="","",IF(OR(COUNTIFS(Clients!$C$2:$C$501,D195,Clients!$S$2:$S$501,"Paid")&gt;0,AND(H195&lt;&gt;"",COUNTIFS(Clients!$E$2:$E$501,H195,Clients!$S$2:$S$501,"Paid")&gt;0)),"⚠ Refunded before – no free video",IF(OR(X195="Contract signed + paid",X195="Closed – No response",X195="Lost"),"",IF(X195="","Set a stage",IF(AND(X195="Proposal sent",COUNTA(N195:S195)&lt;6),"Score this lead – proposal sent unscored",IF(N(Z195)&gt;=Settings!$S$3,"Close – 4 follow-ups sent",IF(AA195="",IF(Y195="","Make first contact",""),IF(TODAY()&gt;AA195,"OVERDUE follow-up",IF(TODAY()=AA195,"Follow up today","")))))))))</f>
        <v/>
      </c>
    </row>
    <row r="196" customFormat="false" ht="15" hidden="false" customHeight="false" outlineLevel="0" collapsed="false">
      <c r="A196" s="17"/>
      <c r="B196" s="40"/>
      <c r="C196" s="17"/>
      <c r="D196" s="17"/>
      <c r="E196" s="17"/>
      <c r="F196" s="17"/>
      <c r="G196" s="17"/>
      <c r="H196" s="42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44" t="str">
        <f aca="false">IF(OR(D196="",COUNTA(N196:S196)=0),"",SUMIFS(Settings!$AA$2:$AA$21,Settings!$Y$2:$Y$21,"Budget AED 5k+/mo?",Settings!$Z$2:$Z$21,N196)+SUMIFS(Settings!$AA$2:$AA$21,Settings!$Y$2:$Y$21,"Decision-maker?",Settings!$Z$2:$Z$21,O196)+SUMIFS(Settings!$AA$2:$AA$21,Settings!$Y$2:$Y$21,"Someone on camera?",Settings!$Z$2:$Z$21,P196)+SUMIFS(Settings!$AA$2:$AA$21,Settings!$Y$2:$Y$21,"OK with 3-month term?",Settings!$Z$2:$Z$21,Q196)+SUMIFS(Settings!$AA$2:$AA$21,Settings!$Y$2:$Y$21,"Start timeline",Settings!$Z$2:$Z$21,R196)+SUMIFS(Settings!$AA$2:$AA$21,Settings!$Y$2:$Y$21,"Social media gap",Settings!$Z$2:$Z$21,S196)+IF(E196="",0,IF(COUNTIF(Settings!$AC$2:$AC$6,E196)&gt;0,Settings!$AA$20,Settings!$AA$21)))</f>
        <v/>
      </c>
      <c r="U196" s="44" t="str">
        <f aca="false">IF(D196="","",IF(COUNTA(N196:S196)=0,"Not scored",IF(COUNTA(N196:S196)&lt;6,"Partly scored ("&amp;COUNTA(N196:S196)&amp;"/6)",IF(T196&gt;=Settings!$S$8,"Hot",IF(T196&gt;=Settings!$S$9,"Warm","Cold")))))</f>
        <v/>
      </c>
      <c r="V196" s="44" t="str">
        <f aca="false">IF(D196="","",IF(AND(N196="No",P196="No"),"🚩 Budget  ·  🚩 No one on camera",IF(N196="No","🚩 Budget under AED 5k",IF(P196="No","🚩 No one on camera",""))))</f>
        <v/>
      </c>
      <c r="W196" s="17"/>
      <c r="X196" s="17"/>
      <c r="Y196" s="40"/>
      <c r="Z196" s="17"/>
      <c r="AA196" s="45" t="str">
        <f aca="false">IF(OR(D196="",Y196="",OR(X196="Contract signed + paid",X196="Closed – No response",X196="Lost"),N(Z196)&gt;=Settings!$S$3),"",Y196+Settings!$S$2)</f>
        <v/>
      </c>
      <c r="AB196" s="40"/>
      <c r="AC196" s="41"/>
      <c r="AD196" s="17"/>
      <c r="AE196" s="17"/>
      <c r="AF196" s="17"/>
      <c r="AG196" s="46" t="str">
        <f aca="true">IF(OR(D196="",B196=""),"",INT(TODAY()-B196))</f>
        <v/>
      </c>
      <c r="AH196" s="44" t="str">
        <f aca="true">IF(D196="","",IF(OR(COUNTIFS(Clients!$C$2:$C$501,D196,Clients!$S$2:$S$501,"Paid")&gt;0,AND(H196&lt;&gt;"",COUNTIFS(Clients!$E$2:$E$501,H196,Clients!$S$2:$S$501,"Paid")&gt;0)),"⚠ Refunded before – no free video",IF(OR(X196="Contract signed + paid",X196="Closed – No response",X196="Lost"),"",IF(X196="","Set a stage",IF(AND(X196="Proposal sent",COUNTA(N196:S196)&lt;6),"Score this lead – proposal sent unscored",IF(N(Z196)&gt;=Settings!$S$3,"Close – 4 follow-ups sent",IF(AA196="",IF(Y196="","Make first contact",""),IF(TODAY()&gt;AA196,"OVERDUE follow-up",IF(TODAY()=AA196,"Follow up today","")))))))))</f>
        <v/>
      </c>
    </row>
    <row r="197" customFormat="false" ht="15" hidden="false" customHeight="false" outlineLevel="0" collapsed="false">
      <c r="A197" s="17"/>
      <c r="B197" s="40"/>
      <c r="C197" s="17"/>
      <c r="D197" s="17"/>
      <c r="E197" s="17"/>
      <c r="F197" s="17"/>
      <c r="G197" s="17"/>
      <c r="H197" s="42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44" t="str">
        <f aca="false">IF(OR(D197="",COUNTA(N197:S197)=0),"",SUMIFS(Settings!$AA$2:$AA$21,Settings!$Y$2:$Y$21,"Budget AED 5k+/mo?",Settings!$Z$2:$Z$21,N197)+SUMIFS(Settings!$AA$2:$AA$21,Settings!$Y$2:$Y$21,"Decision-maker?",Settings!$Z$2:$Z$21,O197)+SUMIFS(Settings!$AA$2:$AA$21,Settings!$Y$2:$Y$21,"Someone on camera?",Settings!$Z$2:$Z$21,P197)+SUMIFS(Settings!$AA$2:$AA$21,Settings!$Y$2:$Y$21,"OK with 3-month term?",Settings!$Z$2:$Z$21,Q197)+SUMIFS(Settings!$AA$2:$AA$21,Settings!$Y$2:$Y$21,"Start timeline",Settings!$Z$2:$Z$21,R197)+SUMIFS(Settings!$AA$2:$AA$21,Settings!$Y$2:$Y$21,"Social media gap",Settings!$Z$2:$Z$21,S197)+IF(E197="",0,IF(COUNTIF(Settings!$AC$2:$AC$6,E197)&gt;0,Settings!$AA$20,Settings!$AA$21)))</f>
        <v/>
      </c>
      <c r="U197" s="44" t="str">
        <f aca="false">IF(D197="","",IF(COUNTA(N197:S197)=0,"Not scored",IF(COUNTA(N197:S197)&lt;6,"Partly scored ("&amp;COUNTA(N197:S197)&amp;"/6)",IF(T197&gt;=Settings!$S$8,"Hot",IF(T197&gt;=Settings!$S$9,"Warm","Cold")))))</f>
        <v/>
      </c>
      <c r="V197" s="44" t="str">
        <f aca="false">IF(D197="","",IF(AND(N197="No",P197="No"),"🚩 Budget  ·  🚩 No one on camera",IF(N197="No","🚩 Budget under AED 5k",IF(P197="No","🚩 No one on camera",""))))</f>
        <v/>
      </c>
      <c r="W197" s="17"/>
      <c r="X197" s="17"/>
      <c r="Y197" s="40"/>
      <c r="Z197" s="17"/>
      <c r="AA197" s="45" t="str">
        <f aca="false">IF(OR(D197="",Y197="",OR(X197="Contract signed + paid",X197="Closed – No response",X197="Lost"),N(Z197)&gt;=Settings!$S$3),"",Y197+Settings!$S$2)</f>
        <v/>
      </c>
      <c r="AB197" s="40"/>
      <c r="AC197" s="41"/>
      <c r="AD197" s="17"/>
      <c r="AE197" s="17"/>
      <c r="AF197" s="17"/>
      <c r="AG197" s="46" t="str">
        <f aca="true">IF(OR(D197="",B197=""),"",INT(TODAY()-B197))</f>
        <v/>
      </c>
      <c r="AH197" s="44" t="str">
        <f aca="true">IF(D197="","",IF(OR(COUNTIFS(Clients!$C$2:$C$501,D197,Clients!$S$2:$S$501,"Paid")&gt;0,AND(H197&lt;&gt;"",COUNTIFS(Clients!$E$2:$E$501,H197,Clients!$S$2:$S$501,"Paid")&gt;0)),"⚠ Refunded before – no free video",IF(OR(X197="Contract signed + paid",X197="Closed – No response",X197="Lost"),"",IF(X197="","Set a stage",IF(AND(X197="Proposal sent",COUNTA(N197:S197)&lt;6),"Score this lead – proposal sent unscored",IF(N(Z197)&gt;=Settings!$S$3,"Close – 4 follow-ups sent",IF(AA197="",IF(Y197="","Make first contact",""),IF(TODAY()&gt;AA197,"OVERDUE follow-up",IF(TODAY()=AA197,"Follow up today","")))))))))</f>
        <v/>
      </c>
    </row>
    <row r="198" customFormat="false" ht="15" hidden="false" customHeight="false" outlineLevel="0" collapsed="false">
      <c r="A198" s="17"/>
      <c r="B198" s="40"/>
      <c r="C198" s="17"/>
      <c r="D198" s="17"/>
      <c r="E198" s="17"/>
      <c r="F198" s="17"/>
      <c r="G198" s="17"/>
      <c r="H198" s="42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44" t="str">
        <f aca="false">IF(OR(D198="",COUNTA(N198:S198)=0),"",SUMIFS(Settings!$AA$2:$AA$21,Settings!$Y$2:$Y$21,"Budget AED 5k+/mo?",Settings!$Z$2:$Z$21,N198)+SUMIFS(Settings!$AA$2:$AA$21,Settings!$Y$2:$Y$21,"Decision-maker?",Settings!$Z$2:$Z$21,O198)+SUMIFS(Settings!$AA$2:$AA$21,Settings!$Y$2:$Y$21,"Someone on camera?",Settings!$Z$2:$Z$21,P198)+SUMIFS(Settings!$AA$2:$AA$21,Settings!$Y$2:$Y$21,"OK with 3-month term?",Settings!$Z$2:$Z$21,Q198)+SUMIFS(Settings!$AA$2:$AA$21,Settings!$Y$2:$Y$21,"Start timeline",Settings!$Z$2:$Z$21,R198)+SUMIFS(Settings!$AA$2:$AA$21,Settings!$Y$2:$Y$21,"Social media gap",Settings!$Z$2:$Z$21,S198)+IF(E198="",0,IF(COUNTIF(Settings!$AC$2:$AC$6,E198)&gt;0,Settings!$AA$20,Settings!$AA$21)))</f>
        <v/>
      </c>
      <c r="U198" s="44" t="str">
        <f aca="false">IF(D198="","",IF(COUNTA(N198:S198)=0,"Not scored",IF(COUNTA(N198:S198)&lt;6,"Partly scored ("&amp;COUNTA(N198:S198)&amp;"/6)",IF(T198&gt;=Settings!$S$8,"Hot",IF(T198&gt;=Settings!$S$9,"Warm","Cold")))))</f>
        <v/>
      </c>
      <c r="V198" s="44" t="str">
        <f aca="false">IF(D198="","",IF(AND(N198="No",P198="No"),"🚩 Budget  ·  🚩 No one on camera",IF(N198="No","🚩 Budget under AED 5k",IF(P198="No","🚩 No one on camera",""))))</f>
        <v/>
      </c>
      <c r="W198" s="17"/>
      <c r="X198" s="17"/>
      <c r="Y198" s="40"/>
      <c r="Z198" s="17"/>
      <c r="AA198" s="45" t="str">
        <f aca="false">IF(OR(D198="",Y198="",OR(X198="Contract signed + paid",X198="Closed – No response",X198="Lost"),N(Z198)&gt;=Settings!$S$3),"",Y198+Settings!$S$2)</f>
        <v/>
      </c>
      <c r="AB198" s="40"/>
      <c r="AC198" s="41"/>
      <c r="AD198" s="17"/>
      <c r="AE198" s="17"/>
      <c r="AF198" s="17"/>
      <c r="AG198" s="46" t="str">
        <f aca="true">IF(OR(D198="",B198=""),"",INT(TODAY()-B198))</f>
        <v/>
      </c>
      <c r="AH198" s="44" t="str">
        <f aca="true">IF(D198="","",IF(OR(COUNTIFS(Clients!$C$2:$C$501,D198,Clients!$S$2:$S$501,"Paid")&gt;0,AND(H198&lt;&gt;"",COUNTIFS(Clients!$E$2:$E$501,H198,Clients!$S$2:$S$501,"Paid")&gt;0)),"⚠ Refunded before – no free video",IF(OR(X198="Contract signed + paid",X198="Closed – No response",X198="Lost"),"",IF(X198="","Set a stage",IF(AND(X198="Proposal sent",COUNTA(N198:S198)&lt;6),"Score this lead – proposal sent unscored",IF(N(Z198)&gt;=Settings!$S$3,"Close – 4 follow-ups sent",IF(AA198="",IF(Y198="","Make first contact",""),IF(TODAY()&gt;AA198,"OVERDUE follow-up",IF(TODAY()=AA198,"Follow up today","")))))))))</f>
        <v/>
      </c>
    </row>
    <row r="199" customFormat="false" ht="15" hidden="false" customHeight="false" outlineLevel="0" collapsed="false">
      <c r="A199" s="17"/>
      <c r="B199" s="40"/>
      <c r="C199" s="17"/>
      <c r="D199" s="17"/>
      <c r="E199" s="17"/>
      <c r="F199" s="17"/>
      <c r="G199" s="17"/>
      <c r="H199" s="42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44" t="str">
        <f aca="false">IF(OR(D199="",COUNTA(N199:S199)=0),"",SUMIFS(Settings!$AA$2:$AA$21,Settings!$Y$2:$Y$21,"Budget AED 5k+/mo?",Settings!$Z$2:$Z$21,N199)+SUMIFS(Settings!$AA$2:$AA$21,Settings!$Y$2:$Y$21,"Decision-maker?",Settings!$Z$2:$Z$21,O199)+SUMIFS(Settings!$AA$2:$AA$21,Settings!$Y$2:$Y$21,"Someone on camera?",Settings!$Z$2:$Z$21,P199)+SUMIFS(Settings!$AA$2:$AA$21,Settings!$Y$2:$Y$21,"OK with 3-month term?",Settings!$Z$2:$Z$21,Q199)+SUMIFS(Settings!$AA$2:$AA$21,Settings!$Y$2:$Y$21,"Start timeline",Settings!$Z$2:$Z$21,R199)+SUMIFS(Settings!$AA$2:$AA$21,Settings!$Y$2:$Y$21,"Social media gap",Settings!$Z$2:$Z$21,S199)+IF(E199="",0,IF(COUNTIF(Settings!$AC$2:$AC$6,E199)&gt;0,Settings!$AA$20,Settings!$AA$21)))</f>
        <v/>
      </c>
      <c r="U199" s="44" t="str">
        <f aca="false">IF(D199="","",IF(COUNTA(N199:S199)=0,"Not scored",IF(COUNTA(N199:S199)&lt;6,"Partly scored ("&amp;COUNTA(N199:S199)&amp;"/6)",IF(T199&gt;=Settings!$S$8,"Hot",IF(T199&gt;=Settings!$S$9,"Warm","Cold")))))</f>
        <v/>
      </c>
      <c r="V199" s="44" t="str">
        <f aca="false">IF(D199="","",IF(AND(N199="No",P199="No"),"🚩 Budget  ·  🚩 No one on camera",IF(N199="No","🚩 Budget under AED 5k",IF(P199="No","🚩 No one on camera",""))))</f>
        <v/>
      </c>
      <c r="W199" s="17"/>
      <c r="X199" s="17"/>
      <c r="Y199" s="40"/>
      <c r="Z199" s="17"/>
      <c r="AA199" s="45" t="str">
        <f aca="false">IF(OR(D199="",Y199="",OR(X199="Contract signed + paid",X199="Closed – No response",X199="Lost"),N(Z199)&gt;=Settings!$S$3),"",Y199+Settings!$S$2)</f>
        <v/>
      </c>
      <c r="AB199" s="40"/>
      <c r="AC199" s="41"/>
      <c r="AD199" s="17"/>
      <c r="AE199" s="17"/>
      <c r="AF199" s="17"/>
      <c r="AG199" s="46" t="str">
        <f aca="true">IF(OR(D199="",B199=""),"",INT(TODAY()-B199))</f>
        <v/>
      </c>
      <c r="AH199" s="44" t="str">
        <f aca="true">IF(D199="","",IF(OR(COUNTIFS(Clients!$C$2:$C$501,D199,Clients!$S$2:$S$501,"Paid")&gt;0,AND(H199&lt;&gt;"",COUNTIFS(Clients!$E$2:$E$501,H199,Clients!$S$2:$S$501,"Paid")&gt;0)),"⚠ Refunded before – no free video",IF(OR(X199="Contract signed + paid",X199="Closed – No response",X199="Lost"),"",IF(X199="","Set a stage",IF(AND(X199="Proposal sent",COUNTA(N199:S199)&lt;6),"Score this lead – proposal sent unscored",IF(N(Z199)&gt;=Settings!$S$3,"Close – 4 follow-ups sent",IF(AA199="",IF(Y199="","Make first contact",""),IF(TODAY()&gt;AA199,"OVERDUE follow-up",IF(TODAY()=AA199,"Follow up today","")))))))))</f>
        <v/>
      </c>
    </row>
    <row r="200" customFormat="false" ht="15" hidden="false" customHeight="false" outlineLevel="0" collapsed="false">
      <c r="A200" s="17"/>
      <c r="B200" s="40"/>
      <c r="C200" s="17"/>
      <c r="D200" s="17"/>
      <c r="E200" s="17"/>
      <c r="F200" s="17"/>
      <c r="G200" s="17"/>
      <c r="H200" s="42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44" t="str">
        <f aca="false">IF(OR(D200="",COUNTA(N200:S200)=0),"",SUMIFS(Settings!$AA$2:$AA$21,Settings!$Y$2:$Y$21,"Budget AED 5k+/mo?",Settings!$Z$2:$Z$21,N200)+SUMIFS(Settings!$AA$2:$AA$21,Settings!$Y$2:$Y$21,"Decision-maker?",Settings!$Z$2:$Z$21,O200)+SUMIFS(Settings!$AA$2:$AA$21,Settings!$Y$2:$Y$21,"Someone on camera?",Settings!$Z$2:$Z$21,P200)+SUMIFS(Settings!$AA$2:$AA$21,Settings!$Y$2:$Y$21,"OK with 3-month term?",Settings!$Z$2:$Z$21,Q200)+SUMIFS(Settings!$AA$2:$AA$21,Settings!$Y$2:$Y$21,"Start timeline",Settings!$Z$2:$Z$21,R200)+SUMIFS(Settings!$AA$2:$AA$21,Settings!$Y$2:$Y$21,"Social media gap",Settings!$Z$2:$Z$21,S200)+IF(E200="",0,IF(COUNTIF(Settings!$AC$2:$AC$6,E200)&gt;0,Settings!$AA$20,Settings!$AA$21)))</f>
        <v/>
      </c>
      <c r="U200" s="44" t="str">
        <f aca="false">IF(D200="","",IF(COUNTA(N200:S200)=0,"Not scored",IF(COUNTA(N200:S200)&lt;6,"Partly scored ("&amp;COUNTA(N200:S200)&amp;"/6)",IF(T200&gt;=Settings!$S$8,"Hot",IF(T200&gt;=Settings!$S$9,"Warm","Cold")))))</f>
        <v/>
      </c>
      <c r="V200" s="44" t="str">
        <f aca="false">IF(D200="","",IF(AND(N200="No",P200="No"),"🚩 Budget  ·  🚩 No one on camera",IF(N200="No","🚩 Budget under AED 5k",IF(P200="No","🚩 No one on camera",""))))</f>
        <v/>
      </c>
      <c r="W200" s="17"/>
      <c r="X200" s="17"/>
      <c r="Y200" s="40"/>
      <c r="Z200" s="17"/>
      <c r="AA200" s="45" t="str">
        <f aca="false">IF(OR(D200="",Y200="",OR(X200="Contract signed + paid",X200="Closed – No response",X200="Lost"),N(Z200)&gt;=Settings!$S$3),"",Y200+Settings!$S$2)</f>
        <v/>
      </c>
      <c r="AB200" s="40"/>
      <c r="AC200" s="41"/>
      <c r="AD200" s="17"/>
      <c r="AE200" s="17"/>
      <c r="AF200" s="17"/>
      <c r="AG200" s="46" t="str">
        <f aca="true">IF(OR(D200="",B200=""),"",INT(TODAY()-B200))</f>
        <v/>
      </c>
      <c r="AH200" s="44" t="str">
        <f aca="true">IF(D200="","",IF(OR(COUNTIFS(Clients!$C$2:$C$501,D200,Clients!$S$2:$S$501,"Paid")&gt;0,AND(H200&lt;&gt;"",COUNTIFS(Clients!$E$2:$E$501,H200,Clients!$S$2:$S$501,"Paid")&gt;0)),"⚠ Refunded before – no free video",IF(OR(X200="Contract signed + paid",X200="Closed – No response",X200="Lost"),"",IF(X200="","Set a stage",IF(AND(X200="Proposal sent",COUNTA(N200:S200)&lt;6),"Score this lead – proposal sent unscored",IF(N(Z200)&gt;=Settings!$S$3,"Close – 4 follow-ups sent",IF(AA200="",IF(Y200="","Make first contact",""),IF(TODAY()&gt;AA200,"OVERDUE follow-up",IF(TODAY()=AA200,"Follow up today","")))))))))</f>
        <v/>
      </c>
    </row>
    <row r="201" customFormat="false" ht="15" hidden="false" customHeight="false" outlineLevel="0" collapsed="false">
      <c r="A201" s="17"/>
      <c r="B201" s="40"/>
      <c r="C201" s="17"/>
      <c r="D201" s="17"/>
      <c r="E201" s="17"/>
      <c r="F201" s="17"/>
      <c r="G201" s="17"/>
      <c r="H201" s="42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44" t="str">
        <f aca="false">IF(OR(D201="",COUNTA(N201:S201)=0),"",SUMIFS(Settings!$AA$2:$AA$21,Settings!$Y$2:$Y$21,"Budget AED 5k+/mo?",Settings!$Z$2:$Z$21,N201)+SUMIFS(Settings!$AA$2:$AA$21,Settings!$Y$2:$Y$21,"Decision-maker?",Settings!$Z$2:$Z$21,O201)+SUMIFS(Settings!$AA$2:$AA$21,Settings!$Y$2:$Y$21,"Someone on camera?",Settings!$Z$2:$Z$21,P201)+SUMIFS(Settings!$AA$2:$AA$21,Settings!$Y$2:$Y$21,"OK with 3-month term?",Settings!$Z$2:$Z$21,Q201)+SUMIFS(Settings!$AA$2:$AA$21,Settings!$Y$2:$Y$21,"Start timeline",Settings!$Z$2:$Z$21,R201)+SUMIFS(Settings!$AA$2:$AA$21,Settings!$Y$2:$Y$21,"Social media gap",Settings!$Z$2:$Z$21,S201)+IF(E201="",0,IF(COUNTIF(Settings!$AC$2:$AC$6,E201)&gt;0,Settings!$AA$20,Settings!$AA$21)))</f>
        <v/>
      </c>
      <c r="U201" s="44" t="str">
        <f aca="false">IF(D201="","",IF(COUNTA(N201:S201)=0,"Not scored",IF(COUNTA(N201:S201)&lt;6,"Partly scored ("&amp;COUNTA(N201:S201)&amp;"/6)",IF(T201&gt;=Settings!$S$8,"Hot",IF(T201&gt;=Settings!$S$9,"Warm","Cold")))))</f>
        <v/>
      </c>
      <c r="V201" s="44" t="str">
        <f aca="false">IF(D201="","",IF(AND(N201="No",P201="No"),"🚩 Budget  ·  🚩 No one on camera",IF(N201="No","🚩 Budget under AED 5k",IF(P201="No","🚩 No one on camera",""))))</f>
        <v/>
      </c>
      <c r="W201" s="17"/>
      <c r="X201" s="17"/>
      <c r="Y201" s="40"/>
      <c r="Z201" s="17"/>
      <c r="AA201" s="45" t="str">
        <f aca="false">IF(OR(D201="",Y201="",OR(X201="Contract signed + paid",X201="Closed – No response",X201="Lost"),N(Z201)&gt;=Settings!$S$3),"",Y201+Settings!$S$2)</f>
        <v/>
      </c>
      <c r="AB201" s="40"/>
      <c r="AC201" s="41"/>
      <c r="AD201" s="17"/>
      <c r="AE201" s="17"/>
      <c r="AF201" s="17"/>
      <c r="AG201" s="46" t="str">
        <f aca="true">IF(OR(D201="",B201=""),"",INT(TODAY()-B201))</f>
        <v/>
      </c>
      <c r="AH201" s="44" t="str">
        <f aca="true">IF(D201="","",IF(OR(COUNTIFS(Clients!$C$2:$C$501,D201,Clients!$S$2:$S$501,"Paid")&gt;0,AND(H201&lt;&gt;"",COUNTIFS(Clients!$E$2:$E$501,H201,Clients!$S$2:$S$501,"Paid")&gt;0)),"⚠ Refunded before – no free video",IF(OR(X201="Contract signed + paid",X201="Closed – No response",X201="Lost"),"",IF(X201="","Set a stage",IF(AND(X201="Proposal sent",COUNTA(N201:S201)&lt;6),"Score this lead – proposal sent unscored",IF(N(Z201)&gt;=Settings!$S$3,"Close – 4 follow-ups sent",IF(AA201="",IF(Y201="","Make first contact",""),IF(TODAY()&gt;AA201,"OVERDUE follow-up",IF(TODAY()=AA201,"Follow up today","")))))))))</f>
        <v/>
      </c>
    </row>
    <row r="202" customFormat="false" ht="15" hidden="false" customHeight="false" outlineLevel="0" collapsed="false">
      <c r="A202" s="17"/>
      <c r="B202" s="40"/>
      <c r="C202" s="17"/>
      <c r="D202" s="17"/>
      <c r="E202" s="17"/>
      <c r="F202" s="17"/>
      <c r="G202" s="17"/>
      <c r="H202" s="42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44" t="str">
        <f aca="false">IF(OR(D202="",COUNTA(N202:S202)=0),"",SUMIFS(Settings!$AA$2:$AA$21,Settings!$Y$2:$Y$21,"Budget AED 5k+/mo?",Settings!$Z$2:$Z$21,N202)+SUMIFS(Settings!$AA$2:$AA$21,Settings!$Y$2:$Y$21,"Decision-maker?",Settings!$Z$2:$Z$21,O202)+SUMIFS(Settings!$AA$2:$AA$21,Settings!$Y$2:$Y$21,"Someone on camera?",Settings!$Z$2:$Z$21,P202)+SUMIFS(Settings!$AA$2:$AA$21,Settings!$Y$2:$Y$21,"OK with 3-month term?",Settings!$Z$2:$Z$21,Q202)+SUMIFS(Settings!$AA$2:$AA$21,Settings!$Y$2:$Y$21,"Start timeline",Settings!$Z$2:$Z$21,R202)+SUMIFS(Settings!$AA$2:$AA$21,Settings!$Y$2:$Y$21,"Social media gap",Settings!$Z$2:$Z$21,S202)+IF(E202="",0,IF(COUNTIF(Settings!$AC$2:$AC$6,E202)&gt;0,Settings!$AA$20,Settings!$AA$21)))</f>
        <v/>
      </c>
      <c r="U202" s="44" t="str">
        <f aca="false">IF(D202="","",IF(COUNTA(N202:S202)=0,"Not scored",IF(COUNTA(N202:S202)&lt;6,"Partly scored ("&amp;COUNTA(N202:S202)&amp;"/6)",IF(T202&gt;=Settings!$S$8,"Hot",IF(T202&gt;=Settings!$S$9,"Warm","Cold")))))</f>
        <v/>
      </c>
      <c r="V202" s="44" t="str">
        <f aca="false">IF(D202="","",IF(AND(N202="No",P202="No"),"🚩 Budget  ·  🚩 No one on camera",IF(N202="No","🚩 Budget under AED 5k",IF(P202="No","🚩 No one on camera",""))))</f>
        <v/>
      </c>
      <c r="W202" s="17"/>
      <c r="X202" s="17"/>
      <c r="Y202" s="40"/>
      <c r="Z202" s="17"/>
      <c r="AA202" s="45" t="str">
        <f aca="false">IF(OR(D202="",Y202="",OR(X202="Contract signed + paid",X202="Closed – No response",X202="Lost"),N(Z202)&gt;=Settings!$S$3),"",Y202+Settings!$S$2)</f>
        <v/>
      </c>
      <c r="AB202" s="40"/>
      <c r="AC202" s="41"/>
      <c r="AD202" s="17"/>
      <c r="AE202" s="17"/>
      <c r="AF202" s="17"/>
      <c r="AG202" s="46" t="str">
        <f aca="true">IF(OR(D202="",B202=""),"",INT(TODAY()-B202))</f>
        <v/>
      </c>
      <c r="AH202" s="44" t="str">
        <f aca="true">IF(D202="","",IF(OR(COUNTIFS(Clients!$C$2:$C$501,D202,Clients!$S$2:$S$501,"Paid")&gt;0,AND(H202&lt;&gt;"",COUNTIFS(Clients!$E$2:$E$501,H202,Clients!$S$2:$S$501,"Paid")&gt;0)),"⚠ Refunded before – no free video",IF(OR(X202="Contract signed + paid",X202="Closed – No response",X202="Lost"),"",IF(X202="","Set a stage",IF(AND(X202="Proposal sent",COUNTA(N202:S202)&lt;6),"Score this lead – proposal sent unscored",IF(N(Z202)&gt;=Settings!$S$3,"Close – 4 follow-ups sent",IF(AA202="",IF(Y202="","Make first contact",""),IF(TODAY()&gt;AA202,"OVERDUE follow-up",IF(TODAY()=AA202,"Follow up today","")))))))))</f>
        <v/>
      </c>
    </row>
    <row r="203" customFormat="false" ht="15" hidden="false" customHeight="false" outlineLevel="0" collapsed="false">
      <c r="A203" s="17"/>
      <c r="B203" s="40"/>
      <c r="C203" s="17"/>
      <c r="D203" s="17"/>
      <c r="E203" s="17"/>
      <c r="F203" s="17"/>
      <c r="G203" s="17"/>
      <c r="H203" s="42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44" t="str">
        <f aca="false">IF(OR(D203="",COUNTA(N203:S203)=0),"",SUMIFS(Settings!$AA$2:$AA$21,Settings!$Y$2:$Y$21,"Budget AED 5k+/mo?",Settings!$Z$2:$Z$21,N203)+SUMIFS(Settings!$AA$2:$AA$21,Settings!$Y$2:$Y$21,"Decision-maker?",Settings!$Z$2:$Z$21,O203)+SUMIFS(Settings!$AA$2:$AA$21,Settings!$Y$2:$Y$21,"Someone on camera?",Settings!$Z$2:$Z$21,P203)+SUMIFS(Settings!$AA$2:$AA$21,Settings!$Y$2:$Y$21,"OK with 3-month term?",Settings!$Z$2:$Z$21,Q203)+SUMIFS(Settings!$AA$2:$AA$21,Settings!$Y$2:$Y$21,"Start timeline",Settings!$Z$2:$Z$21,R203)+SUMIFS(Settings!$AA$2:$AA$21,Settings!$Y$2:$Y$21,"Social media gap",Settings!$Z$2:$Z$21,S203)+IF(E203="",0,IF(COUNTIF(Settings!$AC$2:$AC$6,E203)&gt;0,Settings!$AA$20,Settings!$AA$21)))</f>
        <v/>
      </c>
      <c r="U203" s="44" t="str">
        <f aca="false">IF(D203="","",IF(COUNTA(N203:S203)=0,"Not scored",IF(COUNTA(N203:S203)&lt;6,"Partly scored ("&amp;COUNTA(N203:S203)&amp;"/6)",IF(T203&gt;=Settings!$S$8,"Hot",IF(T203&gt;=Settings!$S$9,"Warm","Cold")))))</f>
        <v/>
      </c>
      <c r="V203" s="44" t="str">
        <f aca="false">IF(D203="","",IF(AND(N203="No",P203="No"),"🚩 Budget  ·  🚩 No one on camera",IF(N203="No","🚩 Budget under AED 5k",IF(P203="No","🚩 No one on camera",""))))</f>
        <v/>
      </c>
      <c r="W203" s="17"/>
      <c r="X203" s="17"/>
      <c r="Y203" s="40"/>
      <c r="Z203" s="17"/>
      <c r="AA203" s="45" t="str">
        <f aca="false">IF(OR(D203="",Y203="",OR(X203="Contract signed + paid",X203="Closed – No response",X203="Lost"),N(Z203)&gt;=Settings!$S$3),"",Y203+Settings!$S$2)</f>
        <v/>
      </c>
      <c r="AB203" s="40"/>
      <c r="AC203" s="41"/>
      <c r="AD203" s="17"/>
      <c r="AE203" s="17"/>
      <c r="AF203" s="17"/>
      <c r="AG203" s="46" t="str">
        <f aca="true">IF(OR(D203="",B203=""),"",INT(TODAY()-B203))</f>
        <v/>
      </c>
      <c r="AH203" s="44" t="str">
        <f aca="true">IF(D203="","",IF(OR(COUNTIFS(Clients!$C$2:$C$501,D203,Clients!$S$2:$S$501,"Paid")&gt;0,AND(H203&lt;&gt;"",COUNTIFS(Clients!$E$2:$E$501,H203,Clients!$S$2:$S$501,"Paid")&gt;0)),"⚠ Refunded before – no free video",IF(OR(X203="Contract signed + paid",X203="Closed – No response",X203="Lost"),"",IF(X203="","Set a stage",IF(AND(X203="Proposal sent",COUNTA(N203:S203)&lt;6),"Score this lead – proposal sent unscored",IF(N(Z203)&gt;=Settings!$S$3,"Close – 4 follow-ups sent",IF(AA203="",IF(Y203="","Make first contact",""),IF(TODAY()&gt;AA203,"OVERDUE follow-up",IF(TODAY()=AA203,"Follow up today","")))))))))</f>
        <v/>
      </c>
    </row>
    <row r="204" customFormat="false" ht="15" hidden="false" customHeight="false" outlineLevel="0" collapsed="false">
      <c r="A204" s="17"/>
      <c r="B204" s="40"/>
      <c r="C204" s="17"/>
      <c r="D204" s="17"/>
      <c r="E204" s="17"/>
      <c r="F204" s="17"/>
      <c r="G204" s="17"/>
      <c r="H204" s="42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44" t="str">
        <f aca="false">IF(OR(D204="",COUNTA(N204:S204)=0),"",SUMIFS(Settings!$AA$2:$AA$21,Settings!$Y$2:$Y$21,"Budget AED 5k+/mo?",Settings!$Z$2:$Z$21,N204)+SUMIFS(Settings!$AA$2:$AA$21,Settings!$Y$2:$Y$21,"Decision-maker?",Settings!$Z$2:$Z$21,O204)+SUMIFS(Settings!$AA$2:$AA$21,Settings!$Y$2:$Y$21,"Someone on camera?",Settings!$Z$2:$Z$21,P204)+SUMIFS(Settings!$AA$2:$AA$21,Settings!$Y$2:$Y$21,"OK with 3-month term?",Settings!$Z$2:$Z$21,Q204)+SUMIFS(Settings!$AA$2:$AA$21,Settings!$Y$2:$Y$21,"Start timeline",Settings!$Z$2:$Z$21,R204)+SUMIFS(Settings!$AA$2:$AA$21,Settings!$Y$2:$Y$21,"Social media gap",Settings!$Z$2:$Z$21,S204)+IF(E204="",0,IF(COUNTIF(Settings!$AC$2:$AC$6,E204)&gt;0,Settings!$AA$20,Settings!$AA$21)))</f>
        <v/>
      </c>
      <c r="U204" s="44" t="str">
        <f aca="false">IF(D204="","",IF(COUNTA(N204:S204)=0,"Not scored",IF(COUNTA(N204:S204)&lt;6,"Partly scored ("&amp;COUNTA(N204:S204)&amp;"/6)",IF(T204&gt;=Settings!$S$8,"Hot",IF(T204&gt;=Settings!$S$9,"Warm","Cold")))))</f>
        <v/>
      </c>
      <c r="V204" s="44" t="str">
        <f aca="false">IF(D204="","",IF(AND(N204="No",P204="No"),"🚩 Budget  ·  🚩 No one on camera",IF(N204="No","🚩 Budget under AED 5k",IF(P204="No","🚩 No one on camera",""))))</f>
        <v/>
      </c>
      <c r="W204" s="17"/>
      <c r="X204" s="17"/>
      <c r="Y204" s="40"/>
      <c r="Z204" s="17"/>
      <c r="AA204" s="45" t="str">
        <f aca="false">IF(OR(D204="",Y204="",OR(X204="Contract signed + paid",X204="Closed – No response",X204="Lost"),N(Z204)&gt;=Settings!$S$3),"",Y204+Settings!$S$2)</f>
        <v/>
      </c>
      <c r="AB204" s="40"/>
      <c r="AC204" s="41"/>
      <c r="AD204" s="17"/>
      <c r="AE204" s="17"/>
      <c r="AF204" s="17"/>
      <c r="AG204" s="46" t="str">
        <f aca="true">IF(OR(D204="",B204=""),"",INT(TODAY()-B204))</f>
        <v/>
      </c>
      <c r="AH204" s="44" t="str">
        <f aca="true">IF(D204="","",IF(OR(COUNTIFS(Clients!$C$2:$C$501,D204,Clients!$S$2:$S$501,"Paid")&gt;0,AND(H204&lt;&gt;"",COUNTIFS(Clients!$E$2:$E$501,H204,Clients!$S$2:$S$501,"Paid")&gt;0)),"⚠ Refunded before – no free video",IF(OR(X204="Contract signed + paid",X204="Closed – No response",X204="Lost"),"",IF(X204="","Set a stage",IF(AND(X204="Proposal sent",COUNTA(N204:S204)&lt;6),"Score this lead – proposal sent unscored",IF(N(Z204)&gt;=Settings!$S$3,"Close – 4 follow-ups sent",IF(AA204="",IF(Y204="","Make first contact",""),IF(TODAY()&gt;AA204,"OVERDUE follow-up",IF(TODAY()=AA204,"Follow up today","")))))))))</f>
        <v/>
      </c>
    </row>
    <row r="205" customFormat="false" ht="15" hidden="false" customHeight="false" outlineLevel="0" collapsed="false">
      <c r="A205" s="17"/>
      <c r="B205" s="40"/>
      <c r="C205" s="17"/>
      <c r="D205" s="17"/>
      <c r="E205" s="17"/>
      <c r="F205" s="17"/>
      <c r="G205" s="17"/>
      <c r="H205" s="42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44" t="str">
        <f aca="false">IF(OR(D205="",COUNTA(N205:S205)=0),"",SUMIFS(Settings!$AA$2:$AA$21,Settings!$Y$2:$Y$21,"Budget AED 5k+/mo?",Settings!$Z$2:$Z$21,N205)+SUMIFS(Settings!$AA$2:$AA$21,Settings!$Y$2:$Y$21,"Decision-maker?",Settings!$Z$2:$Z$21,O205)+SUMIFS(Settings!$AA$2:$AA$21,Settings!$Y$2:$Y$21,"Someone on camera?",Settings!$Z$2:$Z$21,P205)+SUMIFS(Settings!$AA$2:$AA$21,Settings!$Y$2:$Y$21,"OK with 3-month term?",Settings!$Z$2:$Z$21,Q205)+SUMIFS(Settings!$AA$2:$AA$21,Settings!$Y$2:$Y$21,"Start timeline",Settings!$Z$2:$Z$21,R205)+SUMIFS(Settings!$AA$2:$AA$21,Settings!$Y$2:$Y$21,"Social media gap",Settings!$Z$2:$Z$21,S205)+IF(E205="",0,IF(COUNTIF(Settings!$AC$2:$AC$6,E205)&gt;0,Settings!$AA$20,Settings!$AA$21)))</f>
        <v/>
      </c>
      <c r="U205" s="44" t="str">
        <f aca="false">IF(D205="","",IF(COUNTA(N205:S205)=0,"Not scored",IF(COUNTA(N205:S205)&lt;6,"Partly scored ("&amp;COUNTA(N205:S205)&amp;"/6)",IF(T205&gt;=Settings!$S$8,"Hot",IF(T205&gt;=Settings!$S$9,"Warm","Cold")))))</f>
        <v/>
      </c>
      <c r="V205" s="44" t="str">
        <f aca="false">IF(D205="","",IF(AND(N205="No",P205="No"),"🚩 Budget  ·  🚩 No one on camera",IF(N205="No","🚩 Budget under AED 5k",IF(P205="No","🚩 No one on camera",""))))</f>
        <v/>
      </c>
      <c r="W205" s="17"/>
      <c r="X205" s="17"/>
      <c r="Y205" s="40"/>
      <c r="Z205" s="17"/>
      <c r="AA205" s="45" t="str">
        <f aca="false">IF(OR(D205="",Y205="",OR(X205="Contract signed + paid",X205="Closed – No response",X205="Lost"),N(Z205)&gt;=Settings!$S$3),"",Y205+Settings!$S$2)</f>
        <v/>
      </c>
      <c r="AB205" s="40"/>
      <c r="AC205" s="41"/>
      <c r="AD205" s="17"/>
      <c r="AE205" s="17"/>
      <c r="AF205" s="17"/>
      <c r="AG205" s="46" t="str">
        <f aca="true">IF(OR(D205="",B205=""),"",INT(TODAY()-B205))</f>
        <v/>
      </c>
      <c r="AH205" s="44" t="str">
        <f aca="true">IF(D205="","",IF(OR(COUNTIFS(Clients!$C$2:$C$501,D205,Clients!$S$2:$S$501,"Paid")&gt;0,AND(H205&lt;&gt;"",COUNTIFS(Clients!$E$2:$E$501,H205,Clients!$S$2:$S$501,"Paid")&gt;0)),"⚠ Refunded before – no free video",IF(OR(X205="Contract signed + paid",X205="Closed – No response",X205="Lost"),"",IF(X205="","Set a stage",IF(AND(X205="Proposal sent",COUNTA(N205:S205)&lt;6),"Score this lead – proposal sent unscored",IF(N(Z205)&gt;=Settings!$S$3,"Close – 4 follow-ups sent",IF(AA205="",IF(Y205="","Make first contact",""),IF(TODAY()&gt;AA205,"OVERDUE follow-up",IF(TODAY()=AA205,"Follow up today","")))))))))</f>
        <v/>
      </c>
    </row>
    <row r="206" customFormat="false" ht="15" hidden="false" customHeight="false" outlineLevel="0" collapsed="false">
      <c r="A206" s="17"/>
      <c r="B206" s="40"/>
      <c r="C206" s="17"/>
      <c r="D206" s="17"/>
      <c r="E206" s="17"/>
      <c r="F206" s="17"/>
      <c r="G206" s="17"/>
      <c r="H206" s="42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44" t="str">
        <f aca="false">IF(OR(D206="",COUNTA(N206:S206)=0),"",SUMIFS(Settings!$AA$2:$AA$21,Settings!$Y$2:$Y$21,"Budget AED 5k+/mo?",Settings!$Z$2:$Z$21,N206)+SUMIFS(Settings!$AA$2:$AA$21,Settings!$Y$2:$Y$21,"Decision-maker?",Settings!$Z$2:$Z$21,O206)+SUMIFS(Settings!$AA$2:$AA$21,Settings!$Y$2:$Y$21,"Someone on camera?",Settings!$Z$2:$Z$21,P206)+SUMIFS(Settings!$AA$2:$AA$21,Settings!$Y$2:$Y$21,"OK with 3-month term?",Settings!$Z$2:$Z$21,Q206)+SUMIFS(Settings!$AA$2:$AA$21,Settings!$Y$2:$Y$21,"Start timeline",Settings!$Z$2:$Z$21,R206)+SUMIFS(Settings!$AA$2:$AA$21,Settings!$Y$2:$Y$21,"Social media gap",Settings!$Z$2:$Z$21,S206)+IF(E206="",0,IF(COUNTIF(Settings!$AC$2:$AC$6,E206)&gt;0,Settings!$AA$20,Settings!$AA$21)))</f>
        <v/>
      </c>
      <c r="U206" s="44" t="str">
        <f aca="false">IF(D206="","",IF(COUNTA(N206:S206)=0,"Not scored",IF(COUNTA(N206:S206)&lt;6,"Partly scored ("&amp;COUNTA(N206:S206)&amp;"/6)",IF(T206&gt;=Settings!$S$8,"Hot",IF(T206&gt;=Settings!$S$9,"Warm","Cold")))))</f>
        <v/>
      </c>
      <c r="V206" s="44" t="str">
        <f aca="false">IF(D206="","",IF(AND(N206="No",P206="No"),"🚩 Budget  ·  🚩 No one on camera",IF(N206="No","🚩 Budget under AED 5k",IF(P206="No","🚩 No one on camera",""))))</f>
        <v/>
      </c>
      <c r="W206" s="17"/>
      <c r="X206" s="17"/>
      <c r="Y206" s="40"/>
      <c r="Z206" s="17"/>
      <c r="AA206" s="45" t="str">
        <f aca="false">IF(OR(D206="",Y206="",OR(X206="Contract signed + paid",X206="Closed – No response",X206="Lost"),N(Z206)&gt;=Settings!$S$3),"",Y206+Settings!$S$2)</f>
        <v/>
      </c>
      <c r="AB206" s="40"/>
      <c r="AC206" s="41"/>
      <c r="AD206" s="17"/>
      <c r="AE206" s="17"/>
      <c r="AF206" s="17"/>
      <c r="AG206" s="46" t="str">
        <f aca="true">IF(OR(D206="",B206=""),"",INT(TODAY()-B206))</f>
        <v/>
      </c>
      <c r="AH206" s="44" t="str">
        <f aca="true">IF(D206="","",IF(OR(COUNTIFS(Clients!$C$2:$C$501,D206,Clients!$S$2:$S$501,"Paid")&gt;0,AND(H206&lt;&gt;"",COUNTIFS(Clients!$E$2:$E$501,H206,Clients!$S$2:$S$501,"Paid")&gt;0)),"⚠ Refunded before – no free video",IF(OR(X206="Contract signed + paid",X206="Closed – No response",X206="Lost"),"",IF(X206="","Set a stage",IF(AND(X206="Proposal sent",COUNTA(N206:S206)&lt;6),"Score this lead – proposal sent unscored",IF(N(Z206)&gt;=Settings!$S$3,"Close – 4 follow-ups sent",IF(AA206="",IF(Y206="","Make first contact",""),IF(TODAY()&gt;AA206,"OVERDUE follow-up",IF(TODAY()=AA206,"Follow up today","")))))))))</f>
        <v/>
      </c>
    </row>
    <row r="207" customFormat="false" ht="15" hidden="false" customHeight="false" outlineLevel="0" collapsed="false">
      <c r="A207" s="17"/>
      <c r="B207" s="40"/>
      <c r="C207" s="17"/>
      <c r="D207" s="17"/>
      <c r="E207" s="17"/>
      <c r="F207" s="17"/>
      <c r="G207" s="17"/>
      <c r="H207" s="42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44" t="str">
        <f aca="false">IF(OR(D207="",COUNTA(N207:S207)=0),"",SUMIFS(Settings!$AA$2:$AA$21,Settings!$Y$2:$Y$21,"Budget AED 5k+/mo?",Settings!$Z$2:$Z$21,N207)+SUMIFS(Settings!$AA$2:$AA$21,Settings!$Y$2:$Y$21,"Decision-maker?",Settings!$Z$2:$Z$21,O207)+SUMIFS(Settings!$AA$2:$AA$21,Settings!$Y$2:$Y$21,"Someone on camera?",Settings!$Z$2:$Z$21,P207)+SUMIFS(Settings!$AA$2:$AA$21,Settings!$Y$2:$Y$21,"OK with 3-month term?",Settings!$Z$2:$Z$21,Q207)+SUMIFS(Settings!$AA$2:$AA$21,Settings!$Y$2:$Y$21,"Start timeline",Settings!$Z$2:$Z$21,R207)+SUMIFS(Settings!$AA$2:$AA$21,Settings!$Y$2:$Y$21,"Social media gap",Settings!$Z$2:$Z$21,S207)+IF(E207="",0,IF(COUNTIF(Settings!$AC$2:$AC$6,E207)&gt;0,Settings!$AA$20,Settings!$AA$21)))</f>
        <v/>
      </c>
      <c r="U207" s="44" t="str">
        <f aca="false">IF(D207="","",IF(COUNTA(N207:S207)=0,"Not scored",IF(COUNTA(N207:S207)&lt;6,"Partly scored ("&amp;COUNTA(N207:S207)&amp;"/6)",IF(T207&gt;=Settings!$S$8,"Hot",IF(T207&gt;=Settings!$S$9,"Warm","Cold")))))</f>
        <v/>
      </c>
      <c r="V207" s="44" t="str">
        <f aca="false">IF(D207="","",IF(AND(N207="No",P207="No"),"🚩 Budget  ·  🚩 No one on camera",IF(N207="No","🚩 Budget under AED 5k",IF(P207="No","🚩 No one on camera",""))))</f>
        <v/>
      </c>
      <c r="W207" s="17"/>
      <c r="X207" s="17"/>
      <c r="Y207" s="40"/>
      <c r="Z207" s="17"/>
      <c r="AA207" s="45" t="str">
        <f aca="false">IF(OR(D207="",Y207="",OR(X207="Contract signed + paid",X207="Closed – No response",X207="Lost"),N(Z207)&gt;=Settings!$S$3),"",Y207+Settings!$S$2)</f>
        <v/>
      </c>
      <c r="AB207" s="40"/>
      <c r="AC207" s="41"/>
      <c r="AD207" s="17"/>
      <c r="AE207" s="17"/>
      <c r="AF207" s="17"/>
      <c r="AG207" s="46" t="str">
        <f aca="true">IF(OR(D207="",B207=""),"",INT(TODAY()-B207))</f>
        <v/>
      </c>
      <c r="AH207" s="44" t="str">
        <f aca="true">IF(D207="","",IF(OR(COUNTIFS(Clients!$C$2:$C$501,D207,Clients!$S$2:$S$501,"Paid")&gt;0,AND(H207&lt;&gt;"",COUNTIFS(Clients!$E$2:$E$501,H207,Clients!$S$2:$S$501,"Paid")&gt;0)),"⚠ Refunded before – no free video",IF(OR(X207="Contract signed + paid",X207="Closed – No response",X207="Lost"),"",IF(X207="","Set a stage",IF(AND(X207="Proposal sent",COUNTA(N207:S207)&lt;6),"Score this lead – proposal sent unscored",IF(N(Z207)&gt;=Settings!$S$3,"Close – 4 follow-ups sent",IF(AA207="",IF(Y207="","Make first contact",""),IF(TODAY()&gt;AA207,"OVERDUE follow-up",IF(TODAY()=AA207,"Follow up today","")))))))))</f>
        <v/>
      </c>
    </row>
    <row r="208" customFormat="false" ht="15" hidden="false" customHeight="false" outlineLevel="0" collapsed="false">
      <c r="A208" s="17"/>
      <c r="B208" s="40"/>
      <c r="C208" s="17"/>
      <c r="D208" s="17"/>
      <c r="E208" s="17"/>
      <c r="F208" s="17"/>
      <c r="G208" s="17"/>
      <c r="H208" s="42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44" t="str">
        <f aca="false">IF(OR(D208="",COUNTA(N208:S208)=0),"",SUMIFS(Settings!$AA$2:$AA$21,Settings!$Y$2:$Y$21,"Budget AED 5k+/mo?",Settings!$Z$2:$Z$21,N208)+SUMIFS(Settings!$AA$2:$AA$21,Settings!$Y$2:$Y$21,"Decision-maker?",Settings!$Z$2:$Z$21,O208)+SUMIFS(Settings!$AA$2:$AA$21,Settings!$Y$2:$Y$21,"Someone on camera?",Settings!$Z$2:$Z$21,P208)+SUMIFS(Settings!$AA$2:$AA$21,Settings!$Y$2:$Y$21,"OK with 3-month term?",Settings!$Z$2:$Z$21,Q208)+SUMIFS(Settings!$AA$2:$AA$21,Settings!$Y$2:$Y$21,"Start timeline",Settings!$Z$2:$Z$21,R208)+SUMIFS(Settings!$AA$2:$AA$21,Settings!$Y$2:$Y$21,"Social media gap",Settings!$Z$2:$Z$21,S208)+IF(E208="",0,IF(COUNTIF(Settings!$AC$2:$AC$6,E208)&gt;0,Settings!$AA$20,Settings!$AA$21)))</f>
        <v/>
      </c>
      <c r="U208" s="44" t="str">
        <f aca="false">IF(D208="","",IF(COUNTA(N208:S208)=0,"Not scored",IF(COUNTA(N208:S208)&lt;6,"Partly scored ("&amp;COUNTA(N208:S208)&amp;"/6)",IF(T208&gt;=Settings!$S$8,"Hot",IF(T208&gt;=Settings!$S$9,"Warm","Cold")))))</f>
        <v/>
      </c>
      <c r="V208" s="44" t="str">
        <f aca="false">IF(D208="","",IF(AND(N208="No",P208="No"),"🚩 Budget  ·  🚩 No one on camera",IF(N208="No","🚩 Budget under AED 5k",IF(P208="No","🚩 No one on camera",""))))</f>
        <v/>
      </c>
      <c r="W208" s="17"/>
      <c r="X208" s="17"/>
      <c r="Y208" s="40"/>
      <c r="Z208" s="17"/>
      <c r="AA208" s="45" t="str">
        <f aca="false">IF(OR(D208="",Y208="",OR(X208="Contract signed + paid",X208="Closed – No response",X208="Lost"),N(Z208)&gt;=Settings!$S$3),"",Y208+Settings!$S$2)</f>
        <v/>
      </c>
      <c r="AB208" s="40"/>
      <c r="AC208" s="41"/>
      <c r="AD208" s="17"/>
      <c r="AE208" s="17"/>
      <c r="AF208" s="17"/>
      <c r="AG208" s="46" t="str">
        <f aca="true">IF(OR(D208="",B208=""),"",INT(TODAY()-B208))</f>
        <v/>
      </c>
      <c r="AH208" s="44" t="str">
        <f aca="true">IF(D208="","",IF(OR(COUNTIFS(Clients!$C$2:$C$501,D208,Clients!$S$2:$S$501,"Paid")&gt;0,AND(H208&lt;&gt;"",COUNTIFS(Clients!$E$2:$E$501,H208,Clients!$S$2:$S$501,"Paid")&gt;0)),"⚠ Refunded before – no free video",IF(OR(X208="Contract signed + paid",X208="Closed – No response",X208="Lost"),"",IF(X208="","Set a stage",IF(AND(X208="Proposal sent",COUNTA(N208:S208)&lt;6),"Score this lead – proposal sent unscored",IF(N(Z208)&gt;=Settings!$S$3,"Close – 4 follow-ups sent",IF(AA208="",IF(Y208="","Make first contact",""),IF(TODAY()&gt;AA208,"OVERDUE follow-up",IF(TODAY()=AA208,"Follow up today","")))))))))</f>
        <v/>
      </c>
    </row>
    <row r="209" customFormat="false" ht="15" hidden="false" customHeight="false" outlineLevel="0" collapsed="false">
      <c r="A209" s="17"/>
      <c r="B209" s="40"/>
      <c r="C209" s="17"/>
      <c r="D209" s="17"/>
      <c r="E209" s="17"/>
      <c r="F209" s="17"/>
      <c r="G209" s="17"/>
      <c r="H209" s="42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44" t="str">
        <f aca="false">IF(OR(D209="",COUNTA(N209:S209)=0),"",SUMIFS(Settings!$AA$2:$AA$21,Settings!$Y$2:$Y$21,"Budget AED 5k+/mo?",Settings!$Z$2:$Z$21,N209)+SUMIFS(Settings!$AA$2:$AA$21,Settings!$Y$2:$Y$21,"Decision-maker?",Settings!$Z$2:$Z$21,O209)+SUMIFS(Settings!$AA$2:$AA$21,Settings!$Y$2:$Y$21,"Someone on camera?",Settings!$Z$2:$Z$21,P209)+SUMIFS(Settings!$AA$2:$AA$21,Settings!$Y$2:$Y$21,"OK with 3-month term?",Settings!$Z$2:$Z$21,Q209)+SUMIFS(Settings!$AA$2:$AA$21,Settings!$Y$2:$Y$21,"Start timeline",Settings!$Z$2:$Z$21,R209)+SUMIFS(Settings!$AA$2:$AA$21,Settings!$Y$2:$Y$21,"Social media gap",Settings!$Z$2:$Z$21,S209)+IF(E209="",0,IF(COUNTIF(Settings!$AC$2:$AC$6,E209)&gt;0,Settings!$AA$20,Settings!$AA$21)))</f>
        <v/>
      </c>
      <c r="U209" s="44" t="str">
        <f aca="false">IF(D209="","",IF(COUNTA(N209:S209)=0,"Not scored",IF(COUNTA(N209:S209)&lt;6,"Partly scored ("&amp;COUNTA(N209:S209)&amp;"/6)",IF(T209&gt;=Settings!$S$8,"Hot",IF(T209&gt;=Settings!$S$9,"Warm","Cold")))))</f>
        <v/>
      </c>
      <c r="V209" s="44" t="str">
        <f aca="false">IF(D209="","",IF(AND(N209="No",P209="No"),"🚩 Budget  ·  🚩 No one on camera",IF(N209="No","🚩 Budget under AED 5k",IF(P209="No","🚩 No one on camera",""))))</f>
        <v/>
      </c>
      <c r="W209" s="17"/>
      <c r="X209" s="17"/>
      <c r="Y209" s="40"/>
      <c r="Z209" s="17"/>
      <c r="AA209" s="45" t="str">
        <f aca="false">IF(OR(D209="",Y209="",OR(X209="Contract signed + paid",X209="Closed – No response",X209="Lost"),N(Z209)&gt;=Settings!$S$3),"",Y209+Settings!$S$2)</f>
        <v/>
      </c>
      <c r="AB209" s="40"/>
      <c r="AC209" s="41"/>
      <c r="AD209" s="17"/>
      <c r="AE209" s="17"/>
      <c r="AF209" s="17"/>
      <c r="AG209" s="46" t="str">
        <f aca="true">IF(OR(D209="",B209=""),"",INT(TODAY()-B209))</f>
        <v/>
      </c>
      <c r="AH209" s="44" t="str">
        <f aca="true">IF(D209="","",IF(OR(COUNTIFS(Clients!$C$2:$C$501,D209,Clients!$S$2:$S$501,"Paid")&gt;0,AND(H209&lt;&gt;"",COUNTIFS(Clients!$E$2:$E$501,H209,Clients!$S$2:$S$501,"Paid")&gt;0)),"⚠ Refunded before – no free video",IF(OR(X209="Contract signed + paid",X209="Closed – No response",X209="Lost"),"",IF(X209="","Set a stage",IF(AND(X209="Proposal sent",COUNTA(N209:S209)&lt;6),"Score this lead – proposal sent unscored",IF(N(Z209)&gt;=Settings!$S$3,"Close – 4 follow-ups sent",IF(AA209="",IF(Y209="","Make first contact",""),IF(TODAY()&gt;AA209,"OVERDUE follow-up",IF(TODAY()=AA209,"Follow up today","")))))))))</f>
        <v/>
      </c>
    </row>
    <row r="210" customFormat="false" ht="15" hidden="false" customHeight="false" outlineLevel="0" collapsed="false">
      <c r="A210" s="17"/>
      <c r="B210" s="40"/>
      <c r="C210" s="17"/>
      <c r="D210" s="17"/>
      <c r="E210" s="17"/>
      <c r="F210" s="17"/>
      <c r="G210" s="17"/>
      <c r="H210" s="42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44" t="str">
        <f aca="false">IF(OR(D210="",COUNTA(N210:S210)=0),"",SUMIFS(Settings!$AA$2:$AA$21,Settings!$Y$2:$Y$21,"Budget AED 5k+/mo?",Settings!$Z$2:$Z$21,N210)+SUMIFS(Settings!$AA$2:$AA$21,Settings!$Y$2:$Y$21,"Decision-maker?",Settings!$Z$2:$Z$21,O210)+SUMIFS(Settings!$AA$2:$AA$21,Settings!$Y$2:$Y$21,"Someone on camera?",Settings!$Z$2:$Z$21,P210)+SUMIFS(Settings!$AA$2:$AA$21,Settings!$Y$2:$Y$21,"OK with 3-month term?",Settings!$Z$2:$Z$21,Q210)+SUMIFS(Settings!$AA$2:$AA$21,Settings!$Y$2:$Y$21,"Start timeline",Settings!$Z$2:$Z$21,R210)+SUMIFS(Settings!$AA$2:$AA$21,Settings!$Y$2:$Y$21,"Social media gap",Settings!$Z$2:$Z$21,S210)+IF(E210="",0,IF(COUNTIF(Settings!$AC$2:$AC$6,E210)&gt;0,Settings!$AA$20,Settings!$AA$21)))</f>
        <v/>
      </c>
      <c r="U210" s="44" t="str">
        <f aca="false">IF(D210="","",IF(COUNTA(N210:S210)=0,"Not scored",IF(COUNTA(N210:S210)&lt;6,"Partly scored ("&amp;COUNTA(N210:S210)&amp;"/6)",IF(T210&gt;=Settings!$S$8,"Hot",IF(T210&gt;=Settings!$S$9,"Warm","Cold")))))</f>
        <v/>
      </c>
      <c r="V210" s="44" t="str">
        <f aca="false">IF(D210="","",IF(AND(N210="No",P210="No"),"🚩 Budget  ·  🚩 No one on camera",IF(N210="No","🚩 Budget under AED 5k",IF(P210="No","🚩 No one on camera",""))))</f>
        <v/>
      </c>
      <c r="W210" s="17"/>
      <c r="X210" s="17"/>
      <c r="Y210" s="40"/>
      <c r="Z210" s="17"/>
      <c r="AA210" s="45" t="str">
        <f aca="false">IF(OR(D210="",Y210="",OR(X210="Contract signed + paid",X210="Closed – No response",X210="Lost"),N(Z210)&gt;=Settings!$S$3),"",Y210+Settings!$S$2)</f>
        <v/>
      </c>
      <c r="AB210" s="40"/>
      <c r="AC210" s="41"/>
      <c r="AD210" s="17"/>
      <c r="AE210" s="17"/>
      <c r="AF210" s="17"/>
      <c r="AG210" s="46" t="str">
        <f aca="true">IF(OR(D210="",B210=""),"",INT(TODAY()-B210))</f>
        <v/>
      </c>
      <c r="AH210" s="44" t="str">
        <f aca="true">IF(D210="","",IF(OR(COUNTIFS(Clients!$C$2:$C$501,D210,Clients!$S$2:$S$501,"Paid")&gt;0,AND(H210&lt;&gt;"",COUNTIFS(Clients!$E$2:$E$501,H210,Clients!$S$2:$S$501,"Paid")&gt;0)),"⚠ Refunded before – no free video",IF(OR(X210="Contract signed + paid",X210="Closed – No response",X210="Lost"),"",IF(X210="","Set a stage",IF(AND(X210="Proposal sent",COUNTA(N210:S210)&lt;6),"Score this lead – proposal sent unscored",IF(N(Z210)&gt;=Settings!$S$3,"Close – 4 follow-ups sent",IF(AA210="",IF(Y210="","Make first contact",""),IF(TODAY()&gt;AA210,"OVERDUE follow-up",IF(TODAY()=AA210,"Follow up today","")))))))))</f>
        <v/>
      </c>
    </row>
    <row r="211" customFormat="false" ht="15" hidden="false" customHeight="false" outlineLevel="0" collapsed="false">
      <c r="A211" s="17"/>
      <c r="B211" s="40"/>
      <c r="C211" s="17"/>
      <c r="D211" s="17"/>
      <c r="E211" s="17"/>
      <c r="F211" s="17"/>
      <c r="G211" s="17"/>
      <c r="H211" s="42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44" t="str">
        <f aca="false">IF(OR(D211="",COUNTA(N211:S211)=0),"",SUMIFS(Settings!$AA$2:$AA$21,Settings!$Y$2:$Y$21,"Budget AED 5k+/mo?",Settings!$Z$2:$Z$21,N211)+SUMIFS(Settings!$AA$2:$AA$21,Settings!$Y$2:$Y$21,"Decision-maker?",Settings!$Z$2:$Z$21,O211)+SUMIFS(Settings!$AA$2:$AA$21,Settings!$Y$2:$Y$21,"Someone on camera?",Settings!$Z$2:$Z$21,P211)+SUMIFS(Settings!$AA$2:$AA$21,Settings!$Y$2:$Y$21,"OK with 3-month term?",Settings!$Z$2:$Z$21,Q211)+SUMIFS(Settings!$AA$2:$AA$21,Settings!$Y$2:$Y$21,"Start timeline",Settings!$Z$2:$Z$21,R211)+SUMIFS(Settings!$AA$2:$AA$21,Settings!$Y$2:$Y$21,"Social media gap",Settings!$Z$2:$Z$21,S211)+IF(E211="",0,IF(COUNTIF(Settings!$AC$2:$AC$6,E211)&gt;0,Settings!$AA$20,Settings!$AA$21)))</f>
        <v/>
      </c>
      <c r="U211" s="44" t="str">
        <f aca="false">IF(D211="","",IF(COUNTA(N211:S211)=0,"Not scored",IF(COUNTA(N211:S211)&lt;6,"Partly scored ("&amp;COUNTA(N211:S211)&amp;"/6)",IF(T211&gt;=Settings!$S$8,"Hot",IF(T211&gt;=Settings!$S$9,"Warm","Cold")))))</f>
        <v/>
      </c>
      <c r="V211" s="44" t="str">
        <f aca="false">IF(D211="","",IF(AND(N211="No",P211="No"),"🚩 Budget  ·  🚩 No one on camera",IF(N211="No","🚩 Budget under AED 5k",IF(P211="No","🚩 No one on camera",""))))</f>
        <v/>
      </c>
      <c r="W211" s="17"/>
      <c r="X211" s="17"/>
      <c r="Y211" s="40"/>
      <c r="Z211" s="17"/>
      <c r="AA211" s="45" t="str">
        <f aca="false">IF(OR(D211="",Y211="",OR(X211="Contract signed + paid",X211="Closed – No response",X211="Lost"),N(Z211)&gt;=Settings!$S$3),"",Y211+Settings!$S$2)</f>
        <v/>
      </c>
      <c r="AB211" s="40"/>
      <c r="AC211" s="41"/>
      <c r="AD211" s="17"/>
      <c r="AE211" s="17"/>
      <c r="AF211" s="17"/>
      <c r="AG211" s="46" t="str">
        <f aca="true">IF(OR(D211="",B211=""),"",INT(TODAY()-B211))</f>
        <v/>
      </c>
      <c r="AH211" s="44" t="str">
        <f aca="true">IF(D211="","",IF(OR(COUNTIFS(Clients!$C$2:$C$501,D211,Clients!$S$2:$S$501,"Paid")&gt;0,AND(H211&lt;&gt;"",COUNTIFS(Clients!$E$2:$E$501,H211,Clients!$S$2:$S$501,"Paid")&gt;0)),"⚠ Refunded before – no free video",IF(OR(X211="Contract signed + paid",X211="Closed – No response",X211="Lost"),"",IF(X211="","Set a stage",IF(AND(X211="Proposal sent",COUNTA(N211:S211)&lt;6),"Score this lead – proposal sent unscored",IF(N(Z211)&gt;=Settings!$S$3,"Close – 4 follow-ups sent",IF(AA211="",IF(Y211="","Make first contact",""),IF(TODAY()&gt;AA211,"OVERDUE follow-up",IF(TODAY()=AA211,"Follow up today","")))))))))</f>
        <v/>
      </c>
    </row>
    <row r="212" customFormat="false" ht="15" hidden="false" customHeight="false" outlineLevel="0" collapsed="false">
      <c r="A212" s="17"/>
      <c r="B212" s="40"/>
      <c r="C212" s="17"/>
      <c r="D212" s="17"/>
      <c r="E212" s="17"/>
      <c r="F212" s="17"/>
      <c r="G212" s="17"/>
      <c r="H212" s="42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44" t="str">
        <f aca="false">IF(OR(D212="",COUNTA(N212:S212)=0),"",SUMIFS(Settings!$AA$2:$AA$21,Settings!$Y$2:$Y$21,"Budget AED 5k+/mo?",Settings!$Z$2:$Z$21,N212)+SUMIFS(Settings!$AA$2:$AA$21,Settings!$Y$2:$Y$21,"Decision-maker?",Settings!$Z$2:$Z$21,O212)+SUMIFS(Settings!$AA$2:$AA$21,Settings!$Y$2:$Y$21,"Someone on camera?",Settings!$Z$2:$Z$21,P212)+SUMIFS(Settings!$AA$2:$AA$21,Settings!$Y$2:$Y$21,"OK with 3-month term?",Settings!$Z$2:$Z$21,Q212)+SUMIFS(Settings!$AA$2:$AA$21,Settings!$Y$2:$Y$21,"Start timeline",Settings!$Z$2:$Z$21,R212)+SUMIFS(Settings!$AA$2:$AA$21,Settings!$Y$2:$Y$21,"Social media gap",Settings!$Z$2:$Z$21,S212)+IF(E212="",0,IF(COUNTIF(Settings!$AC$2:$AC$6,E212)&gt;0,Settings!$AA$20,Settings!$AA$21)))</f>
        <v/>
      </c>
      <c r="U212" s="44" t="str">
        <f aca="false">IF(D212="","",IF(COUNTA(N212:S212)=0,"Not scored",IF(COUNTA(N212:S212)&lt;6,"Partly scored ("&amp;COUNTA(N212:S212)&amp;"/6)",IF(T212&gt;=Settings!$S$8,"Hot",IF(T212&gt;=Settings!$S$9,"Warm","Cold")))))</f>
        <v/>
      </c>
      <c r="V212" s="44" t="str">
        <f aca="false">IF(D212="","",IF(AND(N212="No",P212="No"),"🚩 Budget  ·  🚩 No one on camera",IF(N212="No","🚩 Budget under AED 5k",IF(P212="No","🚩 No one on camera",""))))</f>
        <v/>
      </c>
      <c r="W212" s="17"/>
      <c r="X212" s="17"/>
      <c r="Y212" s="40"/>
      <c r="Z212" s="17"/>
      <c r="AA212" s="45" t="str">
        <f aca="false">IF(OR(D212="",Y212="",OR(X212="Contract signed + paid",X212="Closed – No response",X212="Lost"),N(Z212)&gt;=Settings!$S$3),"",Y212+Settings!$S$2)</f>
        <v/>
      </c>
      <c r="AB212" s="40"/>
      <c r="AC212" s="41"/>
      <c r="AD212" s="17"/>
      <c r="AE212" s="17"/>
      <c r="AF212" s="17"/>
      <c r="AG212" s="46" t="str">
        <f aca="true">IF(OR(D212="",B212=""),"",INT(TODAY()-B212))</f>
        <v/>
      </c>
      <c r="AH212" s="44" t="str">
        <f aca="true">IF(D212="","",IF(OR(COUNTIFS(Clients!$C$2:$C$501,D212,Clients!$S$2:$S$501,"Paid")&gt;0,AND(H212&lt;&gt;"",COUNTIFS(Clients!$E$2:$E$501,H212,Clients!$S$2:$S$501,"Paid")&gt;0)),"⚠ Refunded before – no free video",IF(OR(X212="Contract signed + paid",X212="Closed – No response",X212="Lost"),"",IF(X212="","Set a stage",IF(AND(X212="Proposal sent",COUNTA(N212:S212)&lt;6),"Score this lead – proposal sent unscored",IF(N(Z212)&gt;=Settings!$S$3,"Close – 4 follow-ups sent",IF(AA212="",IF(Y212="","Make first contact",""),IF(TODAY()&gt;AA212,"OVERDUE follow-up",IF(TODAY()=AA212,"Follow up today","")))))))))</f>
        <v/>
      </c>
    </row>
    <row r="213" customFormat="false" ht="15" hidden="false" customHeight="false" outlineLevel="0" collapsed="false">
      <c r="A213" s="17"/>
      <c r="B213" s="40"/>
      <c r="C213" s="17"/>
      <c r="D213" s="17"/>
      <c r="E213" s="17"/>
      <c r="F213" s="17"/>
      <c r="G213" s="17"/>
      <c r="H213" s="42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44" t="str">
        <f aca="false">IF(OR(D213="",COUNTA(N213:S213)=0),"",SUMIFS(Settings!$AA$2:$AA$21,Settings!$Y$2:$Y$21,"Budget AED 5k+/mo?",Settings!$Z$2:$Z$21,N213)+SUMIFS(Settings!$AA$2:$AA$21,Settings!$Y$2:$Y$21,"Decision-maker?",Settings!$Z$2:$Z$21,O213)+SUMIFS(Settings!$AA$2:$AA$21,Settings!$Y$2:$Y$21,"Someone on camera?",Settings!$Z$2:$Z$21,P213)+SUMIFS(Settings!$AA$2:$AA$21,Settings!$Y$2:$Y$21,"OK with 3-month term?",Settings!$Z$2:$Z$21,Q213)+SUMIFS(Settings!$AA$2:$AA$21,Settings!$Y$2:$Y$21,"Start timeline",Settings!$Z$2:$Z$21,R213)+SUMIFS(Settings!$AA$2:$AA$21,Settings!$Y$2:$Y$21,"Social media gap",Settings!$Z$2:$Z$21,S213)+IF(E213="",0,IF(COUNTIF(Settings!$AC$2:$AC$6,E213)&gt;0,Settings!$AA$20,Settings!$AA$21)))</f>
        <v/>
      </c>
      <c r="U213" s="44" t="str">
        <f aca="false">IF(D213="","",IF(COUNTA(N213:S213)=0,"Not scored",IF(COUNTA(N213:S213)&lt;6,"Partly scored ("&amp;COUNTA(N213:S213)&amp;"/6)",IF(T213&gt;=Settings!$S$8,"Hot",IF(T213&gt;=Settings!$S$9,"Warm","Cold")))))</f>
        <v/>
      </c>
      <c r="V213" s="44" t="str">
        <f aca="false">IF(D213="","",IF(AND(N213="No",P213="No"),"🚩 Budget  ·  🚩 No one on camera",IF(N213="No","🚩 Budget under AED 5k",IF(P213="No","🚩 No one on camera",""))))</f>
        <v/>
      </c>
      <c r="W213" s="17"/>
      <c r="X213" s="17"/>
      <c r="Y213" s="40"/>
      <c r="Z213" s="17"/>
      <c r="AA213" s="45" t="str">
        <f aca="false">IF(OR(D213="",Y213="",OR(X213="Contract signed + paid",X213="Closed – No response",X213="Lost"),N(Z213)&gt;=Settings!$S$3),"",Y213+Settings!$S$2)</f>
        <v/>
      </c>
      <c r="AB213" s="40"/>
      <c r="AC213" s="41"/>
      <c r="AD213" s="17"/>
      <c r="AE213" s="17"/>
      <c r="AF213" s="17"/>
      <c r="AG213" s="46" t="str">
        <f aca="true">IF(OR(D213="",B213=""),"",INT(TODAY()-B213))</f>
        <v/>
      </c>
      <c r="AH213" s="44" t="str">
        <f aca="true">IF(D213="","",IF(OR(COUNTIFS(Clients!$C$2:$C$501,D213,Clients!$S$2:$S$501,"Paid")&gt;0,AND(H213&lt;&gt;"",COUNTIFS(Clients!$E$2:$E$501,H213,Clients!$S$2:$S$501,"Paid")&gt;0)),"⚠ Refunded before – no free video",IF(OR(X213="Contract signed + paid",X213="Closed – No response",X213="Lost"),"",IF(X213="","Set a stage",IF(AND(X213="Proposal sent",COUNTA(N213:S213)&lt;6),"Score this lead – proposal sent unscored",IF(N(Z213)&gt;=Settings!$S$3,"Close – 4 follow-ups sent",IF(AA213="",IF(Y213="","Make first contact",""),IF(TODAY()&gt;AA213,"OVERDUE follow-up",IF(TODAY()=AA213,"Follow up today","")))))))))</f>
        <v/>
      </c>
    </row>
    <row r="214" customFormat="false" ht="15" hidden="false" customHeight="false" outlineLevel="0" collapsed="false">
      <c r="A214" s="17"/>
      <c r="B214" s="40"/>
      <c r="C214" s="17"/>
      <c r="D214" s="17"/>
      <c r="E214" s="17"/>
      <c r="F214" s="17"/>
      <c r="G214" s="17"/>
      <c r="H214" s="42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44" t="str">
        <f aca="false">IF(OR(D214="",COUNTA(N214:S214)=0),"",SUMIFS(Settings!$AA$2:$AA$21,Settings!$Y$2:$Y$21,"Budget AED 5k+/mo?",Settings!$Z$2:$Z$21,N214)+SUMIFS(Settings!$AA$2:$AA$21,Settings!$Y$2:$Y$21,"Decision-maker?",Settings!$Z$2:$Z$21,O214)+SUMIFS(Settings!$AA$2:$AA$21,Settings!$Y$2:$Y$21,"Someone on camera?",Settings!$Z$2:$Z$21,P214)+SUMIFS(Settings!$AA$2:$AA$21,Settings!$Y$2:$Y$21,"OK with 3-month term?",Settings!$Z$2:$Z$21,Q214)+SUMIFS(Settings!$AA$2:$AA$21,Settings!$Y$2:$Y$21,"Start timeline",Settings!$Z$2:$Z$21,R214)+SUMIFS(Settings!$AA$2:$AA$21,Settings!$Y$2:$Y$21,"Social media gap",Settings!$Z$2:$Z$21,S214)+IF(E214="",0,IF(COUNTIF(Settings!$AC$2:$AC$6,E214)&gt;0,Settings!$AA$20,Settings!$AA$21)))</f>
        <v/>
      </c>
      <c r="U214" s="44" t="str">
        <f aca="false">IF(D214="","",IF(COUNTA(N214:S214)=0,"Not scored",IF(COUNTA(N214:S214)&lt;6,"Partly scored ("&amp;COUNTA(N214:S214)&amp;"/6)",IF(T214&gt;=Settings!$S$8,"Hot",IF(T214&gt;=Settings!$S$9,"Warm","Cold")))))</f>
        <v/>
      </c>
      <c r="V214" s="44" t="str">
        <f aca="false">IF(D214="","",IF(AND(N214="No",P214="No"),"🚩 Budget  ·  🚩 No one on camera",IF(N214="No","🚩 Budget under AED 5k",IF(P214="No","🚩 No one on camera",""))))</f>
        <v/>
      </c>
      <c r="W214" s="17"/>
      <c r="X214" s="17"/>
      <c r="Y214" s="40"/>
      <c r="Z214" s="17"/>
      <c r="AA214" s="45" t="str">
        <f aca="false">IF(OR(D214="",Y214="",OR(X214="Contract signed + paid",X214="Closed – No response",X214="Lost"),N(Z214)&gt;=Settings!$S$3),"",Y214+Settings!$S$2)</f>
        <v/>
      </c>
      <c r="AB214" s="40"/>
      <c r="AC214" s="41"/>
      <c r="AD214" s="17"/>
      <c r="AE214" s="17"/>
      <c r="AF214" s="17"/>
      <c r="AG214" s="46" t="str">
        <f aca="true">IF(OR(D214="",B214=""),"",INT(TODAY()-B214))</f>
        <v/>
      </c>
      <c r="AH214" s="44" t="str">
        <f aca="true">IF(D214="","",IF(OR(COUNTIFS(Clients!$C$2:$C$501,D214,Clients!$S$2:$S$501,"Paid")&gt;0,AND(H214&lt;&gt;"",COUNTIFS(Clients!$E$2:$E$501,H214,Clients!$S$2:$S$501,"Paid")&gt;0)),"⚠ Refunded before – no free video",IF(OR(X214="Contract signed + paid",X214="Closed – No response",X214="Lost"),"",IF(X214="","Set a stage",IF(AND(X214="Proposal sent",COUNTA(N214:S214)&lt;6),"Score this lead – proposal sent unscored",IF(N(Z214)&gt;=Settings!$S$3,"Close – 4 follow-ups sent",IF(AA214="",IF(Y214="","Make first contact",""),IF(TODAY()&gt;AA214,"OVERDUE follow-up",IF(TODAY()=AA214,"Follow up today","")))))))))</f>
        <v/>
      </c>
    </row>
    <row r="215" customFormat="false" ht="15" hidden="false" customHeight="false" outlineLevel="0" collapsed="false">
      <c r="A215" s="17"/>
      <c r="B215" s="40"/>
      <c r="C215" s="17"/>
      <c r="D215" s="17"/>
      <c r="E215" s="17"/>
      <c r="F215" s="17"/>
      <c r="G215" s="17"/>
      <c r="H215" s="42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44" t="str">
        <f aca="false">IF(OR(D215="",COUNTA(N215:S215)=0),"",SUMIFS(Settings!$AA$2:$AA$21,Settings!$Y$2:$Y$21,"Budget AED 5k+/mo?",Settings!$Z$2:$Z$21,N215)+SUMIFS(Settings!$AA$2:$AA$21,Settings!$Y$2:$Y$21,"Decision-maker?",Settings!$Z$2:$Z$21,O215)+SUMIFS(Settings!$AA$2:$AA$21,Settings!$Y$2:$Y$21,"Someone on camera?",Settings!$Z$2:$Z$21,P215)+SUMIFS(Settings!$AA$2:$AA$21,Settings!$Y$2:$Y$21,"OK with 3-month term?",Settings!$Z$2:$Z$21,Q215)+SUMIFS(Settings!$AA$2:$AA$21,Settings!$Y$2:$Y$21,"Start timeline",Settings!$Z$2:$Z$21,R215)+SUMIFS(Settings!$AA$2:$AA$21,Settings!$Y$2:$Y$21,"Social media gap",Settings!$Z$2:$Z$21,S215)+IF(E215="",0,IF(COUNTIF(Settings!$AC$2:$AC$6,E215)&gt;0,Settings!$AA$20,Settings!$AA$21)))</f>
        <v/>
      </c>
      <c r="U215" s="44" t="str">
        <f aca="false">IF(D215="","",IF(COUNTA(N215:S215)=0,"Not scored",IF(COUNTA(N215:S215)&lt;6,"Partly scored ("&amp;COUNTA(N215:S215)&amp;"/6)",IF(T215&gt;=Settings!$S$8,"Hot",IF(T215&gt;=Settings!$S$9,"Warm","Cold")))))</f>
        <v/>
      </c>
      <c r="V215" s="44" t="str">
        <f aca="false">IF(D215="","",IF(AND(N215="No",P215="No"),"🚩 Budget  ·  🚩 No one on camera",IF(N215="No","🚩 Budget under AED 5k",IF(P215="No","🚩 No one on camera",""))))</f>
        <v/>
      </c>
      <c r="W215" s="17"/>
      <c r="X215" s="17"/>
      <c r="Y215" s="40"/>
      <c r="Z215" s="17"/>
      <c r="AA215" s="45" t="str">
        <f aca="false">IF(OR(D215="",Y215="",OR(X215="Contract signed + paid",X215="Closed – No response",X215="Lost"),N(Z215)&gt;=Settings!$S$3),"",Y215+Settings!$S$2)</f>
        <v/>
      </c>
      <c r="AB215" s="40"/>
      <c r="AC215" s="41"/>
      <c r="AD215" s="17"/>
      <c r="AE215" s="17"/>
      <c r="AF215" s="17"/>
      <c r="AG215" s="46" t="str">
        <f aca="true">IF(OR(D215="",B215=""),"",INT(TODAY()-B215))</f>
        <v/>
      </c>
      <c r="AH215" s="44" t="str">
        <f aca="true">IF(D215="","",IF(OR(COUNTIFS(Clients!$C$2:$C$501,D215,Clients!$S$2:$S$501,"Paid")&gt;0,AND(H215&lt;&gt;"",COUNTIFS(Clients!$E$2:$E$501,H215,Clients!$S$2:$S$501,"Paid")&gt;0)),"⚠ Refunded before – no free video",IF(OR(X215="Contract signed + paid",X215="Closed – No response",X215="Lost"),"",IF(X215="","Set a stage",IF(AND(X215="Proposal sent",COUNTA(N215:S215)&lt;6),"Score this lead – proposal sent unscored",IF(N(Z215)&gt;=Settings!$S$3,"Close – 4 follow-ups sent",IF(AA215="",IF(Y215="","Make first contact",""),IF(TODAY()&gt;AA215,"OVERDUE follow-up",IF(TODAY()=AA215,"Follow up today","")))))))))</f>
        <v/>
      </c>
    </row>
    <row r="216" customFormat="false" ht="15" hidden="false" customHeight="false" outlineLevel="0" collapsed="false">
      <c r="A216" s="17"/>
      <c r="B216" s="40"/>
      <c r="C216" s="17"/>
      <c r="D216" s="17"/>
      <c r="E216" s="17"/>
      <c r="F216" s="17"/>
      <c r="G216" s="17"/>
      <c r="H216" s="42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44" t="str">
        <f aca="false">IF(OR(D216="",COUNTA(N216:S216)=0),"",SUMIFS(Settings!$AA$2:$AA$21,Settings!$Y$2:$Y$21,"Budget AED 5k+/mo?",Settings!$Z$2:$Z$21,N216)+SUMIFS(Settings!$AA$2:$AA$21,Settings!$Y$2:$Y$21,"Decision-maker?",Settings!$Z$2:$Z$21,O216)+SUMIFS(Settings!$AA$2:$AA$21,Settings!$Y$2:$Y$21,"Someone on camera?",Settings!$Z$2:$Z$21,P216)+SUMIFS(Settings!$AA$2:$AA$21,Settings!$Y$2:$Y$21,"OK with 3-month term?",Settings!$Z$2:$Z$21,Q216)+SUMIFS(Settings!$AA$2:$AA$21,Settings!$Y$2:$Y$21,"Start timeline",Settings!$Z$2:$Z$21,R216)+SUMIFS(Settings!$AA$2:$AA$21,Settings!$Y$2:$Y$21,"Social media gap",Settings!$Z$2:$Z$21,S216)+IF(E216="",0,IF(COUNTIF(Settings!$AC$2:$AC$6,E216)&gt;0,Settings!$AA$20,Settings!$AA$21)))</f>
        <v/>
      </c>
      <c r="U216" s="44" t="str">
        <f aca="false">IF(D216="","",IF(COUNTA(N216:S216)=0,"Not scored",IF(COUNTA(N216:S216)&lt;6,"Partly scored ("&amp;COUNTA(N216:S216)&amp;"/6)",IF(T216&gt;=Settings!$S$8,"Hot",IF(T216&gt;=Settings!$S$9,"Warm","Cold")))))</f>
        <v/>
      </c>
      <c r="V216" s="44" t="str">
        <f aca="false">IF(D216="","",IF(AND(N216="No",P216="No"),"🚩 Budget  ·  🚩 No one on camera",IF(N216="No","🚩 Budget under AED 5k",IF(P216="No","🚩 No one on camera",""))))</f>
        <v/>
      </c>
      <c r="W216" s="17"/>
      <c r="X216" s="17"/>
      <c r="Y216" s="40"/>
      <c r="Z216" s="17"/>
      <c r="AA216" s="45" t="str">
        <f aca="false">IF(OR(D216="",Y216="",OR(X216="Contract signed + paid",X216="Closed – No response",X216="Lost"),N(Z216)&gt;=Settings!$S$3),"",Y216+Settings!$S$2)</f>
        <v/>
      </c>
      <c r="AB216" s="40"/>
      <c r="AC216" s="41"/>
      <c r="AD216" s="17"/>
      <c r="AE216" s="17"/>
      <c r="AF216" s="17"/>
      <c r="AG216" s="46" t="str">
        <f aca="true">IF(OR(D216="",B216=""),"",INT(TODAY()-B216))</f>
        <v/>
      </c>
      <c r="AH216" s="44" t="str">
        <f aca="true">IF(D216="","",IF(OR(COUNTIFS(Clients!$C$2:$C$501,D216,Clients!$S$2:$S$501,"Paid")&gt;0,AND(H216&lt;&gt;"",COUNTIFS(Clients!$E$2:$E$501,H216,Clients!$S$2:$S$501,"Paid")&gt;0)),"⚠ Refunded before – no free video",IF(OR(X216="Contract signed + paid",X216="Closed – No response",X216="Lost"),"",IF(X216="","Set a stage",IF(AND(X216="Proposal sent",COUNTA(N216:S216)&lt;6),"Score this lead – proposal sent unscored",IF(N(Z216)&gt;=Settings!$S$3,"Close – 4 follow-ups sent",IF(AA216="",IF(Y216="","Make first contact",""),IF(TODAY()&gt;AA216,"OVERDUE follow-up",IF(TODAY()=AA216,"Follow up today","")))))))))</f>
        <v/>
      </c>
    </row>
    <row r="217" customFormat="false" ht="15" hidden="false" customHeight="false" outlineLevel="0" collapsed="false">
      <c r="A217" s="17"/>
      <c r="B217" s="40"/>
      <c r="C217" s="17"/>
      <c r="D217" s="17"/>
      <c r="E217" s="17"/>
      <c r="F217" s="17"/>
      <c r="G217" s="17"/>
      <c r="H217" s="42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44" t="str">
        <f aca="false">IF(OR(D217="",COUNTA(N217:S217)=0),"",SUMIFS(Settings!$AA$2:$AA$21,Settings!$Y$2:$Y$21,"Budget AED 5k+/mo?",Settings!$Z$2:$Z$21,N217)+SUMIFS(Settings!$AA$2:$AA$21,Settings!$Y$2:$Y$21,"Decision-maker?",Settings!$Z$2:$Z$21,O217)+SUMIFS(Settings!$AA$2:$AA$21,Settings!$Y$2:$Y$21,"Someone on camera?",Settings!$Z$2:$Z$21,P217)+SUMIFS(Settings!$AA$2:$AA$21,Settings!$Y$2:$Y$21,"OK with 3-month term?",Settings!$Z$2:$Z$21,Q217)+SUMIFS(Settings!$AA$2:$AA$21,Settings!$Y$2:$Y$21,"Start timeline",Settings!$Z$2:$Z$21,R217)+SUMIFS(Settings!$AA$2:$AA$21,Settings!$Y$2:$Y$21,"Social media gap",Settings!$Z$2:$Z$21,S217)+IF(E217="",0,IF(COUNTIF(Settings!$AC$2:$AC$6,E217)&gt;0,Settings!$AA$20,Settings!$AA$21)))</f>
        <v/>
      </c>
      <c r="U217" s="44" t="str">
        <f aca="false">IF(D217="","",IF(COUNTA(N217:S217)=0,"Not scored",IF(COUNTA(N217:S217)&lt;6,"Partly scored ("&amp;COUNTA(N217:S217)&amp;"/6)",IF(T217&gt;=Settings!$S$8,"Hot",IF(T217&gt;=Settings!$S$9,"Warm","Cold")))))</f>
        <v/>
      </c>
      <c r="V217" s="44" t="str">
        <f aca="false">IF(D217="","",IF(AND(N217="No",P217="No"),"🚩 Budget  ·  🚩 No one on camera",IF(N217="No","🚩 Budget under AED 5k",IF(P217="No","🚩 No one on camera",""))))</f>
        <v/>
      </c>
      <c r="W217" s="17"/>
      <c r="X217" s="17"/>
      <c r="Y217" s="40"/>
      <c r="Z217" s="17"/>
      <c r="AA217" s="45" t="str">
        <f aca="false">IF(OR(D217="",Y217="",OR(X217="Contract signed + paid",X217="Closed – No response",X217="Lost"),N(Z217)&gt;=Settings!$S$3),"",Y217+Settings!$S$2)</f>
        <v/>
      </c>
      <c r="AB217" s="40"/>
      <c r="AC217" s="41"/>
      <c r="AD217" s="17"/>
      <c r="AE217" s="17"/>
      <c r="AF217" s="17"/>
      <c r="AG217" s="46" t="str">
        <f aca="true">IF(OR(D217="",B217=""),"",INT(TODAY()-B217))</f>
        <v/>
      </c>
      <c r="AH217" s="44" t="str">
        <f aca="true">IF(D217="","",IF(OR(COUNTIFS(Clients!$C$2:$C$501,D217,Clients!$S$2:$S$501,"Paid")&gt;0,AND(H217&lt;&gt;"",COUNTIFS(Clients!$E$2:$E$501,H217,Clients!$S$2:$S$501,"Paid")&gt;0)),"⚠ Refunded before – no free video",IF(OR(X217="Contract signed + paid",X217="Closed – No response",X217="Lost"),"",IF(X217="","Set a stage",IF(AND(X217="Proposal sent",COUNTA(N217:S217)&lt;6),"Score this lead – proposal sent unscored",IF(N(Z217)&gt;=Settings!$S$3,"Close – 4 follow-ups sent",IF(AA217="",IF(Y217="","Make first contact",""),IF(TODAY()&gt;AA217,"OVERDUE follow-up",IF(TODAY()=AA217,"Follow up today","")))))))))</f>
        <v/>
      </c>
    </row>
    <row r="218" customFormat="false" ht="15" hidden="false" customHeight="false" outlineLevel="0" collapsed="false">
      <c r="A218" s="17"/>
      <c r="B218" s="40"/>
      <c r="C218" s="17"/>
      <c r="D218" s="17"/>
      <c r="E218" s="17"/>
      <c r="F218" s="17"/>
      <c r="G218" s="17"/>
      <c r="H218" s="42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44" t="str">
        <f aca="false">IF(OR(D218="",COUNTA(N218:S218)=0),"",SUMIFS(Settings!$AA$2:$AA$21,Settings!$Y$2:$Y$21,"Budget AED 5k+/mo?",Settings!$Z$2:$Z$21,N218)+SUMIFS(Settings!$AA$2:$AA$21,Settings!$Y$2:$Y$21,"Decision-maker?",Settings!$Z$2:$Z$21,O218)+SUMIFS(Settings!$AA$2:$AA$21,Settings!$Y$2:$Y$21,"Someone on camera?",Settings!$Z$2:$Z$21,P218)+SUMIFS(Settings!$AA$2:$AA$21,Settings!$Y$2:$Y$21,"OK with 3-month term?",Settings!$Z$2:$Z$21,Q218)+SUMIFS(Settings!$AA$2:$AA$21,Settings!$Y$2:$Y$21,"Start timeline",Settings!$Z$2:$Z$21,R218)+SUMIFS(Settings!$AA$2:$AA$21,Settings!$Y$2:$Y$21,"Social media gap",Settings!$Z$2:$Z$21,S218)+IF(E218="",0,IF(COUNTIF(Settings!$AC$2:$AC$6,E218)&gt;0,Settings!$AA$20,Settings!$AA$21)))</f>
        <v/>
      </c>
      <c r="U218" s="44" t="str">
        <f aca="false">IF(D218="","",IF(COUNTA(N218:S218)=0,"Not scored",IF(COUNTA(N218:S218)&lt;6,"Partly scored ("&amp;COUNTA(N218:S218)&amp;"/6)",IF(T218&gt;=Settings!$S$8,"Hot",IF(T218&gt;=Settings!$S$9,"Warm","Cold")))))</f>
        <v/>
      </c>
      <c r="V218" s="44" t="str">
        <f aca="false">IF(D218="","",IF(AND(N218="No",P218="No"),"🚩 Budget  ·  🚩 No one on camera",IF(N218="No","🚩 Budget under AED 5k",IF(P218="No","🚩 No one on camera",""))))</f>
        <v/>
      </c>
      <c r="W218" s="17"/>
      <c r="X218" s="17"/>
      <c r="Y218" s="40"/>
      <c r="Z218" s="17"/>
      <c r="AA218" s="45" t="str">
        <f aca="false">IF(OR(D218="",Y218="",OR(X218="Contract signed + paid",X218="Closed – No response",X218="Lost"),N(Z218)&gt;=Settings!$S$3),"",Y218+Settings!$S$2)</f>
        <v/>
      </c>
      <c r="AB218" s="40"/>
      <c r="AC218" s="41"/>
      <c r="AD218" s="17"/>
      <c r="AE218" s="17"/>
      <c r="AF218" s="17"/>
      <c r="AG218" s="46" t="str">
        <f aca="true">IF(OR(D218="",B218=""),"",INT(TODAY()-B218))</f>
        <v/>
      </c>
      <c r="AH218" s="44" t="str">
        <f aca="true">IF(D218="","",IF(OR(COUNTIFS(Clients!$C$2:$C$501,D218,Clients!$S$2:$S$501,"Paid")&gt;0,AND(H218&lt;&gt;"",COUNTIFS(Clients!$E$2:$E$501,H218,Clients!$S$2:$S$501,"Paid")&gt;0)),"⚠ Refunded before – no free video",IF(OR(X218="Contract signed + paid",X218="Closed – No response",X218="Lost"),"",IF(X218="","Set a stage",IF(AND(X218="Proposal sent",COUNTA(N218:S218)&lt;6),"Score this lead – proposal sent unscored",IF(N(Z218)&gt;=Settings!$S$3,"Close – 4 follow-ups sent",IF(AA218="",IF(Y218="","Make first contact",""),IF(TODAY()&gt;AA218,"OVERDUE follow-up",IF(TODAY()=AA218,"Follow up today","")))))))))</f>
        <v/>
      </c>
    </row>
    <row r="219" customFormat="false" ht="15" hidden="false" customHeight="false" outlineLevel="0" collapsed="false">
      <c r="A219" s="17"/>
      <c r="B219" s="40"/>
      <c r="C219" s="17"/>
      <c r="D219" s="17"/>
      <c r="E219" s="17"/>
      <c r="F219" s="17"/>
      <c r="G219" s="17"/>
      <c r="H219" s="42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44" t="str">
        <f aca="false">IF(OR(D219="",COUNTA(N219:S219)=0),"",SUMIFS(Settings!$AA$2:$AA$21,Settings!$Y$2:$Y$21,"Budget AED 5k+/mo?",Settings!$Z$2:$Z$21,N219)+SUMIFS(Settings!$AA$2:$AA$21,Settings!$Y$2:$Y$21,"Decision-maker?",Settings!$Z$2:$Z$21,O219)+SUMIFS(Settings!$AA$2:$AA$21,Settings!$Y$2:$Y$21,"Someone on camera?",Settings!$Z$2:$Z$21,P219)+SUMIFS(Settings!$AA$2:$AA$21,Settings!$Y$2:$Y$21,"OK with 3-month term?",Settings!$Z$2:$Z$21,Q219)+SUMIFS(Settings!$AA$2:$AA$21,Settings!$Y$2:$Y$21,"Start timeline",Settings!$Z$2:$Z$21,R219)+SUMIFS(Settings!$AA$2:$AA$21,Settings!$Y$2:$Y$21,"Social media gap",Settings!$Z$2:$Z$21,S219)+IF(E219="",0,IF(COUNTIF(Settings!$AC$2:$AC$6,E219)&gt;0,Settings!$AA$20,Settings!$AA$21)))</f>
        <v/>
      </c>
      <c r="U219" s="44" t="str">
        <f aca="false">IF(D219="","",IF(COUNTA(N219:S219)=0,"Not scored",IF(COUNTA(N219:S219)&lt;6,"Partly scored ("&amp;COUNTA(N219:S219)&amp;"/6)",IF(T219&gt;=Settings!$S$8,"Hot",IF(T219&gt;=Settings!$S$9,"Warm","Cold")))))</f>
        <v/>
      </c>
      <c r="V219" s="44" t="str">
        <f aca="false">IF(D219="","",IF(AND(N219="No",P219="No"),"🚩 Budget  ·  🚩 No one on camera",IF(N219="No","🚩 Budget under AED 5k",IF(P219="No","🚩 No one on camera",""))))</f>
        <v/>
      </c>
      <c r="W219" s="17"/>
      <c r="X219" s="17"/>
      <c r="Y219" s="40"/>
      <c r="Z219" s="17"/>
      <c r="AA219" s="45" t="str">
        <f aca="false">IF(OR(D219="",Y219="",OR(X219="Contract signed + paid",X219="Closed – No response",X219="Lost"),N(Z219)&gt;=Settings!$S$3),"",Y219+Settings!$S$2)</f>
        <v/>
      </c>
      <c r="AB219" s="40"/>
      <c r="AC219" s="41"/>
      <c r="AD219" s="17"/>
      <c r="AE219" s="17"/>
      <c r="AF219" s="17"/>
      <c r="AG219" s="46" t="str">
        <f aca="true">IF(OR(D219="",B219=""),"",INT(TODAY()-B219))</f>
        <v/>
      </c>
      <c r="AH219" s="44" t="str">
        <f aca="true">IF(D219="","",IF(OR(COUNTIFS(Clients!$C$2:$C$501,D219,Clients!$S$2:$S$501,"Paid")&gt;0,AND(H219&lt;&gt;"",COUNTIFS(Clients!$E$2:$E$501,H219,Clients!$S$2:$S$501,"Paid")&gt;0)),"⚠ Refunded before – no free video",IF(OR(X219="Contract signed + paid",X219="Closed – No response",X219="Lost"),"",IF(X219="","Set a stage",IF(AND(X219="Proposal sent",COUNTA(N219:S219)&lt;6),"Score this lead – proposal sent unscored",IF(N(Z219)&gt;=Settings!$S$3,"Close – 4 follow-ups sent",IF(AA219="",IF(Y219="","Make first contact",""),IF(TODAY()&gt;AA219,"OVERDUE follow-up",IF(TODAY()=AA219,"Follow up today","")))))))))</f>
        <v/>
      </c>
    </row>
    <row r="220" customFormat="false" ht="15" hidden="false" customHeight="false" outlineLevel="0" collapsed="false">
      <c r="A220" s="17"/>
      <c r="B220" s="40"/>
      <c r="C220" s="17"/>
      <c r="D220" s="17"/>
      <c r="E220" s="17"/>
      <c r="F220" s="17"/>
      <c r="G220" s="17"/>
      <c r="H220" s="42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44" t="str">
        <f aca="false">IF(OR(D220="",COUNTA(N220:S220)=0),"",SUMIFS(Settings!$AA$2:$AA$21,Settings!$Y$2:$Y$21,"Budget AED 5k+/mo?",Settings!$Z$2:$Z$21,N220)+SUMIFS(Settings!$AA$2:$AA$21,Settings!$Y$2:$Y$21,"Decision-maker?",Settings!$Z$2:$Z$21,O220)+SUMIFS(Settings!$AA$2:$AA$21,Settings!$Y$2:$Y$21,"Someone on camera?",Settings!$Z$2:$Z$21,P220)+SUMIFS(Settings!$AA$2:$AA$21,Settings!$Y$2:$Y$21,"OK with 3-month term?",Settings!$Z$2:$Z$21,Q220)+SUMIFS(Settings!$AA$2:$AA$21,Settings!$Y$2:$Y$21,"Start timeline",Settings!$Z$2:$Z$21,R220)+SUMIFS(Settings!$AA$2:$AA$21,Settings!$Y$2:$Y$21,"Social media gap",Settings!$Z$2:$Z$21,S220)+IF(E220="",0,IF(COUNTIF(Settings!$AC$2:$AC$6,E220)&gt;0,Settings!$AA$20,Settings!$AA$21)))</f>
        <v/>
      </c>
      <c r="U220" s="44" t="str">
        <f aca="false">IF(D220="","",IF(COUNTA(N220:S220)=0,"Not scored",IF(COUNTA(N220:S220)&lt;6,"Partly scored ("&amp;COUNTA(N220:S220)&amp;"/6)",IF(T220&gt;=Settings!$S$8,"Hot",IF(T220&gt;=Settings!$S$9,"Warm","Cold")))))</f>
        <v/>
      </c>
      <c r="V220" s="44" t="str">
        <f aca="false">IF(D220="","",IF(AND(N220="No",P220="No"),"🚩 Budget  ·  🚩 No one on camera",IF(N220="No","🚩 Budget under AED 5k",IF(P220="No","🚩 No one on camera",""))))</f>
        <v/>
      </c>
      <c r="W220" s="17"/>
      <c r="X220" s="17"/>
      <c r="Y220" s="40"/>
      <c r="Z220" s="17"/>
      <c r="AA220" s="45" t="str">
        <f aca="false">IF(OR(D220="",Y220="",OR(X220="Contract signed + paid",X220="Closed – No response",X220="Lost"),N(Z220)&gt;=Settings!$S$3),"",Y220+Settings!$S$2)</f>
        <v/>
      </c>
      <c r="AB220" s="40"/>
      <c r="AC220" s="41"/>
      <c r="AD220" s="17"/>
      <c r="AE220" s="17"/>
      <c r="AF220" s="17"/>
      <c r="AG220" s="46" t="str">
        <f aca="true">IF(OR(D220="",B220=""),"",INT(TODAY()-B220))</f>
        <v/>
      </c>
      <c r="AH220" s="44" t="str">
        <f aca="true">IF(D220="","",IF(OR(COUNTIFS(Clients!$C$2:$C$501,D220,Clients!$S$2:$S$501,"Paid")&gt;0,AND(H220&lt;&gt;"",COUNTIFS(Clients!$E$2:$E$501,H220,Clients!$S$2:$S$501,"Paid")&gt;0)),"⚠ Refunded before – no free video",IF(OR(X220="Contract signed + paid",X220="Closed – No response",X220="Lost"),"",IF(X220="","Set a stage",IF(AND(X220="Proposal sent",COUNTA(N220:S220)&lt;6),"Score this lead – proposal sent unscored",IF(N(Z220)&gt;=Settings!$S$3,"Close – 4 follow-ups sent",IF(AA220="",IF(Y220="","Make first contact",""),IF(TODAY()&gt;AA220,"OVERDUE follow-up",IF(TODAY()=AA220,"Follow up today","")))))))))</f>
        <v/>
      </c>
    </row>
    <row r="221" customFormat="false" ht="15" hidden="false" customHeight="false" outlineLevel="0" collapsed="false">
      <c r="A221" s="17"/>
      <c r="B221" s="40"/>
      <c r="C221" s="17"/>
      <c r="D221" s="17"/>
      <c r="E221" s="17"/>
      <c r="F221" s="17"/>
      <c r="G221" s="17"/>
      <c r="H221" s="42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44" t="str">
        <f aca="false">IF(OR(D221="",COUNTA(N221:S221)=0),"",SUMIFS(Settings!$AA$2:$AA$21,Settings!$Y$2:$Y$21,"Budget AED 5k+/mo?",Settings!$Z$2:$Z$21,N221)+SUMIFS(Settings!$AA$2:$AA$21,Settings!$Y$2:$Y$21,"Decision-maker?",Settings!$Z$2:$Z$21,O221)+SUMIFS(Settings!$AA$2:$AA$21,Settings!$Y$2:$Y$21,"Someone on camera?",Settings!$Z$2:$Z$21,P221)+SUMIFS(Settings!$AA$2:$AA$21,Settings!$Y$2:$Y$21,"OK with 3-month term?",Settings!$Z$2:$Z$21,Q221)+SUMIFS(Settings!$AA$2:$AA$21,Settings!$Y$2:$Y$21,"Start timeline",Settings!$Z$2:$Z$21,R221)+SUMIFS(Settings!$AA$2:$AA$21,Settings!$Y$2:$Y$21,"Social media gap",Settings!$Z$2:$Z$21,S221)+IF(E221="",0,IF(COUNTIF(Settings!$AC$2:$AC$6,E221)&gt;0,Settings!$AA$20,Settings!$AA$21)))</f>
        <v/>
      </c>
      <c r="U221" s="44" t="str">
        <f aca="false">IF(D221="","",IF(COUNTA(N221:S221)=0,"Not scored",IF(COUNTA(N221:S221)&lt;6,"Partly scored ("&amp;COUNTA(N221:S221)&amp;"/6)",IF(T221&gt;=Settings!$S$8,"Hot",IF(T221&gt;=Settings!$S$9,"Warm","Cold")))))</f>
        <v/>
      </c>
      <c r="V221" s="44" t="str">
        <f aca="false">IF(D221="","",IF(AND(N221="No",P221="No"),"🚩 Budget  ·  🚩 No one on camera",IF(N221="No","🚩 Budget under AED 5k",IF(P221="No","🚩 No one on camera",""))))</f>
        <v/>
      </c>
      <c r="W221" s="17"/>
      <c r="X221" s="17"/>
      <c r="Y221" s="40"/>
      <c r="Z221" s="17"/>
      <c r="AA221" s="45" t="str">
        <f aca="false">IF(OR(D221="",Y221="",OR(X221="Contract signed + paid",X221="Closed – No response",X221="Lost"),N(Z221)&gt;=Settings!$S$3),"",Y221+Settings!$S$2)</f>
        <v/>
      </c>
      <c r="AB221" s="40"/>
      <c r="AC221" s="41"/>
      <c r="AD221" s="17"/>
      <c r="AE221" s="17"/>
      <c r="AF221" s="17"/>
      <c r="AG221" s="46" t="str">
        <f aca="true">IF(OR(D221="",B221=""),"",INT(TODAY()-B221))</f>
        <v/>
      </c>
      <c r="AH221" s="44" t="str">
        <f aca="true">IF(D221="","",IF(OR(COUNTIFS(Clients!$C$2:$C$501,D221,Clients!$S$2:$S$501,"Paid")&gt;0,AND(H221&lt;&gt;"",COUNTIFS(Clients!$E$2:$E$501,H221,Clients!$S$2:$S$501,"Paid")&gt;0)),"⚠ Refunded before – no free video",IF(OR(X221="Contract signed + paid",X221="Closed – No response",X221="Lost"),"",IF(X221="","Set a stage",IF(AND(X221="Proposal sent",COUNTA(N221:S221)&lt;6),"Score this lead – proposal sent unscored",IF(N(Z221)&gt;=Settings!$S$3,"Close – 4 follow-ups sent",IF(AA221="",IF(Y221="","Make first contact",""),IF(TODAY()&gt;AA221,"OVERDUE follow-up",IF(TODAY()=AA221,"Follow up today","")))))))))</f>
        <v/>
      </c>
    </row>
    <row r="222" customFormat="false" ht="15" hidden="false" customHeight="false" outlineLevel="0" collapsed="false">
      <c r="A222" s="17"/>
      <c r="B222" s="40"/>
      <c r="C222" s="17"/>
      <c r="D222" s="17"/>
      <c r="E222" s="17"/>
      <c r="F222" s="17"/>
      <c r="G222" s="17"/>
      <c r="H222" s="42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44" t="str">
        <f aca="false">IF(OR(D222="",COUNTA(N222:S222)=0),"",SUMIFS(Settings!$AA$2:$AA$21,Settings!$Y$2:$Y$21,"Budget AED 5k+/mo?",Settings!$Z$2:$Z$21,N222)+SUMIFS(Settings!$AA$2:$AA$21,Settings!$Y$2:$Y$21,"Decision-maker?",Settings!$Z$2:$Z$21,O222)+SUMIFS(Settings!$AA$2:$AA$21,Settings!$Y$2:$Y$21,"Someone on camera?",Settings!$Z$2:$Z$21,P222)+SUMIFS(Settings!$AA$2:$AA$21,Settings!$Y$2:$Y$21,"OK with 3-month term?",Settings!$Z$2:$Z$21,Q222)+SUMIFS(Settings!$AA$2:$AA$21,Settings!$Y$2:$Y$21,"Start timeline",Settings!$Z$2:$Z$21,R222)+SUMIFS(Settings!$AA$2:$AA$21,Settings!$Y$2:$Y$21,"Social media gap",Settings!$Z$2:$Z$21,S222)+IF(E222="",0,IF(COUNTIF(Settings!$AC$2:$AC$6,E222)&gt;0,Settings!$AA$20,Settings!$AA$21)))</f>
        <v/>
      </c>
      <c r="U222" s="44" t="str">
        <f aca="false">IF(D222="","",IF(COUNTA(N222:S222)=0,"Not scored",IF(COUNTA(N222:S222)&lt;6,"Partly scored ("&amp;COUNTA(N222:S222)&amp;"/6)",IF(T222&gt;=Settings!$S$8,"Hot",IF(T222&gt;=Settings!$S$9,"Warm","Cold")))))</f>
        <v/>
      </c>
      <c r="V222" s="44" t="str">
        <f aca="false">IF(D222="","",IF(AND(N222="No",P222="No"),"🚩 Budget  ·  🚩 No one on camera",IF(N222="No","🚩 Budget under AED 5k",IF(P222="No","🚩 No one on camera",""))))</f>
        <v/>
      </c>
      <c r="W222" s="17"/>
      <c r="X222" s="17"/>
      <c r="Y222" s="40"/>
      <c r="Z222" s="17"/>
      <c r="AA222" s="45" t="str">
        <f aca="false">IF(OR(D222="",Y222="",OR(X222="Contract signed + paid",X222="Closed – No response",X222="Lost"),N(Z222)&gt;=Settings!$S$3),"",Y222+Settings!$S$2)</f>
        <v/>
      </c>
      <c r="AB222" s="40"/>
      <c r="AC222" s="41"/>
      <c r="AD222" s="17"/>
      <c r="AE222" s="17"/>
      <c r="AF222" s="17"/>
      <c r="AG222" s="46" t="str">
        <f aca="true">IF(OR(D222="",B222=""),"",INT(TODAY()-B222))</f>
        <v/>
      </c>
      <c r="AH222" s="44" t="str">
        <f aca="true">IF(D222="","",IF(OR(COUNTIFS(Clients!$C$2:$C$501,D222,Clients!$S$2:$S$501,"Paid")&gt;0,AND(H222&lt;&gt;"",COUNTIFS(Clients!$E$2:$E$501,H222,Clients!$S$2:$S$501,"Paid")&gt;0)),"⚠ Refunded before – no free video",IF(OR(X222="Contract signed + paid",X222="Closed – No response",X222="Lost"),"",IF(X222="","Set a stage",IF(AND(X222="Proposal sent",COUNTA(N222:S222)&lt;6),"Score this lead – proposal sent unscored",IF(N(Z222)&gt;=Settings!$S$3,"Close – 4 follow-ups sent",IF(AA222="",IF(Y222="","Make first contact",""),IF(TODAY()&gt;AA222,"OVERDUE follow-up",IF(TODAY()=AA222,"Follow up today","")))))))))</f>
        <v/>
      </c>
    </row>
    <row r="223" customFormat="false" ht="15" hidden="false" customHeight="false" outlineLevel="0" collapsed="false">
      <c r="A223" s="17"/>
      <c r="B223" s="40"/>
      <c r="C223" s="17"/>
      <c r="D223" s="17"/>
      <c r="E223" s="17"/>
      <c r="F223" s="17"/>
      <c r="G223" s="17"/>
      <c r="H223" s="42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44" t="str">
        <f aca="false">IF(OR(D223="",COUNTA(N223:S223)=0),"",SUMIFS(Settings!$AA$2:$AA$21,Settings!$Y$2:$Y$21,"Budget AED 5k+/mo?",Settings!$Z$2:$Z$21,N223)+SUMIFS(Settings!$AA$2:$AA$21,Settings!$Y$2:$Y$21,"Decision-maker?",Settings!$Z$2:$Z$21,O223)+SUMIFS(Settings!$AA$2:$AA$21,Settings!$Y$2:$Y$21,"Someone on camera?",Settings!$Z$2:$Z$21,P223)+SUMIFS(Settings!$AA$2:$AA$21,Settings!$Y$2:$Y$21,"OK with 3-month term?",Settings!$Z$2:$Z$21,Q223)+SUMIFS(Settings!$AA$2:$AA$21,Settings!$Y$2:$Y$21,"Start timeline",Settings!$Z$2:$Z$21,R223)+SUMIFS(Settings!$AA$2:$AA$21,Settings!$Y$2:$Y$21,"Social media gap",Settings!$Z$2:$Z$21,S223)+IF(E223="",0,IF(COUNTIF(Settings!$AC$2:$AC$6,E223)&gt;0,Settings!$AA$20,Settings!$AA$21)))</f>
        <v/>
      </c>
      <c r="U223" s="44" t="str">
        <f aca="false">IF(D223="","",IF(COUNTA(N223:S223)=0,"Not scored",IF(COUNTA(N223:S223)&lt;6,"Partly scored ("&amp;COUNTA(N223:S223)&amp;"/6)",IF(T223&gt;=Settings!$S$8,"Hot",IF(T223&gt;=Settings!$S$9,"Warm","Cold")))))</f>
        <v/>
      </c>
      <c r="V223" s="44" t="str">
        <f aca="false">IF(D223="","",IF(AND(N223="No",P223="No"),"🚩 Budget  ·  🚩 No one on camera",IF(N223="No","🚩 Budget under AED 5k",IF(P223="No","🚩 No one on camera",""))))</f>
        <v/>
      </c>
      <c r="W223" s="17"/>
      <c r="X223" s="17"/>
      <c r="Y223" s="40"/>
      <c r="Z223" s="17"/>
      <c r="AA223" s="45" t="str">
        <f aca="false">IF(OR(D223="",Y223="",OR(X223="Contract signed + paid",X223="Closed – No response",X223="Lost"),N(Z223)&gt;=Settings!$S$3),"",Y223+Settings!$S$2)</f>
        <v/>
      </c>
      <c r="AB223" s="40"/>
      <c r="AC223" s="41"/>
      <c r="AD223" s="17"/>
      <c r="AE223" s="17"/>
      <c r="AF223" s="17"/>
      <c r="AG223" s="46" t="str">
        <f aca="true">IF(OR(D223="",B223=""),"",INT(TODAY()-B223))</f>
        <v/>
      </c>
      <c r="AH223" s="44" t="str">
        <f aca="true">IF(D223="","",IF(OR(COUNTIFS(Clients!$C$2:$C$501,D223,Clients!$S$2:$S$501,"Paid")&gt;0,AND(H223&lt;&gt;"",COUNTIFS(Clients!$E$2:$E$501,H223,Clients!$S$2:$S$501,"Paid")&gt;0)),"⚠ Refunded before – no free video",IF(OR(X223="Contract signed + paid",X223="Closed – No response",X223="Lost"),"",IF(X223="","Set a stage",IF(AND(X223="Proposal sent",COUNTA(N223:S223)&lt;6),"Score this lead – proposal sent unscored",IF(N(Z223)&gt;=Settings!$S$3,"Close – 4 follow-ups sent",IF(AA223="",IF(Y223="","Make first contact",""),IF(TODAY()&gt;AA223,"OVERDUE follow-up",IF(TODAY()=AA223,"Follow up today","")))))))))</f>
        <v/>
      </c>
    </row>
    <row r="224" customFormat="false" ht="15" hidden="false" customHeight="false" outlineLevel="0" collapsed="false">
      <c r="A224" s="17"/>
      <c r="B224" s="40"/>
      <c r="C224" s="17"/>
      <c r="D224" s="17"/>
      <c r="E224" s="17"/>
      <c r="F224" s="17"/>
      <c r="G224" s="17"/>
      <c r="H224" s="42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44" t="str">
        <f aca="false">IF(OR(D224="",COUNTA(N224:S224)=0),"",SUMIFS(Settings!$AA$2:$AA$21,Settings!$Y$2:$Y$21,"Budget AED 5k+/mo?",Settings!$Z$2:$Z$21,N224)+SUMIFS(Settings!$AA$2:$AA$21,Settings!$Y$2:$Y$21,"Decision-maker?",Settings!$Z$2:$Z$21,O224)+SUMIFS(Settings!$AA$2:$AA$21,Settings!$Y$2:$Y$21,"Someone on camera?",Settings!$Z$2:$Z$21,P224)+SUMIFS(Settings!$AA$2:$AA$21,Settings!$Y$2:$Y$21,"OK with 3-month term?",Settings!$Z$2:$Z$21,Q224)+SUMIFS(Settings!$AA$2:$AA$21,Settings!$Y$2:$Y$21,"Start timeline",Settings!$Z$2:$Z$21,R224)+SUMIFS(Settings!$AA$2:$AA$21,Settings!$Y$2:$Y$21,"Social media gap",Settings!$Z$2:$Z$21,S224)+IF(E224="",0,IF(COUNTIF(Settings!$AC$2:$AC$6,E224)&gt;0,Settings!$AA$20,Settings!$AA$21)))</f>
        <v/>
      </c>
      <c r="U224" s="44" t="str">
        <f aca="false">IF(D224="","",IF(COUNTA(N224:S224)=0,"Not scored",IF(COUNTA(N224:S224)&lt;6,"Partly scored ("&amp;COUNTA(N224:S224)&amp;"/6)",IF(T224&gt;=Settings!$S$8,"Hot",IF(T224&gt;=Settings!$S$9,"Warm","Cold")))))</f>
        <v/>
      </c>
      <c r="V224" s="44" t="str">
        <f aca="false">IF(D224="","",IF(AND(N224="No",P224="No"),"🚩 Budget  ·  🚩 No one on camera",IF(N224="No","🚩 Budget under AED 5k",IF(P224="No","🚩 No one on camera",""))))</f>
        <v/>
      </c>
      <c r="W224" s="17"/>
      <c r="X224" s="17"/>
      <c r="Y224" s="40"/>
      <c r="Z224" s="17"/>
      <c r="AA224" s="45" t="str">
        <f aca="false">IF(OR(D224="",Y224="",OR(X224="Contract signed + paid",X224="Closed – No response",X224="Lost"),N(Z224)&gt;=Settings!$S$3),"",Y224+Settings!$S$2)</f>
        <v/>
      </c>
      <c r="AB224" s="40"/>
      <c r="AC224" s="41"/>
      <c r="AD224" s="17"/>
      <c r="AE224" s="17"/>
      <c r="AF224" s="17"/>
      <c r="AG224" s="46" t="str">
        <f aca="true">IF(OR(D224="",B224=""),"",INT(TODAY()-B224))</f>
        <v/>
      </c>
      <c r="AH224" s="44" t="str">
        <f aca="true">IF(D224="","",IF(OR(COUNTIFS(Clients!$C$2:$C$501,D224,Clients!$S$2:$S$501,"Paid")&gt;0,AND(H224&lt;&gt;"",COUNTIFS(Clients!$E$2:$E$501,H224,Clients!$S$2:$S$501,"Paid")&gt;0)),"⚠ Refunded before – no free video",IF(OR(X224="Contract signed + paid",X224="Closed – No response",X224="Lost"),"",IF(X224="","Set a stage",IF(AND(X224="Proposal sent",COUNTA(N224:S224)&lt;6),"Score this lead – proposal sent unscored",IF(N(Z224)&gt;=Settings!$S$3,"Close – 4 follow-ups sent",IF(AA224="",IF(Y224="","Make first contact",""),IF(TODAY()&gt;AA224,"OVERDUE follow-up",IF(TODAY()=AA224,"Follow up today","")))))))))</f>
        <v/>
      </c>
    </row>
    <row r="225" customFormat="false" ht="15" hidden="false" customHeight="false" outlineLevel="0" collapsed="false">
      <c r="A225" s="17"/>
      <c r="B225" s="40"/>
      <c r="C225" s="17"/>
      <c r="D225" s="17"/>
      <c r="E225" s="17"/>
      <c r="F225" s="17"/>
      <c r="G225" s="17"/>
      <c r="H225" s="42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44" t="str">
        <f aca="false">IF(OR(D225="",COUNTA(N225:S225)=0),"",SUMIFS(Settings!$AA$2:$AA$21,Settings!$Y$2:$Y$21,"Budget AED 5k+/mo?",Settings!$Z$2:$Z$21,N225)+SUMIFS(Settings!$AA$2:$AA$21,Settings!$Y$2:$Y$21,"Decision-maker?",Settings!$Z$2:$Z$21,O225)+SUMIFS(Settings!$AA$2:$AA$21,Settings!$Y$2:$Y$21,"Someone on camera?",Settings!$Z$2:$Z$21,P225)+SUMIFS(Settings!$AA$2:$AA$21,Settings!$Y$2:$Y$21,"OK with 3-month term?",Settings!$Z$2:$Z$21,Q225)+SUMIFS(Settings!$AA$2:$AA$21,Settings!$Y$2:$Y$21,"Start timeline",Settings!$Z$2:$Z$21,R225)+SUMIFS(Settings!$AA$2:$AA$21,Settings!$Y$2:$Y$21,"Social media gap",Settings!$Z$2:$Z$21,S225)+IF(E225="",0,IF(COUNTIF(Settings!$AC$2:$AC$6,E225)&gt;0,Settings!$AA$20,Settings!$AA$21)))</f>
        <v/>
      </c>
      <c r="U225" s="44" t="str">
        <f aca="false">IF(D225="","",IF(COUNTA(N225:S225)=0,"Not scored",IF(COUNTA(N225:S225)&lt;6,"Partly scored ("&amp;COUNTA(N225:S225)&amp;"/6)",IF(T225&gt;=Settings!$S$8,"Hot",IF(T225&gt;=Settings!$S$9,"Warm","Cold")))))</f>
        <v/>
      </c>
      <c r="V225" s="44" t="str">
        <f aca="false">IF(D225="","",IF(AND(N225="No",P225="No"),"🚩 Budget  ·  🚩 No one on camera",IF(N225="No","🚩 Budget under AED 5k",IF(P225="No","🚩 No one on camera",""))))</f>
        <v/>
      </c>
      <c r="W225" s="17"/>
      <c r="X225" s="17"/>
      <c r="Y225" s="40"/>
      <c r="Z225" s="17"/>
      <c r="AA225" s="45" t="str">
        <f aca="false">IF(OR(D225="",Y225="",OR(X225="Contract signed + paid",X225="Closed – No response",X225="Lost"),N(Z225)&gt;=Settings!$S$3),"",Y225+Settings!$S$2)</f>
        <v/>
      </c>
      <c r="AB225" s="40"/>
      <c r="AC225" s="41"/>
      <c r="AD225" s="17"/>
      <c r="AE225" s="17"/>
      <c r="AF225" s="17"/>
      <c r="AG225" s="46" t="str">
        <f aca="true">IF(OR(D225="",B225=""),"",INT(TODAY()-B225))</f>
        <v/>
      </c>
      <c r="AH225" s="44" t="str">
        <f aca="true">IF(D225="","",IF(OR(COUNTIFS(Clients!$C$2:$C$501,D225,Clients!$S$2:$S$501,"Paid")&gt;0,AND(H225&lt;&gt;"",COUNTIFS(Clients!$E$2:$E$501,H225,Clients!$S$2:$S$501,"Paid")&gt;0)),"⚠ Refunded before – no free video",IF(OR(X225="Contract signed + paid",X225="Closed – No response",X225="Lost"),"",IF(X225="","Set a stage",IF(AND(X225="Proposal sent",COUNTA(N225:S225)&lt;6),"Score this lead – proposal sent unscored",IF(N(Z225)&gt;=Settings!$S$3,"Close – 4 follow-ups sent",IF(AA225="",IF(Y225="","Make first contact",""),IF(TODAY()&gt;AA225,"OVERDUE follow-up",IF(TODAY()=AA225,"Follow up today","")))))))))</f>
        <v/>
      </c>
    </row>
    <row r="226" customFormat="false" ht="15" hidden="false" customHeight="false" outlineLevel="0" collapsed="false">
      <c r="A226" s="17"/>
      <c r="B226" s="40"/>
      <c r="C226" s="17"/>
      <c r="D226" s="17"/>
      <c r="E226" s="17"/>
      <c r="F226" s="17"/>
      <c r="G226" s="17"/>
      <c r="H226" s="42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44" t="str">
        <f aca="false">IF(OR(D226="",COUNTA(N226:S226)=0),"",SUMIFS(Settings!$AA$2:$AA$21,Settings!$Y$2:$Y$21,"Budget AED 5k+/mo?",Settings!$Z$2:$Z$21,N226)+SUMIFS(Settings!$AA$2:$AA$21,Settings!$Y$2:$Y$21,"Decision-maker?",Settings!$Z$2:$Z$21,O226)+SUMIFS(Settings!$AA$2:$AA$21,Settings!$Y$2:$Y$21,"Someone on camera?",Settings!$Z$2:$Z$21,P226)+SUMIFS(Settings!$AA$2:$AA$21,Settings!$Y$2:$Y$21,"OK with 3-month term?",Settings!$Z$2:$Z$21,Q226)+SUMIFS(Settings!$AA$2:$AA$21,Settings!$Y$2:$Y$21,"Start timeline",Settings!$Z$2:$Z$21,R226)+SUMIFS(Settings!$AA$2:$AA$21,Settings!$Y$2:$Y$21,"Social media gap",Settings!$Z$2:$Z$21,S226)+IF(E226="",0,IF(COUNTIF(Settings!$AC$2:$AC$6,E226)&gt;0,Settings!$AA$20,Settings!$AA$21)))</f>
        <v/>
      </c>
      <c r="U226" s="44" t="str">
        <f aca="false">IF(D226="","",IF(COUNTA(N226:S226)=0,"Not scored",IF(COUNTA(N226:S226)&lt;6,"Partly scored ("&amp;COUNTA(N226:S226)&amp;"/6)",IF(T226&gt;=Settings!$S$8,"Hot",IF(T226&gt;=Settings!$S$9,"Warm","Cold")))))</f>
        <v/>
      </c>
      <c r="V226" s="44" t="str">
        <f aca="false">IF(D226="","",IF(AND(N226="No",P226="No"),"🚩 Budget  ·  🚩 No one on camera",IF(N226="No","🚩 Budget under AED 5k",IF(P226="No","🚩 No one on camera",""))))</f>
        <v/>
      </c>
      <c r="W226" s="17"/>
      <c r="X226" s="17"/>
      <c r="Y226" s="40"/>
      <c r="Z226" s="17"/>
      <c r="AA226" s="45" t="str">
        <f aca="false">IF(OR(D226="",Y226="",OR(X226="Contract signed + paid",X226="Closed – No response",X226="Lost"),N(Z226)&gt;=Settings!$S$3),"",Y226+Settings!$S$2)</f>
        <v/>
      </c>
      <c r="AB226" s="40"/>
      <c r="AC226" s="41"/>
      <c r="AD226" s="17"/>
      <c r="AE226" s="17"/>
      <c r="AF226" s="17"/>
      <c r="AG226" s="46" t="str">
        <f aca="true">IF(OR(D226="",B226=""),"",INT(TODAY()-B226))</f>
        <v/>
      </c>
      <c r="AH226" s="44" t="str">
        <f aca="true">IF(D226="","",IF(OR(COUNTIFS(Clients!$C$2:$C$501,D226,Clients!$S$2:$S$501,"Paid")&gt;0,AND(H226&lt;&gt;"",COUNTIFS(Clients!$E$2:$E$501,H226,Clients!$S$2:$S$501,"Paid")&gt;0)),"⚠ Refunded before – no free video",IF(OR(X226="Contract signed + paid",X226="Closed – No response",X226="Lost"),"",IF(X226="","Set a stage",IF(AND(X226="Proposal sent",COUNTA(N226:S226)&lt;6),"Score this lead – proposal sent unscored",IF(N(Z226)&gt;=Settings!$S$3,"Close – 4 follow-ups sent",IF(AA226="",IF(Y226="","Make first contact",""),IF(TODAY()&gt;AA226,"OVERDUE follow-up",IF(TODAY()=AA226,"Follow up today","")))))))))</f>
        <v/>
      </c>
    </row>
    <row r="227" customFormat="false" ht="15" hidden="false" customHeight="false" outlineLevel="0" collapsed="false">
      <c r="A227" s="17"/>
      <c r="B227" s="40"/>
      <c r="C227" s="17"/>
      <c r="D227" s="17"/>
      <c r="E227" s="17"/>
      <c r="F227" s="17"/>
      <c r="G227" s="17"/>
      <c r="H227" s="42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44" t="str">
        <f aca="false">IF(OR(D227="",COUNTA(N227:S227)=0),"",SUMIFS(Settings!$AA$2:$AA$21,Settings!$Y$2:$Y$21,"Budget AED 5k+/mo?",Settings!$Z$2:$Z$21,N227)+SUMIFS(Settings!$AA$2:$AA$21,Settings!$Y$2:$Y$21,"Decision-maker?",Settings!$Z$2:$Z$21,O227)+SUMIFS(Settings!$AA$2:$AA$21,Settings!$Y$2:$Y$21,"Someone on camera?",Settings!$Z$2:$Z$21,P227)+SUMIFS(Settings!$AA$2:$AA$21,Settings!$Y$2:$Y$21,"OK with 3-month term?",Settings!$Z$2:$Z$21,Q227)+SUMIFS(Settings!$AA$2:$AA$21,Settings!$Y$2:$Y$21,"Start timeline",Settings!$Z$2:$Z$21,R227)+SUMIFS(Settings!$AA$2:$AA$21,Settings!$Y$2:$Y$21,"Social media gap",Settings!$Z$2:$Z$21,S227)+IF(E227="",0,IF(COUNTIF(Settings!$AC$2:$AC$6,E227)&gt;0,Settings!$AA$20,Settings!$AA$21)))</f>
        <v/>
      </c>
      <c r="U227" s="44" t="str">
        <f aca="false">IF(D227="","",IF(COUNTA(N227:S227)=0,"Not scored",IF(COUNTA(N227:S227)&lt;6,"Partly scored ("&amp;COUNTA(N227:S227)&amp;"/6)",IF(T227&gt;=Settings!$S$8,"Hot",IF(T227&gt;=Settings!$S$9,"Warm","Cold")))))</f>
        <v/>
      </c>
      <c r="V227" s="44" t="str">
        <f aca="false">IF(D227="","",IF(AND(N227="No",P227="No"),"🚩 Budget  ·  🚩 No one on camera",IF(N227="No","🚩 Budget under AED 5k",IF(P227="No","🚩 No one on camera",""))))</f>
        <v/>
      </c>
      <c r="W227" s="17"/>
      <c r="X227" s="17"/>
      <c r="Y227" s="40"/>
      <c r="Z227" s="17"/>
      <c r="AA227" s="45" t="str">
        <f aca="false">IF(OR(D227="",Y227="",OR(X227="Contract signed + paid",X227="Closed – No response",X227="Lost"),N(Z227)&gt;=Settings!$S$3),"",Y227+Settings!$S$2)</f>
        <v/>
      </c>
      <c r="AB227" s="40"/>
      <c r="AC227" s="41"/>
      <c r="AD227" s="17"/>
      <c r="AE227" s="17"/>
      <c r="AF227" s="17"/>
      <c r="AG227" s="46" t="str">
        <f aca="true">IF(OR(D227="",B227=""),"",INT(TODAY()-B227))</f>
        <v/>
      </c>
      <c r="AH227" s="44" t="str">
        <f aca="true">IF(D227="","",IF(OR(COUNTIFS(Clients!$C$2:$C$501,D227,Clients!$S$2:$S$501,"Paid")&gt;0,AND(H227&lt;&gt;"",COUNTIFS(Clients!$E$2:$E$501,H227,Clients!$S$2:$S$501,"Paid")&gt;0)),"⚠ Refunded before – no free video",IF(OR(X227="Contract signed + paid",X227="Closed – No response",X227="Lost"),"",IF(X227="","Set a stage",IF(AND(X227="Proposal sent",COUNTA(N227:S227)&lt;6),"Score this lead – proposal sent unscored",IF(N(Z227)&gt;=Settings!$S$3,"Close – 4 follow-ups sent",IF(AA227="",IF(Y227="","Make first contact",""),IF(TODAY()&gt;AA227,"OVERDUE follow-up",IF(TODAY()=AA227,"Follow up today","")))))))))</f>
        <v/>
      </c>
    </row>
    <row r="228" customFormat="false" ht="15" hidden="false" customHeight="false" outlineLevel="0" collapsed="false">
      <c r="A228" s="17"/>
      <c r="B228" s="40"/>
      <c r="C228" s="17"/>
      <c r="D228" s="17"/>
      <c r="E228" s="17"/>
      <c r="F228" s="17"/>
      <c r="G228" s="17"/>
      <c r="H228" s="42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44" t="str">
        <f aca="false">IF(OR(D228="",COUNTA(N228:S228)=0),"",SUMIFS(Settings!$AA$2:$AA$21,Settings!$Y$2:$Y$21,"Budget AED 5k+/mo?",Settings!$Z$2:$Z$21,N228)+SUMIFS(Settings!$AA$2:$AA$21,Settings!$Y$2:$Y$21,"Decision-maker?",Settings!$Z$2:$Z$21,O228)+SUMIFS(Settings!$AA$2:$AA$21,Settings!$Y$2:$Y$21,"Someone on camera?",Settings!$Z$2:$Z$21,P228)+SUMIFS(Settings!$AA$2:$AA$21,Settings!$Y$2:$Y$21,"OK with 3-month term?",Settings!$Z$2:$Z$21,Q228)+SUMIFS(Settings!$AA$2:$AA$21,Settings!$Y$2:$Y$21,"Start timeline",Settings!$Z$2:$Z$21,R228)+SUMIFS(Settings!$AA$2:$AA$21,Settings!$Y$2:$Y$21,"Social media gap",Settings!$Z$2:$Z$21,S228)+IF(E228="",0,IF(COUNTIF(Settings!$AC$2:$AC$6,E228)&gt;0,Settings!$AA$20,Settings!$AA$21)))</f>
        <v/>
      </c>
      <c r="U228" s="44" t="str">
        <f aca="false">IF(D228="","",IF(COUNTA(N228:S228)=0,"Not scored",IF(COUNTA(N228:S228)&lt;6,"Partly scored ("&amp;COUNTA(N228:S228)&amp;"/6)",IF(T228&gt;=Settings!$S$8,"Hot",IF(T228&gt;=Settings!$S$9,"Warm","Cold")))))</f>
        <v/>
      </c>
      <c r="V228" s="44" t="str">
        <f aca="false">IF(D228="","",IF(AND(N228="No",P228="No"),"🚩 Budget  ·  🚩 No one on camera",IF(N228="No","🚩 Budget under AED 5k",IF(P228="No","🚩 No one on camera",""))))</f>
        <v/>
      </c>
      <c r="W228" s="17"/>
      <c r="X228" s="17"/>
      <c r="Y228" s="40"/>
      <c r="Z228" s="17"/>
      <c r="AA228" s="45" t="str">
        <f aca="false">IF(OR(D228="",Y228="",OR(X228="Contract signed + paid",X228="Closed – No response",X228="Lost"),N(Z228)&gt;=Settings!$S$3),"",Y228+Settings!$S$2)</f>
        <v/>
      </c>
      <c r="AB228" s="40"/>
      <c r="AC228" s="41"/>
      <c r="AD228" s="17"/>
      <c r="AE228" s="17"/>
      <c r="AF228" s="17"/>
      <c r="AG228" s="46" t="str">
        <f aca="true">IF(OR(D228="",B228=""),"",INT(TODAY()-B228))</f>
        <v/>
      </c>
      <c r="AH228" s="44" t="str">
        <f aca="true">IF(D228="","",IF(OR(COUNTIFS(Clients!$C$2:$C$501,D228,Clients!$S$2:$S$501,"Paid")&gt;0,AND(H228&lt;&gt;"",COUNTIFS(Clients!$E$2:$E$501,H228,Clients!$S$2:$S$501,"Paid")&gt;0)),"⚠ Refunded before – no free video",IF(OR(X228="Contract signed + paid",X228="Closed – No response",X228="Lost"),"",IF(X228="","Set a stage",IF(AND(X228="Proposal sent",COUNTA(N228:S228)&lt;6),"Score this lead – proposal sent unscored",IF(N(Z228)&gt;=Settings!$S$3,"Close – 4 follow-ups sent",IF(AA228="",IF(Y228="","Make first contact",""),IF(TODAY()&gt;AA228,"OVERDUE follow-up",IF(TODAY()=AA228,"Follow up today","")))))))))</f>
        <v/>
      </c>
    </row>
    <row r="229" customFormat="false" ht="15" hidden="false" customHeight="false" outlineLevel="0" collapsed="false">
      <c r="A229" s="17"/>
      <c r="B229" s="40"/>
      <c r="C229" s="17"/>
      <c r="D229" s="17"/>
      <c r="E229" s="17"/>
      <c r="F229" s="17"/>
      <c r="G229" s="17"/>
      <c r="H229" s="42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44" t="str">
        <f aca="false">IF(OR(D229="",COUNTA(N229:S229)=0),"",SUMIFS(Settings!$AA$2:$AA$21,Settings!$Y$2:$Y$21,"Budget AED 5k+/mo?",Settings!$Z$2:$Z$21,N229)+SUMIFS(Settings!$AA$2:$AA$21,Settings!$Y$2:$Y$21,"Decision-maker?",Settings!$Z$2:$Z$21,O229)+SUMIFS(Settings!$AA$2:$AA$21,Settings!$Y$2:$Y$21,"Someone on camera?",Settings!$Z$2:$Z$21,P229)+SUMIFS(Settings!$AA$2:$AA$21,Settings!$Y$2:$Y$21,"OK with 3-month term?",Settings!$Z$2:$Z$21,Q229)+SUMIFS(Settings!$AA$2:$AA$21,Settings!$Y$2:$Y$21,"Start timeline",Settings!$Z$2:$Z$21,R229)+SUMIFS(Settings!$AA$2:$AA$21,Settings!$Y$2:$Y$21,"Social media gap",Settings!$Z$2:$Z$21,S229)+IF(E229="",0,IF(COUNTIF(Settings!$AC$2:$AC$6,E229)&gt;0,Settings!$AA$20,Settings!$AA$21)))</f>
        <v/>
      </c>
      <c r="U229" s="44" t="str">
        <f aca="false">IF(D229="","",IF(COUNTA(N229:S229)=0,"Not scored",IF(COUNTA(N229:S229)&lt;6,"Partly scored ("&amp;COUNTA(N229:S229)&amp;"/6)",IF(T229&gt;=Settings!$S$8,"Hot",IF(T229&gt;=Settings!$S$9,"Warm","Cold")))))</f>
        <v/>
      </c>
      <c r="V229" s="44" t="str">
        <f aca="false">IF(D229="","",IF(AND(N229="No",P229="No"),"🚩 Budget  ·  🚩 No one on camera",IF(N229="No","🚩 Budget under AED 5k",IF(P229="No","🚩 No one on camera",""))))</f>
        <v/>
      </c>
      <c r="W229" s="17"/>
      <c r="X229" s="17"/>
      <c r="Y229" s="40"/>
      <c r="Z229" s="17"/>
      <c r="AA229" s="45" t="str">
        <f aca="false">IF(OR(D229="",Y229="",OR(X229="Contract signed + paid",X229="Closed – No response",X229="Lost"),N(Z229)&gt;=Settings!$S$3),"",Y229+Settings!$S$2)</f>
        <v/>
      </c>
      <c r="AB229" s="40"/>
      <c r="AC229" s="41"/>
      <c r="AD229" s="17"/>
      <c r="AE229" s="17"/>
      <c r="AF229" s="17"/>
      <c r="AG229" s="46" t="str">
        <f aca="true">IF(OR(D229="",B229=""),"",INT(TODAY()-B229))</f>
        <v/>
      </c>
      <c r="AH229" s="44" t="str">
        <f aca="true">IF(D229="","",IF(OR(COUNTIFS(Clients!$C$2:$C$501,D229,Clients!$S$2:$S$501,"Paid")&gt;0,AND(H229&lt;&gt;"",COUNTIFS(Clients!$E$2:$E$501,H229,Clients!$S$2:$S$501,"Paid")&gt;0)),"⚠ Refunded before – no free video",IF(OR(X229="Contract signed + paid",X229="Closed – No response",X229="Lost"),"",IF(X229="","Set a stage",IF(AND(X229="Proposal sent",COUNTA(N229:S229)&lt;6),"Score this lead – proposal sent unscored",IF(N(Z229)&gt;=Settings!$S$3,"Close – 4 follow-ups sent",IF(AA229="",IF(Y229="","Make first contact",""),IF(TODAY()&gt;AA229,"OVERDUE follow-up",IF(TODAY()=AA229,"Follow up today","")))))))))</f>
        <v/>
      </c>
    </row>
    <row r="230" customFormat="false" ht="15" hidden="false" customHeight="false" outlineLevel="0" collapsed="false">
      <c r="A230" s="17"/>
      <c r="B230" s="40"/>
      <c r="C230" s="17"/>
      <c r="D230" s="17"/>
      <c r="E230" s="17"/>
      <c r="F230" s="17"/>
      <c r="G230" s="17"/>
      <c r="H230" s="42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44" t="str">
        <f aca="false">IF(OR(D230="",COUNTA(N230:S230)=0),"",SUMIFS(Settings!$AA$2:$AA$21,Settings!$Y$2:$Y$21,"Budget AED 5k+/mo?",Settings!$Z$2:$Z$21,N230)+SUMIFS(Settings!$AA$2:$AA$21,Settings!$Y$2:$Y$21,"Decision-maker?",Settings!$Z$2:$Z$21,O230)+SUMIFS(Settings!$AA$2:$AA$21,Settings!$Y$2:$Y$21,"Someone on camera?",Settings!$Z$2:$Z$21,P230)+SUMIFS(Settings!$AA$2:$AA$21,Settings!$Y$2:$Y$21,"OK with 3-month term?",Settings!$Z$2:$Z$21,Q230)+SUMIFS(Settings!$AA$2:$AA$21,Settings!$Y$2:$Y$21,"Start timeline",Settings!$Z$2:$Z$21,R230)+SUMIFS(Settings!$AA$2:$AA$21,Settings!$Y$2:$Y$21,"Social media gap",Settings!$Z$2:$Z$21,S230)+IF(E230="",0,IF(COUNTIF(Settings!$AC$2:$AC$6,E230)&gt;0,Settings!$AA$20,Settings!$AA$21)))</f>
        <v/>
      </c>
      <c r="U230" s="44" t="str">
        <f aca="false">IF(D230="","",IF(COUNTA(N230:S230)=0,"Not scored",IF(COUNTA(N230:S230)&lt;6,"Partly scored ("&amp;COUNTA(N230:S230)&amp;"/6)",IF(T230&gt;=Settings!$S$8,"Hot",IF(T230&gt;=Settings!$S$9,"Warm","Cold")))))</f>
        <v/>
      </c>
      <c r="V230" s="44" t="str">
        <f aca="false">IF(D230="","",IF(AND(N230="No",P230="No"),"🚩 Budget  ·  🚩 No one on camera",IF(N230="No","🚩 Budget under AED 5k",IF(P230="No","🚩 No one on camera",""))))</f>
        <v/>
      </c>
      <c r="W230" s="17"/>
      <c r="X230" s="17"/>
      <c r="Y230" s="40"/>
      <c r="Z230" s="17"/>
      <c r="AA230" s="45" t="str">
        <f aca="false">IF(OR(D230="",Y230="",OR(X230="Contract signed + paid",X230="Closed – No response",X230="Lost"),N(Z230)&gt;=Settings!$S$3),"",Y230+Settings!$S$2)</f>
        <v/>
      </c>
      <c r="AB230" s="40"/>
      <c r="AC230" s="41"/>
      <c r="AD230" s="17"/>
      <c r="AE230" s="17"/>
      <c r="AF230" s="17"/>
      <c r="AG230" s="46" t="str">
        <f aca="true">IF(OR(D230="",B230=""),"",INT(TODAY()-B230))</f>
        <v/>
      </c>
      <c r="AH230" s="44" t="str">
        <f aca="true">IF(D230="","",IF(OR(COUNTIFS(Clients!$C$2:$C$501,D230,Clients!$S$2:$S$501,"Paid")&gt;0,AND(H230&lt;&gt;"",COUNTIFS(Clients!$E$2:$E$501,H230,Clients!$S$2:$S$501,"Paid")&gt;0)),"⚠ Refunded before – no free video",IF(OR(X230="Contract signed + paid",X230="Closed – No response",X230="Lost"),"",IF(X230="","Set a stage",IF(AND(X230="Proposal sent",COUNTA(N230:S230)&lt;6),"Score this lead – proposal sent unscored",IF(N(Z230)&gt;=Settings!$S$3,"Close – 4 follow-ups sent",IF(AA230="",IF(Y230="","Make first contact",""),IF(TODAY()&gt;AA230,"OVERDUE follow-up",IF(TODAY()=AA230,"Follow up today","")))))))))</f>
        <v/>
      </c>
    </row>
    <row r="231" customFormat="false" ht="15" hidden="false" customHeight="false" outlineLevel="0" collapsed="false">
      <c r="A231" s="17"/>
      <c r="B231" s="40"/>
      <c r="C231" s="17"/>
      <c r="D231" s="17"/>
      <c r="E231" s="17"/>
      <c r="F231" s="17"/>
      <c r="G231" s="17"/>
      <c r="H231" s="42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44" t="str">
        <f aca="false">IF(OR(D231="",COUNTA(N231:S231)=0),"",SUMIFS(Settings!$AA$2:$AA$21,Settings!$Y$2:$Y$21,"Budget AED 5k+/mo?",Settings!$Z$2:$Z$21,N231)+SUMIFS(Settings!$AA$2:$AA$21,Settings!$Y$2:$Y$21,"Decision-maker?",Settings!$Z$2:$Z$21,O231)+SUMIFS(Settings!$AA$2:$AA$21,Settings!$Y$2:$Y$21,"Someone on camera?",Settings!$Z$2:$Z$21,P231)+SUMIFS(Settings!$AA$2:$AA$21,Settings!$Y$2:$Y$21,"OK with 3-month term?",Settings!$Z$2:$Z$21,Q231)+SUMIFS(Settings!$AA$2:$AA$21,Settings!$Y$2:$Y$21,"Start timeline",Settings!$Z$2:$Z$21,R231)+SUMIFS(Settings!$AA$2:$AA$21,Settings!$Y$2:$Y$21,"Social media gap",Settings!$Z$2:$Z$21,S231)+IF(E231="",0,IF(COUNTIF(Settings!$AC$2:$AC$6,E231)&gt;0,Settings!$AA$20,Settings!$AA$21)))</f>
        <v/>
      </c>
      <c r="U231" s="44" t="str">
        <f aca="false">IF(D231="","",IF(COUNTA(N231:S231)=0,"Not scored",IF(COUNTA(N231:S231)&lt;6,"Partly scored ("&amp;COUNTA(N231:S231)&amp;"/6)",IF(T231&gt;=Settings!$S$8,"Hot",IF(T231&gt;=Settings!$S$9,"Warm","Cold")))))</f>
        <v/>
      </c>
      <c r="V231" s="44" t="str">
        <f aca="false">IF(D231="","",IF(AND(N231="No",P231="No"),"🚩 Budget  ·  🚩 No one on camera",IF(N231="No","🚩 Budget under AED 5k",IF(P231="No","🚩 No one on camera",""))))</f>
        <v/>
      </c>
      <c r="W231" s="17"/>
      <c r="X231" s="17"/>
      <c r="Y231" s="40"/>
      <c r="Z231" s="17"/>
      <c r="AA231" s="45" t="str">
        <f aca="false">IF(OR(D231="",Y231="",OR(X231="Contract signed + paid",X231="Closed – No response",X231="Lost"),N(Z231)&gt;=Settings!$S$3),"",Y231+Settings!$S$2)</f>
        <v/>
      </c>
      <c r="AB231" s="40"/>
      <c r="AC231" s="41"/>
      <c r="AD231" s="17"/>
      <c r="AE231" s="17"/>
      <c r="AF231" s="17"/>
      <c r="AG231" s="46" t="str">
        <f aca="true">IF(OR(D231="",B231=""),"",INT(TODAY()-B231))</f>
        <v/>
      </c>
      <c r="AH231" s="44" t="str">
        <f aca="true">IF(D231="","",IF(OR(COUNTIFS(Clients!$C$2:$C$501,D231,Clients!$S$2:$S$501,"Paid")&gt;0,AND(H231&lt;&gt;"",COUNTIFS(Clients!$E$2:$E$501,H231,Clients!$S$2:$S$501,"Paid")&gt;0)),"⚠ Refunded before – no free video",IF(OR(X231="Contract signed + paid",X231="Closed – No response",X231="Lost"),"",IF(X231="","Set a stage",IF(AND(X231="Proposal sent",COUNTA(N231:S231)&lt;6),"Score this lead – proposal sent unscored",IF(N(Z231)&gt;=Settings!$S$3,"Close – 4 follow-ups sent",IF(AA231="",IF(Y231="","Make first contact",""),IF(TODAY()&gt;AA231,"OVERDUE follow-up",IF(TODAY()=AA231,"Follow up today","")))))))))</f>
        <v/>
      </c>
    </row>
    <row r="232" customFormat="false" ht="15" hidden="false" customHeight="false" outlineLevel="0" collapsed="false">
      <c r="A232" s="17"/>
      <c r="B232" s="40"/>
      <c r="C232" s="17"/>
      <c r="D232" s="17"/>
      <c r="E232" s="17"/>
      <c r="F232" s="17"/>
      <c r="G232" s="17"/>
      <c r="H232" s="42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44" t="str">
        <f aca="false">IF(OR(D232="",COUNTA(N232:S232)=0),"",SUMIFS(Settings!$AA$2:$AA$21,Settings!$Y$2:$Y$21,"Budget AED 5k+/mo?",Settings!$Z$2:$Z$21,N232)+SUMIFS(Settings!$AA$2:$AA$21,Settings!$Y$2:$Y$21,"Decision-maker?",Settings!$Z$2:$Z$21,O232)+SUMIFS(Settings!$AA$2:$AA$21,Settings!$Y$2:$Y$21,"Someone on camera?",Settings!$Z$2:$Z$21,P232)+SUMIFS(Settings!$AA$2:$AA$21,Settings!$Y$2:$Y$21,"OK with 3-month term?",Settings!$Z$2:$Z$21,Q232)+SUMIFS(Settings!$AA$2:$AA$21,Settings!$Y$2:$Y$21,"Start timeline",Settings!$Z$2:$Z$21,R232)+SUMIFS(Settings!$AA$2:$AA$21,Settings!$Y$2:$Y$21,"Social media gap",Settings!$Z$2:$Z$21,S232)+IF(E232="",0,IF(COUNTIF(Settings!$AC$2:$AC$6,E232)&gt;0,Settings!$AA$20,Settings!$AA$21)))</f>
        <v/>
      </c>
      <c r="U232" s="44" t="str">
        <f aca="false">IF(D232="","",IF(COUNTA(N232:S232)=0,"Not scored",IF(COUNTA(N232:S232)&lt;6,"Partly scored ("&amp;COUNTA(N232:S232)&amp;"/6)",IF(T232&gt;=Settings!$S$8,"Hot",IF(T232&gt;=Settings!$S$9,"Warm","Cold")))))</f>
        <v/>
      </c>
      <c r="V232" s="44" t="str">
        <f aca="false">IF(D232="","",IF(AND(N232="No",P232="No"),"🚩 Budget  ·  🚩 No one on camera",IF(N232="No","🚩 Budget under AED 5k",IF(P232="No","🚩 No one on camera",""))))</f>
        <v/>
      </c>
      <c r="W232" s="17"/>
      <c r="X232" s="17"/>
      <c r="Y232" s="40"/>
      <c r="Z232" s="17"/>
      <c r="AA232" s="45" t="str">
        <f aca="false">IF(OR(D232="",Y232="",OR(X232="Contract signed + paid",X232="Closed – No response",X232="Lost"),N(Z232)&gt;=Settings!$S$3),"",Y232+Settings!$S$2)</f>
        <v/>
      </c>
      <c r="AB232" s="40"/>
      <c r="AC232" s="41"/>
      <c r="AD232" s="17"/>
      <c r="AE232" s="17"/>
      <c r="AF232" s="17"/>
      <c r="AG232" s="46" t="str">
        <f aca="true">IF(OR(D232="",B232=""),"",INT(TODAY()-B232))</f>
        <v/>
      </c>
      <c r="AH232" s="44" t="str">
        <f aca="true">IF(D232="","",IF(OR(COUNTIFS(Clients!$C$2:$C$501,D232,Clients!$S$2:$S$501,"Paid")&gt;0,AND(H232&lt;&gt;"",COUNTIFS(Clients!$E$2:$E$501,H232,Clients!$S$2:$S$501,"Paid")&gt;0)),"⚠ Refunded before – no free video",IF(OR(X232="Contract signed + paid",X232="Closed – No response",X232="Lost"),"",IF(X232="","Set a stage",IF(AND(X232="Proposal sent",COUNTA(N232:S232)&lt;6),"Score this lead – proposal sent unscored",IF(N(Z232)&gt;=Settings!$S$3,"Close – 4 follow-ups sent",IF(AA232="",IF(Y232="","Make first contact",""),IF(TODAY()&gt;AA232,"OVERDUE follow-up",IF(TODAY()=AA232,"Follow up today","")))))))))</f>
        <v/>
      </c>
    </row>
    <row r="233" customFormat="false" ht="15" hidden="false" customHeight="false" outlineLevel="0" collapsed="false">
      <c r="A233" s="17"/>
      <c r="B233" s="40"/>
      <c r="C233" s="17"/>
      <c r="D233" s="17"/>
      <c r="E233" s="17"/>
      <c r="F233" s="17"/>
      <c r="G233" s="17"/>
      <c r="H233" s="42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44" t="str">
        <f aca="false">IF(OR(D233="",COUNTA(N233:S233)=0),"",SUMIFS(Settings!$AA$2:$AA$21,Settings!$Y$2:$Y$21,"Budget AED 5k+/mo?",Settings!$Z$2:$Z$21,N233)+SUMIFS(Settings!$AA$2:$AA$21,Settings!$Y$2:$Y$21,"Decision-maker?",Settings!$Z$2:$Z$21,O233)+SUMIFS(Settings!$AA$2:$AA$21,Settings!$Y$2:$Y$21,"Someone on camera?",Settings!$Z$2:$Z$21,P233)+SUMIFS(Settings!$AA$2:$AA$21,Settings!$Y$2:$Y$21,"OK with 3-month term?",Settings!$Z$2:$Z$21,Q233)+SUMIFS(Settings!$AA$2:$AA$21,Settings!$Y$2:$Y$21,"Start timeline",Settings!$Z$2:$Z$21,R233)+SUMIFS(Settings!$AA$2:$AA$21,Settings!$Y$2:$Y$21,"Social media gap",Settings!$Z$2:$Z$21,S233)+IF(E233="",0,IF(COUNTIF(Settings!$AC$2:$AC$6,E233)&gt;0,Settings!$AA$20,Settings!$AA$21)))</f>
        <v/>
      </c>
      <c r="U233" s="44" t="str">
        <f aca="false">IF(D233="","",IF(COUNTA(N233:S233)=0,"Not scored",IF(COUNTA(N233:S233)&lt;6,"Partly scored ("&amp;COUNTA(N233:S233)&amp;"/6)",IF(T233&gt;=Settings!$S$8,"Hot",IF(T233&gt;=Settings!$S$9,"Warm","Cold")))))</f>
        <v/>
      </c>
      <c r="V233" s="44" t="str">
        <f aca="false">IF(D233="","",IF(AND(N233="No",P233="No"),"🚩 Budget  ·  🚩 No one on camera",IF(N233="No","🚩 Budget under AED 5k",IF(P233="No","🚩 No one on camera",""))))</f>
        <v/>
      </c>
      <c r="W233" s="17"/>
      <c r="X233" s="17"/>
      <c r="Y233" s="40"/>
      <c r="Z233" s="17"/>
      <c r="AA233" s="45" t="str">
        <f aca="false">IF(OR(D233="",Y233="",OR(X233="Contract signed + paid",X233="Closed – No response",X233="Lost"),N(Z233)&gt;=Settings!$S$3),"",Y233+Settings!$S$2)</f>
        <v/>
      </c>
      <c r="AB233" s="40"/>
      <c r="AC233" s="41"/>
      <c r="AD233" s="17"/>
      <c r="AE233" s="17"/>
      <c r="AF233" s="17"/>
      <c r="AG233" s="46" t="str">
        <f aca="true">IF(OR(D233="",B233=""),"",INT(TODAY()-B233))</f>
        <v/>
      </c>
      <c r="AH233" s="44" t="str">
        <f aca="true">IF(D233="","",IF(OR(COUNTIFS(Clients!$C$2:$C$501,D233,Clients!$S$2:$S$501,"Paid")&gt;0,AND(H233&lt;&gt;"",COUNTIFS(Clients!$E$2:$E$501,H233,Clients!$S$2:$S$501,"Paid")&gt;0)),"⚠ Refunded before – no free video",IF(OR(X233="Contract signed + paid",X233="Closed – No response",X233="Lost"),"",IF(X233="","Set a stage",IF(AND(X233="Proposal sent",COUNTA(N233:S233)&lt;6),"Score this lead – proposal sent unscored",IF(N(Z233)&gt;=Settings!$S$3,"Close – 4 follow-ups sent",IF(AA233="",IF(Y233="","Make first contact",""),IF(TODAY()&gt;AA233,"OVERDUE follow-up",IF(TODAY()=AA233,"Follow up today","")))))))))</f>
        <v/>
      </c>
    </row>
    <row r="234" customFormat="false" ht="15" hidden="false" customHeight="false" outlineLevel="0" collapsed="false">
      <c r="A234" s="17"/>
      <c r="B234" s="40"/>
      <c r="C234" s="17"/>
      <c r="D234" s="17"/>
      <c r="E234" s="17"/>
      <c r="F234" s="17"/>
      <c r="G234" s="17"/>
      <c r="H234" s="42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44" t="str">
        <f aca="false">IF(OR(D234="",COUNTA(N234:S234)=0),"",SUMIFS(Settings!$AA$2:$AA$21,Settings!$Y$2:$Y$21,"Budget AED 5k+/mo?",Settings!$Z$2:$Z$21,N234)+SUMIFS(Settings!$AA$2:$AA$21,Settings!$Y$2:$Y$21,"Decision-maker?",Settings!$Z$2:$Z$21,O234)+SUMIFS(Settings!$AA$2:$AA$21,Settings!$Y$2:$Y$21,"Someone on camera?",Settings!$Z$2:$Z$21,P234)+SUMIFS(Settings!$AA$2:$AA$21,Settings!$Y$2:$Y$21,"OK with 3-month term?",Settings!$Z$2:$Z$21,Q234)+SUMIFS(Settings!$AA$2:$AA$21,Settings!$Y$2:$Y$21,"Start timeline",Settings!$Z$2:$Z$21,R234)+SUMIFS(Settings!$AA$2:$AA$21,Settings!$Y$2:$Y$21,"Social media gap",Settings!$Z$2:$Z$21,S234)+IF(E234="",0,IF(COUNTIF(Settings!$AC$2:$AC$6,E234)&gt;0,Settings!$AA$20,Settings!$AA$21)))</f>
        <v/>
      </c>
      <c r="U234" s="44" t="str">
        <f aca="false">IF(D234="","",IF(COUNTA(N234:S234)=0,"Not scored",IF(COUNTA(N234:S234)&lt;6,"Partly scored ("&amp;COUNTA(N234:S234)&amp;"/6)",IF(T234&gt;=Settings!$S$8,"Hot",IF(T234&gt;=Settings!$S$9,"Warm","Cold")))))</f>
        <v/>
      </c>
      <c r="V234" s="44" t="str">
        <f aca="false">IF(D234="","",IF(AND(N234="No",P234="No"),"🚩 Budget  ·  🚩 No one on camera",IF(N234="No","🚩 Budget under AED 5k",IF(P234="No","🚩 No one on camera",""))))</f>
        <v/>
      </c>
      <c r="W234" s="17"/>
      <c r="X234" s="17"/>
      <c r="Y234" s="40"/>
      <c r="Z234" s="17"/>
      <c r="AA234" s="45" t="str">
        <f aca="false">IF(OR(D234="",Y234="",OR(X234="Contract signed + paid",X234="Closed – No response",X234="Lost"),N(Z234)&gt;=Settings!$S$3),"",Y234+Settings!$S$2)</f>
        <v/>
      </c>
      <c r="AB234" s="40"/>
      <c r="AC234" s="41"/>
      <c r="AD234" s="17"/>
      <c r="AE234" s="17"/>
      <c r="AF234" s="17"/>
      <c r="AG234" s="46" t="str">
        <f aca="true">IF(OR(D234="",B234=""),"",INT(TODAY()-B234))</f>
        <v/>
      </c>
      <c r="AH234" s="44" t="str">
        <f aca="true">IF(D234="","",IF(OR(COUNTIFS(Clients!$C$2:$C$501,D234,Clients!$S$2:$S$501,"Paid")&gt;0,AND(H234&lt;&gt;"",COUNTIFS(Clients!$E$2:$E$501,H234,Clients!$S$2:$S$501,"Paid")&gt;0)),"⚠ Refunded before – no free video",IF(OR(X234="Contract signed + paid",X234="Closed – No response",X234="Lost"),"",IF(X234="","Set a stage",IF(AND(X234="Proposal sent",COUNTA(N234:S234)&lt;6),"Score this lead – proposal sent unscored",IF(N(Z234)&gt;=Settings!$S$3,"Close – 4 follow-ups sent",IF(AA234="",IF(Y234="","Make first contact",""),IF(TODAY()&gt;AA234,"OVERDUE follow-up",IF(TODAY()=AA234,"Follow up today","")))))))))</f>
        <v/>
      </c>
    </row>
    <row r="235" customFormat="false" ht="15" hidden="false" customHeight="false" outlineLevel="0" collapsed="false">
      <c r="A235" s="17"/>
      <c r="B235" s="40"/>
      <c r="C235" s="17"/>
      <c r="D235" s="17"/>
      <c r="E235" s="17"/>
      <c r="F235" s="17"/>
      <c r="G235" s="17"/>
      <c r="H235" s="42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44" t="str">
        <f aca="false">IF(OR(D235="",COUNTA(N235:S235)=0),"",SUMIFS(Settings!$AA$2:$AA$21,Settings!$Y$2:$Y$21,"Budget AED 5k+/mo?",Settings!$Z$2:$Z$21,N235)+SUMIFS(Settings!$AA$2:$AA$21,Settings!$Y$2:$Y$21,"Decision-maker?",Settings!$Z$2:$Z$21,O235)+SUMIFS(Settings!$AA$2:$AA$21,Settings!$Y$2:$Y$21,"Someone on camera?",Settings!$Z$2:$Z$21,P235)+SUMIFS(Settings!$AA$2:$AA$21,Settings!$Y$2:$Y$21,"OK with 3-month term?",Settings!$Z$2:$Z$21,Q235)+SUMIFS(Settings!$AA$2:$AA$21,Settings!$Y$2:$Y$21,"Start timeline",Settings!$Z$2:$Z$21,R235)+SUMIFS(Settings!$AA$2:$AA$21,Settings!$Y$2:$Y$21,"Social media gap",Settings!$Z$2:$Z$21,S235)+IF(E235="",0,IF(COUNTIF(Settings!$AC$2:$AC$6,E235)&gt;0,Settings!$AA$20,Settings!$AA$21)))</f>
        <v/>
      </c>
      <c r="U235" s="44" t="str">
        <f aca="false">IF(D235="","",IF(COUNTA(N235:S235)=0,"Not scored",IF(COUNTA(N235:S235)&lt;6,"Partly scored ("&amp;COUNTA(N235:S235)&amp;"/6)",IF(T235&gt;=Settings!$S$8,"Hot",IF(T235&gt;=Settings!$S$9,"Warm","Cold")))))</f>
        <v/>
      </c>
      <c r="V235" s="44" t="str">
        <f aca="false">IF(D235="","",IF(AND(N235="No",P235="No"),"🚩 Budget  ·  🚩 No one on camera",IF(N235="No","🚩 Budget under AED 5k",IF(P235="No","🚩 No one on camera",""))))</f>
        <v/>
      </c>
      <c r="W235" s="17"/>
      <c r="X235" s="17"/>
      <c r="Y235" s="40"/>
      <c r="Z235" s="17"/>
      <c r="AA235" s="45" t="str">
        <f aca="false">IF(OR(D235="",Y235="",OR(X235="Contract signed + paid",X235="Closed – No response",X235="Lost"),N(Z235)&gt;=Settings!$S$3),"",Y235+Settings!$S$2)</f>
        <v/>
      </c>
      <c r="AB235" s="40"/>
      <c r="AC235" s="41"/>
      <c r="AD235" s="17"/>
      <c r="AE235" s="17"/>
      <c r="AF235" s="17"/>
      <c r="AG235" s="46" t="str">
        <f aca="true">IF(OR(D235="",B235=""),"",INT(TODAY()-B235))</f>
        <v/>
      </c>
      <c r="AH235" s="44" t="str">
        <f aca="true">IF(D235="","",IF(OR(COUNTIFS(Clients!$C$2:$C$501,D235,Clients!$S$2:$S$501,"Paid")&gt;0,AND(H235&lt;&gt;"",COUNTIFS(Clients!$E$2:$E$501,H235,Clients!$S$2:$S$501,"Paid")&gt;0)),"⚠ Refunded before – no free video",IF(OR(X235="Contract signed + paid",X235="Closed – No response",X235="Lost"),"",IF(X235="","Set a stage",IF(AND(X235="Proposal sent",COUNTA(N235:S235)&lt;6),"Score this lead – proposal sent unscored",IF(N(Z235)&gt;=Settings!$S$3,"Close – 4 follow-ups sent",IF(AA235="",IF(Y235="","Make first contact",""),IF(TODAY()&gt;AA235,"OVERDUE follow-up",IF(TODAY()=AA235,"Follow up today","")))))))))</f>
        <v/>
      </c>
    </row>
    <row r="236" customFormat="false" ht="15" hidden="false" customHeight="false" outlineLevel="0" collapsed="false">
      <c r="A236" s="17"/>
      <c r="B236" s="40"/>
      <c r="C236" s="17"/>
      <c r="D236" s="17"/>
      <c r="E236" s="17"/>
      <c r="F236" s="17"/>
      <c r="G236" s="17"/>
      <c r="H236" s="42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44" t="str">
        <f aca="false">IF(OR(D236="",COUNTA(N236:S236)=0),"",SUMIFS(Settings!$AA$2:$AA$21,Settings!$Y$2:$Y$21,"Budget AED 5k+/mo?",Settings!$Z$2:$Z$21,N236)+SUMIFS(Settings!$AA$2:$AA$21,Settings!$Y$2:$Y$21,"Decision-maker?",Settings!$Z$2:$Z$21,O236)+SUMIFS(Settings!$AA$2:$AA$21,Settings!$Y$2:$Y$21,"Someone on camera?",Settings!$Z$2:$Z$21,P236)+SUMIFS(Settings!$AA$2:$AA$21,Settings!$Y$2:$Y$21,"OK with 3-month term?",Settings!$Z$2:$Z$21,Q236)+SUMIFS(Settings!$AA$2:$AA$21,Settings!$Y$2:$Y$21,"Start timeline",Settings!$Z$2:$Z$21,R236)+SUMIFS(Settings!$AA$2:$AA$21,Settings!$Y$2:$Y$21,"Social media gap",Settings!$Z$2:$Z$21,S236)+IF(E236="",0,IF(COUNTIF(Settings!$AC$2:$AC$6,E236)&gt;0,Settings!$AA$20,Settings!$AA$21)))</f>
        <v/>
      </c>
      <c r="U236" s="44" t="str">
        <f aca="false">IF(D236="","",IF(COUNTA(N236:S236)=0,"Not scored",IF(COUNTA(N236:S236)&lt;6,"Partly scored ("&amp;COUNTA(N236:S236)&amp;"/6)",IF(T236&gt;=Settings!$S$8,"Hot",IF(T236&gt;=Settings!$S$9,"Warm","Cold")))))</f>
        <v/>
      </c>
      <c r="V236" s="44" t="str">
        <f aca="false">IF(D236="","",IF(AND(N236="No",P236="No"),"🚩 Budget  ·  🚩 No one on camera",IF(N236="No","🚩 Budget under AED 5k",IF(P236="No","🚩 No one on camera",""))))</f>
        <v/>
      </c>
      <c r="W236" s="17"/>
      <c r="X236" s="17"/>
      <c r="Y236" s="40"/>
      <c r="Z236" s="17"/>
      <c r="AA236" s="45" t="str">
        <f aca="false">IF(OR(D236="",Y236="",OR(X236="Contract signed + paid",X236="Closed – No response",X236="Lost"),N(Z236)&gt;=Settings!$S$3),"",Y236+Settings!$S$2)</f>
        <v/>
      </c>
      <c r="AB236" s="40"/>
      <c r="AC236" s="41"/>
      <c r="AD236" s="17"/>
      <c r="AE236" s="17"/>
      <c r="AF236" s="17"/>
      <c r="AG236" s="46" t="str">
        <f aca="true">IF(OR(D236="",B236=""),"",INT(TODAY()-B236))</f>
        <v/>
      </c>
      <c r="AH236" s="44" t="str">
        <f aca="true">IF(D236="","",IF(OR(COUNTIFS(Clients!$C$2:$C$501,D236,Clients!$S$2:$S$501,"Paid")&gt;0,AND(H236&lt;&gt;"",COUNTIFS(Clients!$E$2:$E$501,H236,Clients!$S$2:$S$501,"Paid")&gt;0)),"⚠ Refunded before – no free video",IF(OR(X236="Contract signed + paid",X236="Closed – No response",X236="Lost"),"",IF(X236="","Set a stage",IF(AND(X236="Proposal sent",COUNTA(N236:S236)&lt;6),"Score this lead – proposal sent unscored",IF(N(Z236)&gt;=Settings!$S$3,"Close – 4 follow-ups sent",IF(AA236="",IF(Y236="","Make first contact",""),IF(TODAY()&gt;AA236,"OVERDUE follow-up",IF(TODAY()=AA236,"Follow up today","")))))))))</f>
        <v/>
      </c>
    </row>
    <row r="237" customFormat="false" ht="15" hidden="false" customHeight="false" outlineLevel="0" collapsed="false">
      <c r="A237" s="17"/>
      <c r="B237" s="40"/>
      <c r="C237" s="17"/>
      <c r="D237" s="17"/>
      <c r="E237" s="17"/>
      <c r="F237" s="17"/>
      <c r="G237" s="17"/>
      <c r="H237" s="42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44" t="str">
        <f aca="false">IF(OR(D237="",COUNTA(N237:S237)=0),"",SUMIFS(Settings!$AA$2:$AA$21,Settings!$Y$2:$Y$21,"Budget AED 5k+/mo?",Settings!$Z$2:$Z$21,N237)+SUMIFS(Settings!$AA$2:$AA$21,Settings!$Y$2:$Y$21,"Decision-maker?",Settings!$Z$2:$Z$21,O237)+SUMIFS(Settings!$AA$2:$AA$21,Settings!$Y$2:$Y$21,"Someone on camera?",Settings!$Z$2:$Z$21,P237)+SUMIFS(Settings!$AA$2:$AA$21,Settings!$Y$2:$Y$21,"OK with 3-month term?",Settings!$Z$2:$Z$21,Q237)+SUMIFS(Settings!$AA$2:$AA$21,Settings!$Y$2:$Y$21,"Start timeline",Settings!$Z$2:$Z$21,R237)+SUMIFS(Settings!$AA$2:$AA$21,Settings!$Y$2:$Y$21,"Social media gap",Settings!$Z$2:$Z$21,S237)+IF(E237="",0,IF(COUNTIF(Settings!$AC$2:$AC$6,E237)&gt;0,Settings!$AA$20,Settings!$AA$21)))</f>
        <v/>
      </c>
      <c r="U237" s="44" t="str">
        <f aca="false">IF(D237="","",IF(COUNTA(N237:S237)=0,"Not scored",IF(COUNTA(N237:S237)&lt;6,"Partly scored ("&amp;COUNTA(N237:S237)&amp;"/6)",IF(T237&gt;=Settings!$S$8,"Hot",IF(T237&gt;=Settings!$S$9,"Warm","Cold")))))</f>
        <v/>
      </c>
      <c r="V237" s="44" t="str">
        <f aca="false">IF(D237="","",IF(AND(N237="No",P237="No"),"🚩 Budget  ·  🚩 No one on camera",IF(N237="No","🚩 Budget under AED 5k",IF(P237="No","🚩 No one on camera",""))))</f>
        <v/>
      </c>
      <c r="W237" s="17"/>
      <c r="X237" s="17"/>
      <c r="Y237" s="40"/>
      <c r="Z237" s="17"/>
      <c r="AA237" s="45" t="str">
        <f aca="false">IF(OR(D237="",Y237="",OR(X237="Contract signed + paid",X237="Closed – No response",X237="Lost"),N(Z237)&gt;=Settings!$S$3),"",Y237+Settings!$S$2)</f>
        <v/>
      </c>
      <c r="AB237" s="40"/>
      <c r="AC237" s="41"/>
      <c r="AD237" s="17"/>
      <c r="AE237" s="17"/>
      <c r="AF237" s="17"/>
      <c r="AG237" s="46" t="str">
        <f aca="true">IF(OR(D237="",B237=""),"",INT(TODAY()-B237))</f>
        <v/>
      </c>
      <c r="AH237" s="44" t="str">
        <f aca="true">IF(D237="","",IF(OR(COUNTIFS(Clients!$C$2:$C$501,D237,Clients!$S$2:$S$501,"Paid")&gt;0,AND(H237&lt;&gt;"",COUNTIFS(Clients!$E$2:$E$501,H237,Clients!$S$2:$S$501,"Paid")&gt;0)),"⚠ Refunded before – no free video",IF(OR(X237="Contract signed + paid",X237="Closed – No response",X237="Lost"),"",IF(X237="","Set a stage",IF(AND(X237="Proposal sent",COUNTA(N237:S237)&lt;6),"Score this lead – proposal sent unscored",IF(N(Z237)&gt;=Settings!$S$3,"Close – 4 follow-ups sent",IF(AA237="",IF(Y237="","Make first contact",""),IF(TODAY()&gt;AA237,"OVERDUE follow-up",IF(TODAY()=AA237,"Follow up today","")))))))))</f>
        <v/>
      </c>
    </row>
    <row r="238" customFormat="false" ht="15" hidden="false" customHeight="false" outlineLevel="0" collapsed="false">
      <c r="A238" s="17"/>
      <c r="B238" s="40"/>
      <c r="C238" s="17"/>
      <c r="D238" s="17"/>
      <c r="E238" s="17"/>
      <c r="F238" s="17"/>
      <c r="G238" s="17"/>
      <c r="H238" s="42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44" t="str">
        <f aca="false">IF(OR(D238="",COUNTA(N238:S238)=0),"",SUMIFS(Settings!$AA$2:$AA$21,Settings!$Y$2:$Y$21,"Budget AED 5k+/mo?",Settings!$Z$2:$Z$21,N238)+SUMIFS(Settings!$AA$2:$AA$21,Settings!$Y$2:$Y$21,"Decision-maker?",Settings!$Z$2:$Z$21,O238)+SUMIFS(Settings!$AA$2:$AA$21,Settings!$Y$2:$Y$21,"Someone on camera?",Settings!$Z$2:$Z$21,P238)+SUMIFS(Settings!$AA$2:$AA$21,Settings!$Y$2:$Y$21,"OK with 3-month term?",Settings!$Z$2:$Z$21,Q238)+SUMIFS(Settings!$AA$2:$AA$21,Settings!$Y$2:$Y$21,"Start timeline",Settings!$Z$2:$Z$21,R238)+SUMIFS(Settings!$AA$2:$AA$21,Settings!$Y$2:$Y$21,"Social media gap",Settings!$Z$2:$Z$21,S238)+IF(E238="",0,IF(COUNTIF(Settings!$AC$2:$AC$6,E238)&gt;0,Settings!$AA$20,Settings!$AA$21)))</f>
        <v/>
      </c>
      <c r="U238" s="44" t="str">
        <f aca="false">IF(D238="","",IF(COUNTA(N238:S238)=0,"Not scored",IF(COUNTA(N238:S238)&lt;6,"Partly scored ("&amp;COUNTA(N238:S238)&amp;"/6)",IF(T238&gt;=Settings!$S$8,"Hot",IF(T238&gt;=Settings!$S$9,"Warm","Cold")))))</f>
        <v/>
      </c>
      <c r="V238" s="44" t="str">
        <f aca="false">IF(D238="","",IF(AND(N238="No",P238="No"),"🚩 Budget  ·  🚩 No one on camera",IF(N238="No","🚩 Budget under AED 5k",IF(P238="No","🚩 No one on camera",""))))</f>
        <v/>
      </c>
      <c r="W238" s="17"/>
      <c r="X238" s="17"/>
      <c r="Y238" s="40"/>
      <c r="Z238" s="17"/>
      <c r="AA238" s="45" t="str">
        <f aca="false">IF(OR(D238="",Y238="",OR(X238="Contract signed + paid",X238="Closed – No response",X238="Lost"),N(Z238)&gt;=Settings!$S$3),"",Y238+Settings!$S$2)</f>
        <v/>
      </c>
      <c r="AB238" s="40"/>
      <c r="AC238" s="41"/>
      <c r="AD238" s="17"/>
      <c r="AE238" s="17"/>
      <c r="AF238" s="17"/>
      <c r="AG238" s="46" t="str">
        <f aca="true">IF(OR(D238="",B238=""),"",INT(TODAY()-B238))</f>
        <v/>
      </c>
      <c r="AH238" s="44" t="str">
        <f aca="true">IF(D238="","",IF(OR(COUNTIFS(Clients!$C$2:$C$501,D238,Clients!$S$2:$S$501,"Paid")&gt;0,AND(H238&lt;&gt;"",COUNTIFS(Clients!$E$2:$E$501,H238,Clients!$S$2:$S$501,"Paid")&gt;0)),"⚠ Refunded before – no free video",IF(OR(X238="Contract signed + paid",X238="Closed – No response",X238="Lost"),"",IF(X238="","Set a stage",IF(AND(X238="Proposal sent",COUNTA(N238:S238)&lt;6),"Score this lead – proposal sent unscored",IF(N(Z238)&gt;=Settings!$S$3,"Close – 4 follow-ups sent",IF(AA238="",IF(Y238="","Make first contact",""),IF(TODAY()&gt;AA238,"OVERDUE follow-up",IF(TODAY()=AA238,"Follow up today","")))))))))</f>
        <v/>
      </c>
    </row>
    <row r="239" customFormat="false" ht="15" hidden="false" customHeight="false" outlineLevel="0" collapsed="false">
      <c r="A239" s="17"/>
      <c r="B239" s="40"/>
      <c r="C239" s="17"/>
      <c r="D239" s="17"/>
      <c r="E239" s="17"/>
      <c r="F239" s="17"/>
      <c r="G239" s="17"/>
      <c r="H239" s="42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44" t="str">
        <f aca="false">IF(OR(D239="",COUNTA(N239:S239)=0),"",SUMIFS(Settings!$AA$2:$AA$21,Settings!$Y$2:$Y$21,"Budget AED 5k+/mo?",Settings!$Z$2:$Z$21,N239)+SUMIFS(Settings!$AA$2:$AA$21,Settings!$Y$2:$Y$21,"Decision-maker?",Settings!$Z$2:$Z$21,O239)+SUMIFS(Settings!$AA$2:$AA$21,Settings!$Y$2:$Y$21,"Someone on camera?",Settings!$Z$2:$Z$21,P239)+SUMIFS(Settings!$AA$2:$AA$21,Settings!$Y$2:$Y$21,"OK with 3-month term?",Settings!$Z$2:$Z$21,Q239)+SUMIFS(Settings!$AA$2:$AA$21,Settings!$Y$2:$Y$21,"Start timeline",Settings!$Z$2:$Z$21,R239)+SUMIFS(Settings!$AA$2:$AA$21,Settings!$Y$2:$Y$21,"Social media gap",Settings!$Z$2:$Z$21,S239)+IF(E239="",0,IF(COUNTIF(Settings!$AC$2:$AC$6,E239)&gt;0,Settings!$AA$20,Settings!$AA$21)))</f>
        <v/>
      </c>
      <c r="U239" s="44" t="str">
        <f aca="false">IF(D239="","",IF(COUNTA(N239:S239)=0,"Not scored",IF(COUNTA(N239:S239)&lt;6,"Partly scored ("&amp;COUNTA(N239:S239)&amp;"/6)",IF(T239&gt;=Settings!$S$8,"Hot",IF(T239&gt;=Settings!$S$9,"Warm","Cold")))))</f>
        <v/>
      </c>
      <c r="V239" s="44" t="str">
        <f aca="false">IF(D239="","",IF(AND(N239="No",P239="No"),"🚩 Budget  ·  🚩 No one on camera",IF(N239="No","🚩 Budget under AED 5k",IF(P239="No","🚩 No one on camera",""))))</f>
        <v/>
      </c>
      <c r="W239" s="17"/>
      <c r="X239" s="17"/>
      <c r="Y239" s="40"/>
      <c r="Z239" s="17"/>
      <c r="AA239" s="45" t="str">
        <f aca="false">IF(OR(D239="",Y239="",OR(X239="Contract signed + paid",X239="Closed – No response",X239="Lost"),N(Z239)&gt;=Settings!$S$3),"",Y239+Settings!$S$2)</f>
        <v/>
      </c>
      <c r="AB239" s="40"/>
      <c r="AC239" s="41"/>
      <c r="AD239" s="17"/>
      <c r="AE239" s="17"/>
      <c r="AF239" s="17"/>
      <c r="AG239" s="46" t="str">
        <f aca="true">IF(OR(D239="",B239=""),"",INT(TODAY()-B239))</f>
        <v/>
      </c>
      <c r="AH239" s="44" t="str">
        <f aca="true">IF(D239="","",IF(OR(COUNTIFS(Clients!$C$2:$C$501,D239,Clients!$S$2:$S$501,"Paid")&gt;0,AND(H239&lt;&gt;"",COUNTIFS(Clients!$E$2:$E$501,H239,Clients!$S$2:$S$501,"Paid")&gt;0)),"⚠ Refunded before – no free video",IF(OR(X239="Contract signed + paid",X239="Closed – No response",X239="Lost"),"",IF(X239="","Set a stage",IF(AND(X239="Proposal sent",COUNTA(N239:S239)&lt;6),"Score this lead – proposal sent unscored",IF(N(Z239)&gt;=Settings!$S$3,"Close – 4 follow-ups sent",IF(AA239="",IF(Y239="","Make first contact",""),IF(TODAY()&gt;AA239,"OVERDUE follow-up",IF(TODAY()=AA239,"Follow up today","")))))))))</f>
        <v/>
      </c>
    </row>
    <row r="240" customFormat="false" ht="15" hidden="false" customHeight="false" outlineLevel="0" collapsed="false">
      <c r="A240" s="17"/>
      <c r="B240" s="40"/>
      <c r="C240" s="17"/>
      <c r="D240" s="17"/>
      <c r="E240" s="17"/>
      <c r="F240" s="17"/>
      <c r="G240" s="17"/>
      <c r="H240" s="42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44" t="str">
        <f aca="false">IF(OR(D240="",COUNTA(N240:S240)=0),"",SUMIFS(Settings!$AA$2:$AA$21,Settings!$Y$2:$Y$21,"Budget AED 5k+/mo?",Settings!$Z$2:$Z$21,N240)+SUMIFS(Settings!$AA$2:$AA$21,Settings!$Y$2:$Y$21,"Decision-maker?",Settings!$Z$2:$Z$21,O240)+SUMIFS(Settings!$AA$2:$AA$21,Settings!$Y$2:$Y$21,"Someone on camera?",Settings!$Z$2:$Z$21,P240)+SUMIFS(Settings!$AA$2:$AA$21,Settings!$Y$2:$Y$21,"OK with 3-month term?",Settings!$Z$2:$Z$21,Q240)+SUMIFS(Settings!$AA$2:$AA$21,Settings!$Y$2:$Y$21,"Start timeline",Settings!$Z$2:$Z$21,R240)+SUMIFS(Settings!$AA$2:$AA$21,Settings!$Y$2:$Y$21,"Social media gap",Settings!$Z$2:$Z$21,S240)+IF(E240="",0,IF(COUNTIF(Settings!$AC$2:$AC$6,E240)&gt;0,Settings!$AA$20,Settings!$AA$21)))</f>
        <v/>
      </c>
      <c r="U240" s="44" t="str">
        <f aca="false">IF(D240="","",IF(COUNTA(N240:S240)=0,"Not scored",IF(COUNTA(N240:S240)&lt;6,"Partly scored ("&amp;COUNTA(N240:S240)&amp;"/6)",IF(T240&gt;=Settings!$S$8,"Hot",IF(T240&gt;=Settings!$S$9,"Warm","Cold")))))</f>
        <v/>
      </c>
      <c r="V240" s="44" t="str">
        <f aca="false">IF(D240="","",IF(AND(N240="No",P240="No"),"🚩 Budget  ·  🚩 No one on camera",IF(N240="No","🚩 Budget under AED 5k",IF(P240="No","🚩 No one on camera",""))))</f>
        <v/>
      </c>
      <c r="W240" s="17"/>
      <c r="X240" s="17"/>
      <c r="Y240" s="40"/>
      <c r="Z240" s="17"/>
      <c r="AA240" s="45" t="str">
        <f aca="false">IF(OR(D240="",Y240="",OR(X240="Contract signed + paid",X240="Closed – No response",X240="Lost"),N(Z240)&gt;=Settings!$S$3),"",Y240+Settings!$S$2)</f>
        <v/>
      </c>
      <c r="AB240" s="40"/>
      <c r="AC240" s="41"/>
      <c r="AD240" s="17"/>
      <c r="AE240" s="17"/>
      <c r="AF240" s="17"/>
      <c r="AG240" s="46" t="str">
        <f aca="true">IF(OR(D240="",B240=""),"",INT(TODAY()-B240))</f>
        <v/>
      </c>
      <c r="AH240" s="44" t="str">
        <f aca="true">IF(D240="","",IF(OR(COUNTIFS(Clients!$C$2:$C$501,D240,Clients!$S$2:$S$501,"Paid")&gt;0,AND(H240&lt;&gt;"",COUNTIFS(Clients!$E$2:$E$501,H240,Clients!$S$2:$S$501,"Paid")&gt;0)),"⚠ Refunded before – no free video",IF(OR(X240="Contract signed + paid",X240="Closed – No response",X240="Lost"),"",IF(X240="","Set a stage",IF(AND(X240="Proposal sent",COUNTA(N240:S240)&lt;6),"Score this lead – proposal sent unscored",IF(N(Z240)&gt;=Settings!$S$3,"Close – 4 follow-ups sent",IF(AA240="",IF(Y240="","Make first contact",""),IF(TODAY()&gt;AA240,"OVERDUE follow-up",IF(TODAY()=AA240,"Follow up today","")))))))))</f>
        <v/>
      </c>
    </row>
    <row r="241" customFormat="false" ht="15" hidden="false" customHeight="false" outlineLevel="0" collapsed="false">
      <c r="A241" s="17"/>
      <c r="B241" s="40"/>
      <c r="C241" s="17"/>
      <c r="D241" s="17"/>
      <c r="E241" s="17"/>
      <c r="F241" s="17"/>
      <c r="G241" s="17"/>
      <c r="H241" s="42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44" t="str">
        <f aca="false">IF(OR(D241="",COUNTA(N241:S241)=0),"",SUMIFS(Settings!$AA$2:$AA$21,Settings!$Y$2:$Y$21,"Budget AED 5k+/mo?",Settings!$Z$2:$Z$21,N241)+SUMIFS(Settings!$AA$2:$AA$21,Settings!$Y$2:$Y$21,"Decision-maker?",Settings!$Z$2:$Z$21,O241)+SUMIFS(Settings!$AA$2:$AA$21,Settings!$Y$2:$Y$21,"Someone on camera?",Settings!$Z$2:$Z$21,P241)+SUMIFS(Settings!$AA$2:$AA$21,Settings!$Y$2:$Y$21,"OK with 3-month term?",Settings!$Z$2:$Z$21,Q241)+SUMIFS(Settings!$AA$2:$AA$21,Settings!$Y$2:$Y$21,"Start timeline",Settings!$Z$2:$Z$21,R241)+SUMIFS(Settings!$AA$2:$AA$21,Settings!$Y$2:$Y$21,"Social media gap",Settings!$Z$2:$Z$21,S241)+IF(E241="",0,IF(COUNTIF(Settings!$AC$2:$AC$6,E241)&gt;0,Settings!$AA$20,Settings!$AA$21)))</f>
        <v/>
      </c>
      <c r="U241" s="44" t="str">
        <f aca="false">IF(D241="","",IF(COUNTA(N241:S241)=0,"Not scored",IF(COUNTA(N241:S241)&lt;6,"Partly scored ("&amp;COUNTA(N241:S241)&amp;"/6)",IF(T241&gt;=Settings!$S$8,"Hot",IF(T241&gt;=Settings!$S$9,"Warm","Cold")))))</f>
        <v/>
      </c>
      <c r="V241" s="44" t="str">
        <f aca="false">IF(D241="","",IF(AND(N241="No",P241="No"),"🚩 Budget  ·  🚩 No one on camera",IF(N241="No","🚩 Budget under AED 5k",IF(P241="No","🚩 No one on camera",""))))</f>
        <v/>
      </c>
      <c r="W241" s="17"/>
      <c r="X241" s="17"/>
      <c r="Y241" s="40"/>
      <c r="Z241" s="17"/>
      <c r="AA241" s="45" t="str">
        <f aca="false">IF(OR(D241="",Y241="",OR(X241="Contract signed + paid",X241="Closed – No response",X241="Lost"),N(Z241)&gt;=Settings!$S$3),"",Y241+Settings!$S$2)</f>
        <v/>
      </c>
      <c r="AB241" s="40"/>
      <c r="AC241" s="41"/>
      <c r="AD241" s="17"/>
      <c r="AE241" s="17"/>
      <c r="AF241" s="17"/>
      <c r="AG241" s="46" t="str">
        <f aca="true">IF(OR(D241="",B241=""),"",INT(TODAY()-B241))</f>
        <v/>
      </c>
      <c r="AH241" s="44" t="str">
        <f aca="true">IF(D241="","",IF(OR(COUNTIFS(Clients!$C$2:$C$501,D241,Clients!$S$2:$S$501,"Paid")&gt;0,AND(H241&lt;&gt;"",COUNTIFS(Clients!$E$2:$E$501,H241,Clients!$S$2:$S$501,"Paid")&gt;0)),"⚠ Refunded before – no free video",IF(OR(X241="Contract signed + paid",X241="Closed – No response",X241="Lost"),"",IF(X241="","Set a stage",IF(AND(X241="Proposal sent",COUNTA(N241:S241)&lt;6),"Score this lead – proposal sent unscored",IF(N(Z241)&gt;=Settings!$S$3,"Close – 4 follow-ups sent",IF(AA241="",IF(Y241="","Make first contact",""),IF(TODAY()&gt;AA241,"OVERDUE follow-up",IF(TODAY()=AA241,"Follow up today","")))))))))</f>
        <v/>
      </c>
    </row>
    <row r="242" customFormat="false" ht="15" hidden="false" customHeight="false" outlineLevel="0" collapsed="false">
      <c r="A242" s="17"/>
      <c r="B242" s="40"/>
      <c r="C242" s="17"/>
      <c r="D242" s="17"/>
      <c r="E242" s="17"/>
      <c r="F242" s="17"/>
      <c r="G242" s="17"/>
      <c r="H242" s="42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44" t="str">
        <f aca="false">IF(OR(D242="",COUNTA(N242:S242)=0),"",SUMIFS(Settings!$AA$2:$AA$21,Settings!$Y$2:$Y$21,"Budget AED 5k+/mo?",Settings!$Z$2:$Z$21,N242)+SUMIFS(Settings!$AA$2:$AA$21,Settings!$Y$2:$Y$21,"Decision-maker?",Settings!$Z$2:$Z$21,O242)+SUMIFS(Settings!$AA$2:$AA$21,Settings!$Y$2:$Y$21,"Someone on camera?",Settings!$Z$2:$Z$21,P242)+SUMIFS(Settings!$AA$2:$AA$21,Settings!$Y$2:$Y$21,"OK with 3-month term?",Settings!$Z$2:$Z$21,Q242)+SUMIFS(Settings!$AA$2:$AA$21,Settings!$Y$2:$Y$21,"Start timeline",Settings!$Z$2:$Z$21,R242)+SUMIFS(Settings!$AA$2:$AA$21,Settings!$Y$2:$Y$21,"Social media gap",Settings!$Z$2:$Z$21,S242)+IF(E242="",0,IF(COUNTIF(Settings!$AC$2:$AC$6,E242)&gt;0,Settings!$AA$20,Settings!$AA$21)))</f>
        <v/>
      </c>
      <c r="U242" s="44" t="str">
        <f aca="false">IF(D242="","",IF(COUNTA(N242:S242)=0,"Not scored",IF(COUNTA(N242:S242)&lt;6,"Partly scored ("&amp;COUNTA(N242:S242)&amp;"/6)",IF(T242&gt;=Settings!$S$8,"Hot",IF(T242&gt;=Settings!$S$9,"Warm","Cold")))))</f>
        <v/>
      </c>
      <c r="V242" s="44" t="str">
        <f aca="false">IF(D242="","",IF(AND(N242="No",P242="No"),"🚩 Budget  ·  🚩 No one on camera",IF(N242="No","🚩 Budget under AED 5k",IF(P242="No","🚩 No one on camera",""))))</f>
        <v/>
      </c>
      <c r="W242" s="17"/>
      <c r="X242" s="17"/>
      <c r="Y242" s="40"/>
      <c r="Z242" s="17"/>
      <c r="AA242" s="45" t="str">
        <f aca="false">IF(OR(D242="",Y242="",OR(X242="Contract signed + paid",X242="Closed – No response",X242="Lost"),N(Z242)&gt;=Settings!$S$3),"",Y242+Settings!$S$2)</f>
        <v/>
      </c>
      <c r="AB242" s="40"/>
      <c r="AC242" s="41"/>
      <c r="AD242" s="17"/>
      <c r="AE242" s="17"/>
      <c r="AF242" s="17"/>
      <c r="AG242" s="46" t="str">
        <f aca="true">IF(OR(D242="",B242=""),"",INT(TODAY()-B242))</f>
        <v/>
      </c>
      <c r="AH242" s="44" t="str">
        <f aca="true">IF(D242="","",IF(OR(COUNTIFS(Clients!$C$2:$C$501,D242,Clients!$S$2:$S$501,"Paid")&gt;0,AND(H242&lt;&gt;"",COUNTIFS(Clients!$E$2:$E$501,H242,Clients!$S$2:$S$501,"Paid")&gt;0)),"⚠ Refunded before – no free video",IF(OR(X242="Contract signed + paid",X242="Closed – No response",X242="Lost"),"",IF(X242="","Set a stage",IF(AND(X242="Proposal sent",COUNTA(N242:S242)&lt;6),"Score this lead – proposal sent unscored",IF(N(Z242)&gt;=Settings!$S$3,"Close – 4 follow-ups sent",IF(AA242="",IF(Y242="","Make first contact",""),IF(TODAY()&gt;AA242,"OVERDUE follow-up",IF(TODAY()=AA242,"Follow up today","")))))))))</f>
        <v/>
      </c>
    </row>
    <row r="243" customFormat="false" ht="15" hidden="false" customHeight="false" outlineLevel="0" collapsed="false">
      <c r="A243" s="17"/>
      <c r="B243" s="40"/>
      <c r="C243" s="17"/>
      <c r="D243" s="17"/>
      <c r="E243" s="17"/>
      <c r="F243" s="17"/>
      <c r="G243" s="17"/>
      <c r="H243" s="42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44" t="str">
        <f aca="false">IF(OR(D243="",COUNTA(N243:S243)=0),"",SUMIFS(Settings!$AA$2:$AA$21,Settings!$Y$2:$Y$21,"Budget AED 5k+/mo?",Settings!$Z$2:$Z$21,N243)+SUMIFS(Settings!$AA$2:$AA$21,Settings!$Y$2:$Y$21,"Decision-maker?",Settings!$Z$2:$Z$21,O243)+SUMIFS(Settings!$AA$2:$AA$21,Settings!$Y$2:$Y$21,"Someone on camera?",Settings!$Z$2:$Z$21,P243)+SUMIFS(Settings!$AA$2:$AA$21,Settings!$Y$2:$Y$21,"OK with 3-month term?",Settings!$Z$2:$Z$21,Q243)+SUMIFS(Settings!$AA$2:$AA$21,Settings!$Y$2:$Y$21,"Start timeline",Settings!$Z$2:$Z$21,R243)+SUMIFS(Settings!$AA$2:$AA$21,Settings!$Y$2:$Y$21,"Social media gap",Settings!$Z$2:$Z$21,S243)+IF(E243="",0,IF(COUNTIF(Settings!$AC$2:$AC$6,E243)&gt;0,Settings!$AA$20,Settings!$AA$21)))</f>
        <v/>
      </c>
      <c r="U243" s="44" t="str">
        <f aca="false">IF(D243="","",IF(COUNTA(N243:S243)=0,"Not scored",IF(COUNTA(N243:S243)&lt;6,"Partly scored ("&amp;COUNTA(N243:S243)&amp;"/6)",IF(T243&gt;=Settings!$S$8,"Hot",IF(T243&gt;=Settings!$S$9,"Warm","Cold")))))</f>
        <v/>
      </c>
      <c r="V243" s="44" t="str">
        <f aca="false">IF(D243="","",IF(AND(N243="No",P243="No"),"🚩 Budget  ·  🚩 No one on camera",IF(N243="No","🚩 Budget under AED 5k",IF(P243="No","🚩 No one on camera",""))))</f>
        <v/>
      </c>
      <c r="W243" s="17"/>
      <c r="X243" s="17"/>
      <c r="Y243" s="40"/>
      <c r="Z243" s="17"/>
      <c r="AA243" s="45" t="str">
        <f aca="false">IF(OR(D243="",Y243="",OR(X243="Contract signed + paid",X243="Closed – No response",X243="Lost"),N(Z243)&gt;=Settings!$S$3),"",Y243+Settings!$S$2)</f>
        <v/>
      </c>
      <c r="AB243" s="40"/>
      <c r="AC243" s="41"/>
      <c r="AD243" s="17"/>
      <c r="AE243" s="17"/>
      <c r="AF243" s="17"/>
      <c r="AG243" s="46" t="str">
        <f aca="true">IF(OR(D243="",B243=""),"",INT(TODAY()-B243))</f>
        <v/>
      </c>
      <c r="AH243" s="44" t="str">
        <f aca="true">IF(D243="","",IF(OR(COUNTIFS(Clients!$C$2:$C$501,D243,Clients!$S$2:$S$501,"Paid")&gt;0,AND(H243&lt;&gt;"",COUNTIFS(Clients!$E$2:$E$501,H243,Clients!$S$2:$S$501,"Paid")&gt;0)),"⚠ Refunded before – no free video",IF(OR(X243="Contract signed + paid",X243="Closed – No response",X243="Lost"),"",IF(X243="","Set a stage",IF(AND(X243="Proposal sent",COUNTA(N243:S243)&lt;6),"Score this lead – proposal sent unscored",IF(N(Z243)&gt;=Settings!$S$3,"Close – 4 follow-ups sent",IF(AA243="",IF(Y243="","Make first contact",""),IF(TODAY()&gt;AA243,"OVERDUE follow-up",IF(TODAY()=AA243,"Follow up today","")))))))))</f>
        <v/>
      </c>
    </row>
    <row r="244" customFormat="false" ht="15" hidden="false" customHeight="false" outlineLevel="0" collapsed="false">
      <c r="A244" s="17"/>
      <c r="B244" s="40"/>
      <c r="C244" s="17"/>
      <c r="D244" s="17"/>
      <c r="E244" s="17"/>
      <c r="F244" s="17"/>
      <c r="G244" s="17"/>
      <c r="H244" s="42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44" t="str">
        <f aca="false">IF(OR(D244="",COUNTA(N244:S244)=0),"",SUMIFS(Settings!$AA$2:$AA$21,Settings!$Y$2:$Y$21,"Budget AED 5k+/mo?",Settings!$Z$2:$Z$21,N244)+SUMIFS(Settings!$AA$2:$AA$21,Settings!$Y$2:$Y$21,"Decision-maker?",Settings!$Z$2:$Z$21,O244)+SUMIFS(Settings!$AA$2:$AA$21,Settings!$Y$2:$Y$21,"Someone on camera?",Settings!$Z$2:$Z$21,P244)+SUMIFS(Settings!$AA$2:$AA$21,Settings!$Y$2:$Y$21,"OK with 3-month term?",Settings!$Z$2:$Z$21,Q244)+SUMIFS(Settings!$AA$2:$AA$21,Settings!$Y$2:$Y$21,"Start timeline",Settings!$Z$2:$Z$21,R244)+SUMIFS(Settings!$AA$2:$AA$21,Settings!$Y$2:$Y$21,"Social media gap",Settings!$Z$2:$Z$21,S244)+IF(E244="",0,IF(COUNTIF(Settings!$AC$2:$AC$6,E244)&gt;0,Settings!$AA$20,Settings!$AA$21)))</f>
        <v/>
      </c>
      <c r="U244" s="44" t="str">
        <f aca="false">IF(D244="","",IF(COUNTA(N244:S244)=0,"Not scored",IF(COUNTA(N244:S244)&lt;6,"Partly scored ("&amp;COUNTA(N244:S244)&amp;"/6)",IF(T244&gt;=Settings!$S$8,"Hot",IF(T244&gt;=Settings!$S$9,"Warm","Cold")))))</f>
        <v/>
      </c>
      <c r="V244" s="44" t="str">
        <f aca="false">IF(D244="","",IF(AND(N244="No",P244="No"),"🚩 Budget  ·  🚩 No one on camera",IF(N244="No","🚩 Budget under AED 5k",IF(P244="No","🚩 No one on camera",""))))</f>
        <v/>
      </c>
      <c r="W244" s="17"/>
      <c r="X244" s="17"/>
      <c r="Y244" s="40"/>
      <c r="Z244" s="17"/>
      <c r="AA244" s="45" t="str">
        <f aca="false">IF(OR(D244="",Y244="",OR(X244="Contract signed + paid",X244="Closed – No response",X244="Lost"),N(Z244)&gt;=Settings!$S$3),"",Y244+Settings!$S$2)</f>
        <v/>
      </c>
      <c r="AB244" s="40"/>
      <c r="AC244" s="41"/>
      <c r="AD244" s="17"/>
      <c r="AE244" s="17"/>
      <c r="AF244" s="17"/>
      <c r="AG244" s="46" t="str">
        <f aca="true">IF(OR(D244="",B244=""),"",INT(TODAY()-B244))</f>
        <v/>
      </c>
      <c r="AH244" s="44" t="str">
        <f aca="true">IF(D244="","",IF(OR(COUNTIFS(Clients!$C$2:$C$501,D244,Clients!$S$2:$S$501,"Paid")&gt;0,AND(H244&lt;&gt;"",COUNTIFS(Clients!$E$2:$E$501,H244,Clients!$S$2:$S$501,"Paid")&gt;0)),"⚠ Refunded before – no free video",IF(OR(X244="Contract signed + paid",X244="Closed – No response",X244="Lost"),"",IF(X244="","Set a stage",IF(AND(X244="Proposal sent",COUNTA(N244:S244)&lt;6),"Score this lead – proposal sent unscored",IF(N(Z244)&gt;=Settings!$S$3,"Close – 4 follow-ups sent",IF(AA244="",IF(Y244="","Make first contact",""),IF(TODAY()&gt;AA244,"OVERDUE follow-up",IF(TODAY()=AA244,"Follow up today","")))))))))</f>
        <v/>
      </c>
    </row>
    <row r="245" customFormat="false" ht="15" hidden="false" customHeight="false" outlineLevel="0" collapsed="false">
      <c r="A245" s="17"/>
      <c r="B245" s="40"/>
      <c r="C245" s="17"/>
      <c r="D245" s="17"/>
      <c r="E245" s="17"/>
      <c r="F245" s="17"/>
      <c r="G245" s="17"/>
      <c r="H245" s="42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44" t="str">
        <f aca="false">IF(OR(D245="",COUNTA(N245:S245)=0),"",SUMIFS(Settings!$AA$2:$AA$21,Settings!$Y$2:$Y$21,"Budget AED 5k+/mo?",Settings!$Z$2:$Z$21,N245)+SUMIFS(Settings!$AA$2:$AA$21,Settings!$Y$2:$Y$21,"Decision-maker?",Settings!$Z$2:$Z$21,O245)+SUMIFS(Settings!$AA$2:$AA$21,Settings!$Y$2:$Y$21,"Someone on camera?",Settings!$Z$2:$Z$21,P245)+SUMIFS(Settings!$AA$2:$AA$21,Settings!$Y$2:$Y$21,"OK with 3-month term?",Settings!$Z$2:$Z$21,Q245)+SUMIFS(Settings!$AA$2:$AA$21,Settings!$Y$2:$Y$21,"Start timeline",Settings!$Z$2:$Z$21,R245)+SUMIFS(Settings!$AA$2:$AA$21,Settings!$Y$2:$Y$21,"Social media gap",Settings!$Z$2:$Z$21,S245)+IF(E245="",0,IF(COUNTIF(Settings!$AC$2:$AC$6,E245)&gt;0,Settings!$AA$20,Settings!$AA$21)))</f>
        <v/>
      </c>
      <c r="U245" s="44" t="str">
        <f aca="false">IF(D245="","",IF(COUNTA(N245:S245)=0,"Not scored",IF(COUNTA(N245:S245)&lt;6,"Partly scored ("&amp;COUNTA(N245:S245)&amp;"/6)",IF(T245&gt;=Settings!$S$8,"Hot",IF(T245&gt;=Settings!$S$9,"Warm","Cold")))))</f>
        <v/>
      </c>
      <c r="V245" s="44" t="str">
        <f aca="false">IF(D245="","",IF(AND(N245="No",P245="No"),"🚩 Budget  ·  🚩 No one on camera",IF(N245="No","🚩 Budget under AED 5k",IF(P245="No","🚩 No one on camera",""))))</f>
        <v/>
      </c>
      <c r="W245" s="17"/>
      <c r="X245" s="17"/>
      <c r="Y245" s="40"/>
      <c r="Z245" s="17"/>
      <c r="AA245" s="45" t="str">
        <f aca="false">IF(OR(D245="",Y245="",OR(X245="Contract signed + paid",X245="Closed – No response",X245="Lost"),N(Z245)&gt;=Settings!$S$3),"",Y245+Settings!$S$2)</f>
        <v/>
      </c>
      <c r="AB245" s="40"/>
      <c r="AC245" s="41"/>
      <c r="AD245" s="17"/>
      <c r="AE245" s="17"/>
      <c r="AF245" s="17"/>
      <c r="AG245" s="46" t="str">
        <f aca="true">IF(OR(D245="",B245=""),"",INT(TODAY()-B245))</f>
        <v/>
      </c>
      <c r="AH245" s="44" t="str">
        <f aca="true">IF(D245="","",IF(OR(COUNTIFS(Clients!$C$2:$C$501,D245,Clients!$S$2:$S$501,"Paid")&gt;0,AND(H245&lt;&gt;"",COUNTIFS(Clients!$E$2:$E$501,H245,Clients!$S$2:$S$501,"Paid")&gt;0)),"⚠ Refunded before – no free video",IF(OR(X245="Contract signed + paid",X245="Closed – No response",X245="Lost"),"",IF(X245="","Set a stage",IF(AND(X245="Proposal sent",COUNTA(N245:S245)&lt;6),"Score this lead – proposal sent unscored",IF(N(Z245)&gt;=Settings!$S$3,"Close – 4 follow-ups sent",IF(AA245="",IF(Y245="","Make first contact",""),IF(TODAY()&gt;AA245,"OVERDUE follow-up",IF(TODAY()=AA245,"Follow up today","")))))))))</f>
        <v/>
      </c>
    </row>
    <row r="246" customFormat="false" ht="15" hidden="false" customHeight="false" outlineLevel="0" collapsed="false">
      <c r="A246" s="17"/>
      <c r="B246" s="40"/>
      <c r="C246" s="17"/>
      <c r="D246" s="17"/>
      <c r="E246" s="17"/>
      <c r="F246" s="17"/>
      <c r="G246" s="17"/>
      <c r="H246" s="42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44" t="str">
        <f aca="false">IF(OR(D246="",COUNTA(N246:S246)=0),"",SUMIFS(Settings!$AA$2:$AA$21,Settings!$Y$2:$Y$21,"Budget AED 5k+/mo?",Settings!$Z$2:$Z$21,N246)+SUMIFS(Settings!$AA$2:$AA$21,Settings!$Y$2:$Y$21,"Decision-maker?",Settings!$Z$2:$Z$21,O246)+SUMIFS(Settings!$AA$2:$AA$21,Settings!$Y$2:$Y$21,"Someone on camera?",Settings!$Z$2:$Z$21,P246)+SUMIFS(Settings!$AA$2:$AA$21,Settings!$Y$2:$Y$21,"OK with 3-month term?",Settings!$Z$2:$Z$21,Q246)+SUMIFS(Settings!$AA$2:$AA$21,Settings!$Y$2:$Y$21,"Start timeline",Settings!$Z$2:$Z$21,R246)+SUMIFS(Settings!$AA$2:$AA$21,Settings!$Y$2:$Y$21,"Social media gap",Settings!$Z$2:$Z$21,S246)+IF(E246="",0,IF(COUNTIF(Settings!$AC$2:$AC$6,E246)&gt;0,Settings!$AA$20,Settings!$AA$21)))</f>
        <v/>
      </c>
      <c r="U246" s="44" t="str">
        <f aca="false">IF(D246="","",IF(COUNTA(N246:S246)=0,"Not scored",IF(COUNTA(N246:S246)&lt;6,"Partly scored ("&amp;COUNTA(N246:S246)&amp;"/6)",IF(T246&gt;=Settings!$S$8,"Hot",IF(T246&gt;=Settings!$S$9,"Warm","Cold")))))</f>
        <v/>
      </c>
      <c r="V246" s="44" t="str">
        <f aca="false">IF(D246="","",IF(AND(N246="No",P246="No"),"🚩 Budget  ·  🚩 No one on camera",IF(N246="No","🚩 Budget under AED 5k",IF(P246="No","🚩 No one on camera",""))))</f>
        <v/>
      </c>
      <c r="W246" s="17"/>
      <c r="X246" s="17"/>
      <c r="Y246" s="40"/>
      <c r="Z246" s="17"/>
      <c r="AA246" s="45" t="str">
        <f aca="false">IF(OR(D246="",Y246="",OR(X246="Contract signed + paid",X246="Closed – No response",X246="Lost"),N(Z246)&gt;=Settings!$S$3),"",Y246+Settings!$S$2)</f>
        <v/>
      </c>
      <c r="AB246" s="40"/>
      <c r="AC246" s="41"/>
      <c r="AD246" s="17"/>
      <c r="AE246" s="17"/>
      <c r="AF246" s="17"/>
      <c r="AG246" s="46" t="str">
        <f aca="true">IF(OR(D246="",B246=""),"",INT(TODAY()-B246))</f>
        <v/>
      </c>
      <c r="AH246" s="44" t="str">
        <f aca="true">IF(D246="","",IF(OR(COUNTIFS(Clients!$C$2:$C$501,D246,Clients!$S$2:$S$501,"Paid")&gt;0,AND(H246&lt;&gt;"",COUNTIFS(Clients!$E$2:$E$501,H246,Clients!$S$2:$S$501,"Paid")&gt;0)),"⚠ Refunded before – no free video",IF(OR(X246="Contract signed + paid",X246="Closed – No response",X246="Lost"),"",IF(X246="","Set a stage",IF(AND(X246="Proposal sent",COUNTA(N246:S246)&lt;6),"Score this lead – proposal sent unscored",IF(N(Z246)&gt;=Settings!$S$3,"Close – 4 follow-ups sent",IF(AA246="",IF(Y246="","Make first contact",""),IF(TODAY()&gt;AA246,"OVERDUE follow-up",IF(TODAY()=AA246,"Follow up today","")))))))))</f>
        <v/>
      </c>
    </row>
    <row r="247" customFormat="false" ht="15" hidden="false" customHeight="false" outlineLevel="0" collapsed="false">
      <c r="A247" s="17"/>
      <c r="B247" s="40"/>
      <c r="C247" s="17"/>
      <c r="D247" s="17"/>
      <c r="E247" s="17"/>
      <c r="F247" s="17"/>
      <c r="G247" s="17"/>
      <c r="H247" s="42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44" t="str">
        <f aca="false">IF(OR(D247="",COUNTA(N247:S247)=0),"",SUMIFS(Settings!$AA$2:$AA$21,Settings!$Y$2:$Y$21,"Budget AED 5k+/mo?",Settings!$Z$2:$Z$21,N247)+SUMIFS(Settings!$AA$2:$AA$21,Settings!$Y$2:$Y$21,"Decision-maker?",Settings!$Z$2:$Z$21,O247)+SUMIFS(Settings!$AA$2:$AA$21,Settings!$Y$2:$Y$21,"Someone on camera?",Settings!$Z$2:$Z$21,P247)+SUMIFS(Settings!$AA$2:$AA$21,Settings!$Y$2:$Y$21,"OK with 3-month term?",Settings!$Z$2:$Z$21,Q247)+SUMIFS(Settings!$AA$2:$AA$21,Settings!$Y$2:$Y$21,"Start timeline",Settings!$Z$2:$Z$21,R247)+SUMIFS(Settings!$AA$2:$AA$21,Settings!$Y$2:$Y$21,"Social media gap",Settings!$Z$2:$Z$21,S247)+IF(E247="",0,IF(COUNTIF(Settings!$AC$2:$AC$6,E247)&gt;0,Settings!$AA$20,Settings!$AA$21)))</f>
        <v/>
      </c>
      <c r="U247" s="44" t="str">
        <f aca="false">IF(D247="","",IF(COUNTA(N247:S247)=0,"Not scored",IF(COUNTA(N247:S247)&lt;6,"Partly scored ("&amp;COUNTA(N247:S247)&amp;"/6)",IF(T247&gt;=Settings!$S$8,"Hot",IF(T247&gt;=Settings!$S$9,"Warm","Cold")))))</f>
        <v/>
      </c>
      <c r="V247" s="44" t="str">
        <f aca="false">IF(D247="","",IF(AND(N247="No",P247="No"),"🚩 Budget  ·  🚩 No one on camera",IF(N247="No","🚩 Budget under AED 5k",IF(P247="No","🚩 No one on camera",""))))</f>
        <v/>
      </c>
      <c r="W247" s="17"/>
      <c r="X247" s="17"/>
      <c r="Y247" s="40"/>
      <c r="Z247" s="17"/>
      <c r="AA247" s="45" t="str">
        <f aca="false">IF(OR(D247="",Y247="",OR(X247="Contract signed + paid",X247="Closed – No response",X247="Lost"),N(Z247)&gt;=Settings!$S$3),"",Y247+Settings!$S$2)</f>
        <v/>
      </c>
      <c r="AB247" s="40"/>
      <c r="AC247" s="41"/>
      <c r="AD247" s="17"/>
      <c r="AE247" s="17"/>
      <c r="AF247" s="17"/>
      <c r="AG247" s="46" t="str">
        <f aca="true">IF(OR(D247="",B247=""),"",INT(TODAY()-B247))</f>
        <v/>
      </c>
      <c r="AH247" s="44" t="str">
        <f aca="true">IF(D247="","",IF(OR(COUNTIFS(Clients!$C$2:$C$501,D247,Clients!$S$2:$S$501,"Paid")&gt;0,AND(H247&lt;&gt;"",COUNTIFS(Clients!$E$2:$E$501,H247,Clients!$S$2:$S$501,"Paid")&gt;0)),"⚠ Refunded before – no free video",IF(OR(X247="Contract signed + paid",X247="Closed – No response",X247="Lost"),"",IF(X247="","Set a stage",IF(AND(X247="Proposal sent",COUNTA(N247:S247)&lt;6),"Score this lead – proposal sent unscored",IF(N(Z247)&gt;=Settings!$S$3,"Close – 4 follow-ups sent",IF(AA247="",IF(Y247="","Make first contact",""),IF(TODAY()&gt;AA247,"OVERDUE follow-up",IF(TODAY()=AA247,"Follow up today","")))))))))</f>
        <v/>
      </c>
    </row>
    <row r="248" customFormat="false" ht="15" hidden="false" customHeight="false" outlineLevel="0" collapsed="false">
      <c r="A248" s="17"/>
      <c r="B248" s="40"/>
      <c r="C248" s="17"/>
      <c r="D248" s="17"/>
      <c r="E248" s="17"/>
      <c r="F248" s="17"/>
      <c r="G248" s="17"/>
      <c r="H248" s="42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44" t="str">
        <f aca="false">IF(OR(D248="",COUNTA(N248:S248)=0),"",SUMIFS(Settings!$AA$2:$AA$21,Settings!$Y$2:$Y$21,"Budget AED 5k+/mo?",Settings!$Z$2:$Z$21,N248)+SUMIFS(Settings!$AA$2:$AA$21,Settings!$Y$2:$Y$21,"Decision-maker?",Settings!$Z$2:$Z$21,O248)+SUMIFS(Settings!$AA$2:$AA$21,Settings!$Y$2:$Y$21,"Someone on camera?",Settings!$Z$2:$Z$21,P248)+SUMIFS(Settings!$AA$2:$AA$21,Settings!$Y$2:$Y$21,"OK with 3-month term?",Settings!$Z$2:$Z$21,Q248)+SUMIFS(Settings!$AA$2:$AA$21,Settings!$Y$2:$Y$21,"Start timeline",Settings!$Z$2:$Z$21,R248)+SUMIFS(Settings!$AA$2:$AA$21,Settings!$Y$2:$Y$21,"Social media gap",Settings!$Z$2:$Z$21,S248)+IF(E248="",0,IF(COUNTIF(Settings!$AC$2:$AC$6,E248)&gt;0,Settings!$AA$20,Settings!$AA$21)))</f>
        <v/>
      </c>
      <c r="U248" s="44" t="str">
        <f aca="false">IF(D248="","",IF(COUNTA(N248:S248)=0,"Not scored",IF(COUNTA(N248:S248)&lt;6,"Partly scored ("&amp;COUNTA(N248:S248)&amp;"/6)",IF(T248&gt;=Settings!$S$8,"Hot",IF(T248&gt;=Settings!$S$9,"Warm","Cold")))))</f>
        <v/>
      </c>
      <c r="V248" s="44" t="str">
        <f aca="false">IF(D248="","",IF(AND(N248="No",P248="No"),"🚩 Budget  ·  🚩 No one on camera",IF(N248="No","🚩 Budget under AED 5k",IF(P248="No","🚩 No one on camera",""))))</f>
        <v/>
      </c>
      <c r="W248" s="17"/>
      <c r="X248" s="17"/>
      <c r="Y248" s="40"/>
      <c r="Z248" s="17"/>
      <c r="AA248" s="45" t="str">
        <f aca="false">IF(OR(D248="",Y248="",OR(X248="Contract signed + paid",X248="Closed – No response",X248="Lost"),N(Z248)&gt;=Settings!$S$3),"",Y248+Settings!$S$2)</f>
        <v/>
      </c>
      <c r="AB248" s="40"/>
      <c r="AC248" s="41"/>
      <c r="AD248" s="17"/>
      <c r="AE248" s="17"/>
      <c r="AF248" s="17"/>
      <c r="AG248" s="46" t="str">
        <f aca="true">IF(OR(D248="",B248=""),"",INT(TODAY()-B248))</f>
        <v/>
      </c>
      <c r="AH248" s="44" t="str">
        <f aca="true">IF(D248="","",IF(OR(COUNTIFS(Clients!$C$2:$C$501,D248,Clients!$S$2:$S$501,"Paid")&gt;0,AND(H248&lt;&gt;"",COUNTIFS(Clients!$E$2:$E$501,H248,Clients!$S$2:$S$501,"Paid")&gt;0)),"⚠ Refunded before – no free video",IF(OR(X248="Contract signed + paid",X248="Closed – No response",X248="Lost"),"",IF(X248="","Set a stage",IF(AND(X248="Proposal sent",COUNTA(N248:S248)&lt;6),"Score this lead – proposal sent unscored",IF(N(Z248)&gt;=Settings!$S$3,"Close – 4 follow-ups sent",IF(AA248="",IF(Y248="","Make first contact",""),IF(TODAY()&gt;AA248,"OVERDUE follow-up",IF(TODAY()=AA248,"Follow up today","")))))))))</f>
        <v/>
      </c>
    </row>
    <row r="249" customFormat="false" ht="15" hidden="false" customHeight="false" outlineLevel="0" collapsed="false">
      <c r="A249" s="17"/>
      <c r="B249" s="40"/>
      <c r="C249" s="17"/>
      <c r="D249" s="17"/>
      <c r="E249" s="17"/>
      <c r="F249" s="17"/>
      <c r="G249" s="17"/>
      <c r="H249" s="42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44" t="str">
        <f aca="false">IF(OR(D249="",COUNTA(N249:S249)=0),"",SUMIFS(Settings!$AA$2:$AA$21,Settings!$Y$2:$Y$21,"Budget AED 5k+/mo?",Settings!$Z$2:$Z$21,N249)+SUMIFS(Settings!$AA$2:$AA$21,Settings!$Y$2:$Y$21,"Decision-maker?",Settings!$Z$2:$Z$21,O249)+SUMIFS(Settings!$AA$2:$AA$21,Settings!$Y$2:$Y$21,"Someone on camera?",Settings!$Z$2:$Z$21,P249)+SUMIFS(Settings!$AA$2:$AA$21,Settings!$Y$2:$Y$21,"OK with 3-month term?",Settings!$Z$2:$Z$21,Q249)+SUMIFS(Settings!$AA$2:$AA$21,Settings!$Y$2:$Y$21,"Start timeline",Settings!$Z$2:$Z$21,R249)+SUMIFS(Settings!$AA$2:$AA$21,Settings!$Y$2:$Y$21,"Social media gap",Settings!$Z$2:$Z$21,S249)+IF(E249="",0,IF(COUNTIF(Settings!$AC$2:$AC$6,E249)&gt;0,Settings!$AA$20,Settings!$AA$21)))</f>
        <v/>
      </c>
      <c r="U249" s="44" t="str">
        <f aca="false">IF(D249="","",IF(COUNTA(N249:S249)=0,"Not scored",IF(COUNTA(N249:S249)&lt;6,"Partly scored ("&amp;COUNTA(N249:S249)&amp;"/6)",IF(T249&gt;=Settings!$S$8,"Hot",IF(T249&gt;=Settings!$S$9,"Warm","Cold")))))</f>
        <v/>
      </c>
      <c r="V249" s="44" t="str">
        <f aca="false">IF(D249="","",IF(AND(N249="No",P249="No"),"🚩 Budget  ·  🚩 No one on camera",IF(N249="No","🚩 Budget under AED 5k",IF(P249="No","🚩 No one on camera",""))))</f>
        <v/>
      </c>
      <c r="W249" s="17"/>
      <c r="X249" s="17"/>
      <c r="Y249" s="40"/>
      <c r="Z249" s="17"/>
      <c r="AA249" s="45" t="str">
        <f aca="false">IF(OR(D249="",Y249="",OR(X249="Contract signed + paid",X249="Closed – No response",X249="Lost"),N(Z249)&gt;=Settings!$S$3),"",Y249+Settings!$S$2)</f>
        <v/>
      </c>
      <c r="AB249" s="40"/>
      <c r="AC249" s="41"/>
      <c r="AD249" s="17"/>
      <c r="AE249" s="17"/>
      <c r="AF249" s="17"/>
      <c r="AG249" s="46" t="str">
        <f aca="true">IF(OR(D249="",B249=""),"",INT(TODAY()-B249))</f>
        <v/>
      </c>
      <c r="AH249" s="44" t="str">
        <f aca="true">IF(D249="","",IF(OR(COUNTIFS(Clients!$C$2:$C$501,D249,Clients!$S$2:$S$501,"Paid")&gt;0,AND(H249&lt;&gt;"",COUNTIFS(Clients!$E$2:$E$501,H249,Clients!$S$2:$S$501,"Paid")&gt;0)),"⚠ Refunded before – no free video",IF(OR(X249="Contract signed + paid",X249="Closed – No response",X249="Lost"),"",IF(X249="","Set a stage",IF(AND(X249="Proposal sent",COUNTA(N249:S249)&lt;6),"Score this lead – proposal sent unscored",IF(N(Z249)&gt;=Settings!$S$3,"Close – 4 follow-ups sent",IF(AA249="",IF(Y249="","Make first contact",""),IF(TODAY()&gt;AA249,"OVERDUE follow-up",IF(TODAY()=AA249,"Follow up today","")))))))))</f>
        <v/>
      </c>
    </row>
    <row r="250" customFormat="false" ht="15" hidden="false" customHeight="false" outlineLevel="0" collapsed="false">
      <c r="A250" s="17"/>
      <c r="B250" s="40"/>
      <c r="C250" s="17"/>
      <c r="D250" s="17"/>
      <c r="E250" s="17"/>
      <c r="F250" s="17"/>
      <c r="G250" s="17"/>
      <c r="H250" s="42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44" t="str">
        <f aca="false">IF(OR(D250="",COUNTA(N250:S250)=0),"",SUMIFS(Settings!$AA$2:$AA$21,Settings!$Y$2:$Y$21,"Budget AED 5k+/mo?",Settings!$Z$2:$Z$21,N250)+SUMIFS(Settings!$AA$2:$AA$21,Settings!$Y$2:$Y$21,"Decision-maker?",Settings!$Z$2:$Z$21,O250)+SUMIFS(Settings!$AA$2:$AA$21,Settings!$Y$2:$Y$21,"Someone on camera?",Settings!$Z$2:$Z$21,P250)+SUMIFS(Settings!$AA$2:$AA$21,Settings!$Y$2:$Y$21,"OK with 3-month term?",Settings!$Z$2:$Z$21,Q250)+SUMIFS(Settings!$AA$2:$AA$21,Settings!$Y$2:$Y$21,"Start timeline",Settings!$Z$2:$Z$21,R250)+SUMIFS(Settings!$AA$2:$AA$21,Settings!$Y$2:$Y$21,"Social media gap",Settings!$Z$2:$Z$21,S250)+IF(E250="",0,IF(COUNTIF(Settings!$AC$2:$AC$6,E250)&gt;0,Settings!$AA$20,Settings!$AA$21)))</f>
        <v/>
      </c>
      <c r="U250" s="44" t="str">
        <f aca="false">IF(D250="","",IF(COUNTA(N250:S250)=0,"Not scored",IF(COUNTA(N250:S250)&lt;6,"Partly scored ("&amp;COUNTA(N250:S250)&amp;"/6)",IF(T250&gt;=Settings!$S$8,"Hot",IF(T250&gt;=Settings!$S$9,"Warm","Cold")))))</f>
        <v/>
      </c>
      <c r="V250" s="44" t="str">
        <f aca="false">IF(D250="","",IF(AND(N250="No",P250="No"),"🚩 Budget  ·  🚩 No one on camera",IF(N250="No","🚩 Budget under AED 5k",IF(P250="No","🚩 No one on camera",""))))</f>
        <v/>
      </c>
      <c r="W250" s="17"/>
      <c r="X250" s="17"/>
      <c r="Y250" s="40"/>
      <c r="Z250" s="17"/>
      <c r="AA250" s="45" t="str">
        <f aca="false">IF(OR(D250="",Y250="",OR(X250="Contract signed + paid",X250="Closed – No response",X250="Lost"),N(Z250)&gt;=Settings!$S$3),"",Y250+Settings!$S$2)</f>
        <v/>
      </c>
      <c r="AB250" s="40"/>
      <c r="AC250" s="41"/>
      <c r="AD250" s="17"/>
      <c r="AE250" s="17"/>
      <c r="AF250" s="17"/>
      <c r="AG250" s="46" t="str">
        <f aca="true">IF(OR(D250="",B250=""),"",INT(TODAY()-B250))</f>
        <v/>
      </c>
      <c r="AH250" s="44" t="str">
        <f aca="true">IF(D250="","",IF(OR(COUNTIFS(Clients!$C$2:$C$501,D250,Clients!$S$2:$S$501,"Paid")&gt;0,AND(H250&lt;&gt;"",COUNTIFS(Clients!$E$2:$E$501,H250,Clients!$S$2:$S$501,"Paid")&gt;0)),"⚠ Refunded before – no free video",IF(OR(X250="Contract signed + paid",X250="Closed – No response",X250="Lost"),"",IF(X250="","Set a stage",IF(AND(X250="Proposal sent",COUNTA(N250:S250)&lt;6),"Score this lead – proposal sent unscored",IF(N(Z250)&gt;=Settings!$S$3,"Close – 4 follow-ups sent",IF(AA250="",IF(Y250="","Make first contact",""),IF(TODAY()&gt;AA250,"OVERDUE follow-up",IF(TODAY()=AA250,"Follow up today","")))))))))</f>
        <v/>
      </c>
    </row>
    <row r="251" customFormat="false" ht="15" hidden="false" customHeight="false" outlineLevel="0" collapsed="false">
      <c r="A251" s="17"/>
      <c r="B251" s="40"/>
      <c r="C251" s="17"/>
      <c r="D251" s="17"/>
      <c r="E251" s="17"/>
      <c r="F251" s="17"/>
      <c r="G251" s="17"/>
      <c r="H251" s="42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44" t="str">
        <f aca="false">IF(OR(D251="",COUNTA(N251:S251)=0),"",SUMIFS(Settings!$AA$2:$AA$21,Settings!$Y$2:$Y$21,"Budget AED 5k+/mo?",Settings!$Z$2:$Z$21,N251)+SUMIFS(Settings!$AA$2:$AA$21,Settings!$Y$2:$Y$21,"Decision-maker?",Settings!$Z$2:$Z$21,O251)+SUMIFS(Settings!$AA$2:$AA$21,Settings!$Y$2:$Y$21,"Someone on camera?",Settings!$Z$2:$Z$21,P251)+SUMIFS(Settings!$AA$2:$AA$21,Settings!$Y$2:$Y$21,"OK with 3-month term?",Settings!$Z$2:$Z$21,Q251)+SUMIFS(Settings!$AA$2:$AA$21,Settings!$Y$2:$Y$21,"Start timeline",Settings!$Z$2:$Z$21,R251)+SUMIFS(Settings!$AA$2:$AA$21,Settings!$Y$2:$Y$21,"Social media gap",Settings!$Z$2:$Z$21,S251)+IF(E251="",0,IF(COUNTIF(Settings!$AC$2:$AC$6,E251)&gt;0,Settings!$AA$20,Settings!$AA$21)))</f>
        <v/>
      </c>
      <c r="U251" s="44" t="str">
        <f aca="false">IF(D251="","",IF(COUNTA(N251:S251)=0,"Not scored",IF(COUNTA(N251:S251)&lt;6,"Partly scored ("&amp;COUNTA(N251:S251)&amp;"/6)",IF(T251&gt;=Settings!$S$8,"Hot",IF(T251&gt;=Settings!$S$9,"Warm","Cold")))))</f>
        <v/>
      </c>
      <c r="V251" s="44" t="str">
        <f aca="false">IF(D251="","",IF(AND(N251="No",P251="No"),"🚩 Budget  ·  🚩 No one on camera",IF(N251="No","🚩 Budget under AED 5k",IF(P251="No","🚩 No one on camera",""))))</f>
        <v/>
      </c>
      <c r="W251" s="17"/>
      <c r="X251" s="17"/>
      <c r="Y251" s="40"/>
      <c r="Z251" s="17"/>
      <c r="AA251" s="45" t="str">
        <f aca="false">IF(OR(D251="",Y251="",OR(X251="Contract signed + paid",X251="Closed – No response",X251="Lost"),N(Z251)&gt;=Settings!$S$3),"",Y251+Settings!$S$2)</f>
        <v/>
      </c>
      <c r="AB251" s="40"/>
      <c r="AC251" s="41"/>
      <c r="AD251" s="17"/>
      <c r="AE251" s="17"/>
      <c r="AF251" s="17"/>
      <c r="AG251" s="46" t="str">
        <f aca="true">IF(OR(D251="",B251=""),"",INT(TODAY()-B251))</f>
        <v/>
      </c>
      <c r="AH251" s="44" t="str">
        <f aca="true">IF(D251="","",IF(OR(COUNTIFS(Clients!$C$2:$C$501,D251,Clients!$S$2:$S$501,"Paid")&gt;0,AND(H251&lt;&gt;"",COUNTIFS(Clients!$E$2:$E$501,H251,Clients!$S$2:$S$501,"Paid")&gt;0)),"⚠ Refunded before – no free video",IF(OR(X251="Contract signed + paid",X251="Closed – No response",X251="Lost"),"",IF(X251="","Set a stage",IF(AND(X251="Proposal sent",COUNTA(N251:S251)&lt;6),"Score this lead – proposal sent unscored",IF(N(Z251)&gt;=Settings!$S$3,"Close – 4 follow-ups sent",IF(AA251="",IF(Y251="","Make first contact",""),IF(TODAY()&gt;AA251,"OVERDUE follow-up",IF(TODAY()=AA251,"Follow up today","")))))))))</f>
        <v/>
      </c>
    </row>
    <row r="252" customFormat="false" ht="15" hidden="false" customHeight="false" outlineLevel="0" collapsed="false">
      <c r="A252" s="17"/>
      <c r="B252" s="40"/>
      <c r="C252" s="17"/>
      <c r="D252" s="17"/>
      <c r="E252" s="17"/>
      <c r="F252" s="17"/>
      <c r="G252" s="17"/>
      <c r="H252" s="42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44" t="str">
        <f aca="false">IF(OR(D252="",COUNTA(N252:S252)=0),"",SUMIFS(Settings!$AA$2:$AA$21,Settings!$Y$2:$Y$21,"Budget AED 5k+/mo?",Settings!$Z$2:$Z$21,N252)+SUMIFS(Settings!$AA$2:$AA$21,Settings!$Y$2:$Y$21,"Decision-maker?",Settings!$Z$2:$Z$21,O252)+SUMIFS(Settings!$AA$2:$AA$21,Settings!$Y$2:$Y$21,"Someone on camera?",Settings!$Z$2:$Z$21,P252)+SUMIFS(Settings!$AA$2:$AA$21,Settings!$Y$2:$Y$21,"OK with 3-month term?",Settings!$Z$2:$Z$21,Q252)+SUMIFS(Settings!$AA$2:$AA$21,Settings!$Y$2:$Y$21,"Start timeline",Settings!$Z$2:$Z$21,R252)+SUMIFS(Settings!$AA$2:$AA$21,Settings!$Y$2:$Y$21,"Social media gap",Settings!$Z$2:$Z$21,S252)+IF(E252="",0,IF(COUNTIF(Settings!$AC$2:$AC$6,E252)&gt;0,Settings!$AA$20,Settings!$AA$21)))</f>
        <v/>
      </c>
      <c r="U252" s="44" t="str">
        <f aca="false">IF(D252="","",IF(COUNTA(N252:S252)=0,"Not scored",IF(COUNTA(N252:S252)&lt;6,"Partly scored ("&amp;COUNTA(N252:S252)&amp;"/6)",IF(T252&gt;=Settings!$S$8,"Hot",IF(T252&gt;=Settings!$S$9,"Warm","Cold")))))</f>
        <v/>
      </c>
      <c r="V252" s="44" t="str">
        <f aca="false">IF(D252="","",IF(AND(N252="No",P252="No"),"🚩 Budget  ·  🚩 No one on camera",IF(N252="No","🚩 Budget under AED 5k",IF(P252="No","🚩 No one on camera",""))))</f>
        <v/>
      </c>
      <c r="W252" s="17"/>
      <c r="X252" s="17"/>
      <c r="Y252" s="40"/>
      <c r="Z252" s="17"/>
      <c r="AA252" s="45" t="str">
        <f aca="false">IF(OR(D252="",Y252="",OR(X252="Contract signed + paid",X252="Closed – No response",X252="Lost"),N(Z252)&gt;=Settings!$S$3),"",Y252+Settings!$S$2)</f>
        <v/>
      </c>
      <c r="AB252" s="40"/>
      <c r="AC252" s="41"/>
      <c r="AD252" s="17"/>
      <c r="AE252" s="17"/>
      <c r="AF252" s="17"/>
      <c r="AG252" s="46" t="str">
        <f aca="true">IF(OR(D252="",B252=""),"",INT(TODAY()-B252))</f>
        <v/>
      </c>
      <c r="AH252" s="44" t="str">
        <f aca="true">IF(D252="","",IF(OR(COUNTIFS(Clients!$C$2:$C$501,D252,Clients!$S$2:$S$501,"Paid")&gt;0,AND(H252&lt;&gt;"",COUNTIFS(Clients!$E$2:$E$501,H252,Clients!$S$2:$S$501,"Paid")&gt;0)),"⚠ Refunded before – no free video",IF(OR(X252="Contract signed + paid",X252="Closed – No response",X252="Lost"),"",IF(X252="","Set a stage",IF(AND(X252="Proposal sent",COUNTA(N252:S252)&lt;6),"Score this lead – proposal sent unscored",IF(N(Z252)&gt;=Settings!$S$3,"Close – 4 follow-ups sent",IF(AA252="",IF(Y252="","Make first contact",""),IF(TODAY()&gt;AA252,"OVERDUE follow-up",IF(TODAY()=AA252,"Follow up today","")))))))))</f>
        <v/>
      </c>
    </row>
    <row r="253" customFormat="false" ht="15" hidden="false" customHeight="false" outlineLevel="0" collapsed="false">
      <c r="A253" s="17"/>
      <c r="B253" s="40"/>
      <c r="C253" s="17"/>
      <c r="D253" s="17"/>
      <c r="E253" s="17"/>
      <c r="F253" s="17"/>
      <c r="G253" s="17"/>
      <c r="H253" s="42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44" t="str">
        <f aca="false">IF(OR(D253="",COUNTA(N253:S253)=0),"",SUMIFS(Settings!$AA$2:$AA$21,Settings!$Y$2:$Y$21,"Budget AED 5k+/mo?",Settings!$Z$2:$Z$21,N253)+SUMIFS(Settings!$AA$2:$AA$21,Settings!$Y$2:$Y$21,"Decision-maker?",Settings!$Z$2:$Z$21,O253)+SUMIFS(Settings!$AA$2:$AA$21,Settings!$Y$2:$Y$21,"Someone on camera?",Settings!$Z$2:$Z$21,P253)+SUMIFS(Settings!$AA$2:$AA$21,Settings!$Y$2:$Y$21,"OK with 3-month term?",Settings!$Z$2:$Z$21,Q253)+SUMIFS(Settings!$AA$2:$AA$21,Settings!$Y$2:$Y$21,"Start timeline",Settings!$Z$2:$Z$21,R253)+SUMIFS(Settings!$AA$2:$AA$21,Settings!$Y$2:$Y$21,"Social media gap",Settings!$Z$2:$Z$21,S253)+IF(E253="",0,IF(COUNTIF(Settings!$AC$2:$AC$6,E253)&gt;0,Settings!$AA$20,Settings!$AA$21)))</f>
        <v/>
      </c>
      <c r="U253" s="44" t="str">
        <f aca="false">IF(D253="","",IF(COUNTA(N253:S253)=0,"Not scored",IF(COUNTA(N253:S253)&lt;6,"Partly scored ("&amp;COUNTA(N253:S253)&amp;"/6)",IF(T253&gt;=Settings!$S$8,"Hot",IF(T253&gt;=Settings!$S$9,"Warm","Cold")))))</f>
        <v/>
      </c>
      <c r="V253" s="44" t="str">
        <f aca="false">IF(D253="","",IF(AND(N253="No",P253="No"),"🚩 Budget  ·  🚩 No one on camera",IF(N253="No","🚩 Budget under AED 5k",IF(P253="No","🚩 No one on camera",""))))</f>
        <v/>
      </c>
      <c r="W253" s="17"/>
      <c r="X253" s="17"/>
      <c r="Y253" s="40"/>
      <c r="Z253" s="17"/>
      <c r="AA253" s="45" t="str">
        <f aca="false">IF(OR(D253="",Y253="",OR(X253="Contract signed + paid",X253="Closed – No response",X253="Lost"),N(Z253)&gt;=Settings!$S$3),"",Y253+Settings!$S$2)</f>
        <v/>
      </c>
      <c r="AB253" s="40"/>
      <c r="AC253" s="41"/>
      <c r="AD253" s="17"/>
      <c r="AE253" s="17"/>
      <c r="AF253" s="17"/>
      <c r="AG253" s="46" t="str">
        <f aca="true">IF(OR(D253="",B253=""),"",INT(TODAY()-B253))</f>
        <v/>
      </c>
      <c r="AH253" s="44" t="str">
        <f aca="true">IF(D253="","",IF(OR(COUNTIFS(Clients!$C$2:$C$501,D253,Clients!$S$2:$S$501,"Paid")&gt;0,AND(H253&lt;&gt;"",COUNTIFS(Clients!$E$2:$E$501,H253,Clients!$S$2:$S$501,"Paid")&gt;0)),"⚠ Refunded before – no free video",IF(OR(X253="Contract signed + paid",X253="Closed – No response",X253="Lost"),"",IF(X253="","Set a stage",IF(AND(X253="Proposal sent",COUNTA(N253:S253)&lt;6),"Score this lead – proposal sent unscored",IF(N(Z253)&gt;=Settings!$S$3,"Close – 4 follow-ups sent",IF(AA253="",IF(Y253="","Make first contact",""),IF(TODAY()&gt;AA253,"OVERDUE follow-up",IF(TODAY()=AA253,"Follow up today","")))))))))</f>
        <v/>
      </c>
    </row>
    <row r="254" customFormat="false" ht="15" hidden="false" customHeight="false" outlineLevel="0" collapsed="false">
      <c r="A254" s="17"/>
      <c r="B254" s="40"/>
      <c r="C254" s="17"/>
      <c r="D254" s="17"/>
      <c r="E254" s="17"/>
      <c r="F254" s="17"/>
      <c r="G254" s="17"/>
      <c r="H254" s="42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44" t="str">
        <f aca="false">IF(OR(D254="",COUNTA(N254:S254)=0),"",SUMIFS(Settings!$AA$2:$AA$21,Settings!$Y$2:$Y$21,"Budget AED 5k+/mo?",Settings!$Z$2:$Z$21,N254)+SUMIFS(Settings!$AA$2:$AA$21,Settings!$Y$2:$Y$21,"Decision-maker?",Settings!$Z$2:$Z$21,O254)+SUMIFS(Settings!$AA$2:$AA$21,Settings!$Y$2:$Y$21,"Someone on camera?",Settings!$Z$2:$Z$21,P254)+SUMIFS(Settings!$AA$2:$AA$21,Settings!$Y$2:$Y$21,"OK with 3-month term?",Settings!$Z$2:$Z$21,Q254)+SUMIFS(Settings!$AA$2:$AA$21,Settings!$Y$2:$Y$21,"Start timeline",Settings!$Z$2:$Z$21,R254)+SUMIFS(Settings!$AA$2:$AA$21,Settings!$Y$2:$Y$21,"Social media gap",Settings!$Z$2:$Z$21,S254)+IF(E254="",0,IF(COUNTIF(Settings!$AC$2:$AC$6,E254)&gt;0,Settings!$AA$20,Settings!$AA$21)))</f>
        <v/>
      </c>
      <c r="U254" s="44" t="str">
        <f aca="false">IF(D254="","",IF(COUNTA(N254:S254)=0,"Not scored",IF(COUNTA(N254:S254)&lt;6,"Partly scored ("&amp;COUNTA(N254:S254)&amp;"/6)",IF(T254&gt;=Settings!$S$8,"Hot",IF(T254&gt;=Settings!$S$9,"Warm","Cold")))))</f>
        <v/>
      </c>
      <c r="V254" s="44" t="str">
        <f aca="false">IF(D254="","",IF(AND(N254="No",P254="No"),"🚩 Budget  ·  🚩 No one on camera",IF(N254="No","🚩 Budget under AED 5k",IF(P254="No","🚩 No one on camera",""))))</f>
        <v/>
      </c>
      <c r="W254" s="17"/>
      <c r="X254" s="17"/>
      <c r="Y254" s="40"/>
      <c r="Z254" s="17"/>
      <c r="AA254" s="45" t="str">
        <f aca="false">IF(OR(D254="",Y254="",OR(X254="Contract signed + paid",X254="Closed – No response",X254="Lost"),N(Z254)&gt;=Settings!$S$3),"",Y254+Settings!$S$2)</f>
        <v/>
      </c>
      <c r="AB254" s="40"/>
      <c r="AC254" s="41"/>
      <c r="AD254" s="17"/>
      <c r="AE254" s="17"/>
      <c r="AF254" s="17"/>
      <c r="AG254" s="46" t="str">
        <f aca="true">IF(OR(D254="",B254=""),"",INT(TODAY()-B254))</f>
        <v/>
      </c>
      <c r="AH254" s="44" t="str">
        <f aca="true">IF(D254="","",IF(OR(COUNTIFS(Clients!$C$2:$C$501,D254,Clients!$S$2:$S$501,"Paid")&gt;0,AND(H254&lt;&gt;"",COUNTIFS(Clients!$E$2:$E$501,H254,Clients!$S$2:$S$501,"Paid")&gt;0)),"⚠ Refunded before – no free video",IF(OR(X254="Contract signed + paid",X254="Closed – No response",X254="Lost"),"",IF(X254="","Set a stage",IF(AND(X254="Proposal sent",COUNTA(N254:S254)&lt;6),"Score this lead – proposal sent unscored",IF(N(Z254)&gt;=Settings!$S$3,"Close – 4 follow-ups sent",IF(AA254="",IF(Y254="","Make first contact",""),IF(TODAY()&gt;AA254,"OVERDUE follow-up",IF(TODAY()=AA254,"Follow up today","")))))))))</f>
        <v/>
      </c>
    </row>
    <row r="255" customFormat="false" ht="15" hidden="false" customHeight="false" outlineLevel="0" collapsed="false">
      <c r="A255" s="17"/>
      <c r="B255" s="40"/>
      <c r="C255" s="17"/>
      <c r="D255" s="17"/>
      <c r="E255" s="17"/>
      <c r="F255" s="17"/>
      <c r="G255" s="17"/>
      <c r="H255" s="42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44" t="str">
        <f aca="false">IF(OR(D255="",COUNTA(N255:S255)=0),"",SUMIFS(Settings!$AA$2:$AA$21,Settings!$Y$2:$Y$21,"Budget AED 5k+/mo?",Settings!$Z$2:$Z$21,N255)+SUMIFS(Settings!$AA$2:$AA$21,Settings!$Y$2:$Y$21,"Decision-maker?",Settings!$Z$2:$Z$21,O255)+SUMIFS(Settings!$AA$2:$AA$21,Settings!$Y$2:$Y$21,"Someone on camera?",Settings!$Z$2:$Z$21,P255)+SUMIFS(Settings!$AA$2:$AA$21,Settings!$Y$2:$Y$21,"OK with 3-month term?",Settings!$Z$2:$Z$21,Q255)+SUMIFS(Settings!$AA$2:$AA$21,Settings!$Y$2:$Y$21,"Start timeline",Settings!$Z$2:$Z$21,R255)+SUMIFS(Settings!$AA$2:$AA$21,Settings!$Y$2:$Y$21,"Social media gap",Settings!$Z$2:$Z$21,S255)+IF(E255="",0,IF(COUNTIF(Settings!$AC$2:$AC$6,E255)&gt;0,Settings!$AA$20,Settings!$AA$21)))</f>
        <v/>
      </c>
      <c r="U255" s="44" t="str">
        <f aca="false">IF(D255="","",IF(COUNTA(N255:S255)=0,"Not scored",IF(COUNTA(N255:S255)&lt;6,"Partly scored ("&amp;COUNTA(N255:S255)&amp;"/6)",IF(T255&gt;=Settings!$S$8,"Hot",IF(T255&gt;=Settings!$S$9,"Warm","Cold")))))</f>
        <v/>
      </c>
      <c r="V255" s="44" t="str">
        <f aca="false">IF(D255="","",IF(AND(N255="No",P255="No"),"🚩 Budget  ·  🚩 No one on camera",IF(N255="No","🚩 Budget under AED 5k",IF(P255="No","🚩 No one on camera",""))))</f>
        <v/>
      </c>
      <c r="W255" s="17"/>
      <c r="X255" s="17"/>
      <c r="Y255" s="40"/>
      <c r="Z255" s="17"/>
      <c r="AA255" s="45" t="str">
        <f aca="false">IF(OR(D255="",Y255="",OR(X255="Contract signed + paid",X255="Closed – No response",X255="Lost"),N(Z255)&gt;=Settings!$S$3),"",Y255+Settings!$S$2)</f>
        <v/>
      </c>
      <c r="AB255" s="40"/>
      <c r="AC255" s="41"/>
      <c r="AD255" s="17"/>
      <c r="AE255" s="17"/>
      <c r="AF255" s="17"/>
      <c r="AG255" s="46" t="str">
        <f aca="true">IF(OR(D255="",B255=""),"",INT(TODAY()-B255))</f>
        <v/>
      </c>
      <c r="AH255" s="44" t="str">
        <f aca="true">IF(D255="","",IF(OR(COUNTIFS(Clients!$C$2:$C$501,D255,Clients!$S$2:$S$501,"Paid")&gt;0,AND(H255&lt;&gt;"",COUNTIFS(Clients!$E$2:$E$501,H255,Clients!$S$2:$S$501,"Paid")&gt;0)),"⚠ Refunded before – no free video",IF(OR(X255="Contract signed + paid",X255="Closed – No response",X255="Lost"),"",IF(X255="","Set a stage",IF(AND(X255="Proposal sent",COUNTA(N255:S255)&lt;6),"Score this lead – proposal sent unscored",IF(N(Z255)&gt;=Settings!$S$3,"Close – 4 follow-ups sent",IF(AA255="",IF(Y255="","Make first contact",""),IF(TODAY()&gt;AA255,"OVERDUE follow-up",IF(TODAY()=AA255,"Follow up today","")))))))))</f>
        <v/>
      </c>
    </row>
    <row r="256" customFormat="false" ht="15" hidden="false" customHeight="false" outlineLevel="0" collapsed="false">
      <c r="A256" s="17"/>
      <c r="B256" s="40"/>
      <c r="C256" s="17"/>
      <c r="D256" s="17"/>
      <c r="E256" s="17"/>
      <c r="F256" s="17"/>
      <c r="G256" s="17"/>
      <c r="H256" s="42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44" t="str">
        <f aca="false">IF(OR(D256="",COUNTA(N256:S256)=0),"",SUMIFS(Settings!$AA$2:$AA$21,Settings!$Y$2:$Y$21,"Budget AED 5k+/mo?",Settings!$Z$2:$Z$21,N256)+SUMIFS(Settings!$AA$2:$AA$21,Settings!$Y$2:$Y$21,"Decision-maker?",Settings!$Z$2:$Z$21,O256)+SUMIFS(Settings!$AA$2:$AA$21,Settings!$Y$2:$Y$21,"Someone on camera?",Settings!$Z$2:$Z$21,P256)+SUMIFS(Settings!$AA$2:$AA$21,Settings!$Y$2:$Y$21,"OK with 3-month term?",Settings!$Z$2:$Z$21,Q256)+SUMIFS(Settings!$AA$2:$AA$21,Settings!$Y$2:$Y$21,"Start timeline",Settings!$Z$2:$Z$21,R256)+SUMIFS(Settings!$AA$2:$AA$21,Settings!$Y$2:$Y$21,"Social media gap",Settings!$Z$2:$Z$21,S256)+IF(E256="",0,IF(COUNTIF(Settings!$AC$2:$AC$6,E256)&gt;0,Settings!$AA$20,Settings!$AA$21)))</f>
        <v/>
      </c>
      <c r="U256" s="44" t="str">
        <f aca="false">IF(D256="","",IF(COUNTA(N256:S256)=0,"Not scored",IF(COUNTA(N256:S256)&lt;6,"Partly scored ("&amp;COUNTA(N256:S256)&amp;"/6)",IF(T256&gt;=Settings!$S$8,"Hot",IF(T256&gt;=Settings!$S$9,"Warm","Cold")))))</f>
        <v/>
      </c>
      <c r="V256" s="44" t="str">
        <f aca="false">IF(D256="","",IF(AND(N256="No",P256="No"),"🚩 Budget  ·  🚩 No one on camera",IF(N256="No","🚩 Budget under AED 5k",IF(P256="No","🚩 No one on camera",""))))</f>
        <v/>
      </c>
      <c r="W256" s="17"/>
      <c r="X256" s="17"/>
      <c r="Y256" s="40"/>
      <c r="Z256" s="17"/>
      <c r="AA256" s="45" t="str">
        <f aca="false">IF(OR(D256="",Y256="",OR(X256="Contract signed + paid",X256="Closed – No response",X256="Lost"),N(Z256)&gt;=Settings!$S$3),"",Y256+Settings!$S$2)</f>
        <v/>
      </c>
      <c r="AB256" s="40"/>
      <c r="AC256" s="41"/>
      <c r="AD256" s="17"/>
      <c r="AE256" s="17"/>
      <c r="AF256" s="17"/>
      <c r="AG256" s="46" t="str">
        <f aca="true">IF(OR(D256="",B256=""),"",INT(TODAY()-B256))</f>
        <v/>
      </c>
      <c r="AH256" s="44" t="str">
        <f aca="true">IF(D256="","",IF(OR(COUNTIFS(Clients!$C$2:$C$501,D256,Clients!$S$2:$S$501,"Paid")&gt;0,AND(H256&lt;&gt;"",COUNTIFS(Clients!$E$2:$E$501,H256,Clients!$S$2:$S$501,"Paid")&gt;0)),"⚠ Refunded before – no free video",IF(OR(X256="Contract signed + paid",X256="Closed – No response",X256="Lost"),"",IF(X256="","Set a stage",IF(AND(X256="Proposal sent",COUNTA(N256:S256)&lt;6),"Score this lead – proposal sent unscored",IF(N(Z256)&gt;=Settings!$S$3,"Close – 4 follow-ups sent",IF(AA256="",IF(Y256="","Make first contact",""),IF(TODAY()&gt;AA256,"OVERDUE follow-up",IF(TODAY()=AA256,"Follow up today","")))))))))</f>
        <v/>
      </c>
    </row>
    <row r="257" customFormat="false" ht="15" hidden="false" customHeight="false" outlineLevel="0" collapsed="false">
      <c r="A257" s="17"/>
      <c r="B257" s="40"/>
      <c r="C257" s="17"/>
      <c r="D257" s="17"/>
      <c r="E257" s="17"/>
      <c r="F257" s="17"/>
      <c r="G257" s="17"/>
      <c r="H257" s="42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44" t="str">
        <f aca="false">IF(OR(D257="",COUNTA(N257:S257)=0),"",SUMIFS(Settings!$AA$2:$AA$21,Settings!$Y$2:$Y$21,"Budget AED 5k+/mo?",Settings!$Z$2:$Z$21,N257)+SUMIFS(Settings!$AA$2:$AA$21,Settings!$Y$2:$Y$21,"Decision-maker?",Settings!$Z$2:$Z$21,O257)+SUMIFS(Settings!$AA$2:$AA$21,Settings!$Y$2:$Y$21,"Someone on camera?",Settings!$Z$2:$Z$21,P257)+SUMIFS(Settings!$AA$2:$AA$21,Settings!$Y$2:$Y$21,"OK with 3-month term?",Settings!$Z$2:$Z$21,Q257)+SUMIFS(Settings!$AA$2:$AA$21,Settings!$Y$2:$Y$21,"Start timeline",Settings!$Z$2:$Z$21,R257)+SUMIFS(Settings!$AA$2:$AA$21,Settings!$Y$2:$Y$21,"Social media gap",Settings!$Z$2:$Z$21,S257)+IF(E257="",0,IF(COUNTIF(Settings!$AC$2:$AC$6,E257)&gt;0,Settings!$AA$20,Settings!$AA$21)))</f>
        <v/>
      </c>
      <c r="U257" s="44" t="str">
        <f aca="false">IF(D257="","",IF(COUNTA(N257:S257)=0,"Not scored",IF(COUNTA(N257:S257)&lt;6,"Partly scored ("&amp;COUNTA(N257:S257)&amp;"/6)",IF(T257&gt;=Settings!$S$8,"Hot",IF(T257&gt;=Settings!$S$9,"Warm","Cold")))))</f>
        <v/>
      </c>
      <c r="V257" s="44" t="str">
        <f aca="false">IF(D257="","",IF(AND(N257="No",P257="No"),"🚩 Budget  ·  🚩 No one on camera",IF(N257="No","🚩 Budget under AED 5k",IF(P257="No","🚩 No one on camera",""))))</f>
        <v/>
      </c>
      <c r="W257" s="17"/>
      <c r="X257" s="17"/>
      <c r="Y257" s="40"/>
      <c r="Z257" s="17"/>
      <c r="AA257" s="45" t="str">
        <f aca="false">IF(OR(D257="",Y257="",OR(X257="Contract signed + paid",X257="Closed – No response",X257="Lost"),N(Z257)&gt;=Settings!$S$3),"",Y257+Settings!$S$2)</f>
        <v/>
      </c>
      <c r="AB257" s="40"/>
      <c r="AC257" s="41"/>
      <c r="AD257" s="17"/>
      <c r="AE257" s="17"/>
      <c r="AF257" s="17"/>
      <c r="AG257" s="46" t="str">
        <f aca="true">IF(OR(D257="",B257=""),"",INT(TODAY()-B257))</f>
        <v/>
      </c>
      <c r="AH257" s="44" t="str">
        <f aca="true">IF(D257="","",IF(OR(COUNTIFS(Clients!$C$2:$C$501,D257,Clients!$S$2:$S$501,"Paid")&gt;0,AND(H257&lt;&gt;"",COUNTIFS(Clients!$E$2:$E$501,H257,Clients!$S$2:$S$501,"Paid")&gt;0)),"⚠ Refunded before – no free video",IF(OR(X257="Contract signed + paid",X257="Closed – No response",X257="Lost"),"",IF(X257="","Set a stage",IF(AND(X257="Proposal sent",COUNTA(N257:S257)&lt;6),"Score this lead – proposal sent unscored",IF(N(Z257)&gt;=Settings!$S$3,"Close – 4 follow-ups sent",IF(AA257="",IF(Y257="","Make first contact",""),IF(TODAY()&gt;AA257,"OVERDUE follow-up",IF(TODAY()=AA257,"Follow up today","")))))))))</f>
        <v/>
      </c>
    </row>
    <row r="258" customFormat="false" ht="15" hidden="false" customHeight="false" outlineLevel="0" collapsed="false">
      <c r="A258" s="17"/>
      <c r="B258" s="40"/>
      <c r="C258" s="17"/>
      <c r="D258" s="17"/>
      <c r="E258" s="17"/>
      <c r="F258" s="17"/>
      <c r="G258" s="17"/>
      <c r="H258" s="42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44" t="str">
        <f aca="false">IF(OR(D258="",COUNTA(N258:S258)=0),"",SUMIFS(Settings!$AA$2:$AA$21,Settings!$Y$2:$Y$21,"Budget AED 5k+/mo?",Settings!$Z$2:$Z$21,N258)+SUMIFS(Settings!$AA$2:$AA$21,Settings!$Y$2:$Y$21,"Decision-maker?",Settings!$Z$2:$Z$21,O258)+SUMIFS(Settings!$AA$2:$AA$21,Settings!$Y$2:$Y$21,"Someone on camera?",Settings!$Z$2:$Z$21,P258)+SUMIFS(Settings!$AA$2:$AA$21,Settings!$Y$2:$Y$21,"OK with 3-month term?",Settings!$Z$2:$Z$21,Q258)+SUMIFS(Settings!$AA$2:$AA$21,Settings!$Y$2:$Y$21,"Start timeline",Settings!$Z$2:$Z$21,R258)+SUMIFS(Settings!$AA$2:$AA$21,Settings!$Y$2:$Y$21,"Social media gap",Settings!$Z$2:$Z$21,S258)+IF(E258="",0,IF(COUNTIF(Settings!$AC$2:$AC$6,E258)&gt;0,Settings!$AA$20,Settings!$AA$21)))</f>
        <v/>
      </c>
      <c r="U258" s="44" t="str">
        <f aca="false">IF(D258="","",IF(COUNTA(N258:S258)=0,"Not scored",IF(COUNTA(N258:S258)&lt;6,"Partly scored ("&amp;COUNTA(N258:S258)&amp;"/6)",IF(T258&gt;=Settings!$S$8,"Hot",IF(T258&gt;=Settings!$S$9,"Warm","Cold")))))</f>
        <v/>
      </c>
      <c r="V258" s="44" t="str">
        <f aca="false">IF(D258="","",IF(AND(N258="No",P258="No"),"🚩 Budget  ·  🚩 No one on camera",IF(N258="No","🚩 Budget under AED 5k",IF(P258="No","🚩 No one on camera",""))))</f>
        <v/>
      </c>
      <c r="W258" s="17"/>
      <c r="X258" s="17"/>
      <c r="Y258" s="40"/>
      <c r="Z258" s="17"/>
      <c r="AA258" s="45" t="str">
        <f aca="false">IF(OR(D258="",Y258="",OR(X258="Contract signed + paid",X258="Closed – No response",X258="Lost"),N(Z258)&gt;=Settings!$S$3),"",Y258+Settings!$S$2)</f>
        <v/>
      </c>
      <c r="AB258" s="40"/>
      <c r="AC258" s="41"/>
      <c r="AD258" s="17"/>
      <c r="AE258" s="17"/>
      <c r="AF258" s="17"/>
      <c r="AG258" s="46" t="str">
        <f aca="true">IF(OR(D258="",B258=""),"",INT(TODAY()-B258))</f>
        <v/>
      </c>
      <c r="AH258" s="44" t="str">
        <f aca="true">IF(D258="","",IF(OR(COUNTIFS(Clients!$C$2:$C$501,D258,Clients!$S$2:$S$501,"Paid")&gt;0,AND(H258&lt;&gt;"",COUNTIFS(Clients!$E$2:$E$501,H258,Clients!$S$2:$S$501,"Paid")&gt;0)),"⚠ Refunded before – no free video",IF(OR(X258="Contract signed + paid",X258="Closed – No response",X258="Lost"),"",IF(X258="","Set a stage",IF(AND(X258="Proposal sent",COUNTA(N258:S258)&lt;6),"Score this lead – proposal sent unscored",IF(N(Z258)&gt;=Settings!$S$3,"Close – 4 follow-ups sent",IF(AA258="",IF(Y258="","Make first contact",""),IF(TODAY()&gt;AA258,"OVERDUE follow-up",IF(TODAY()=AA258,"Follow up today","")))))))))</f>
        <v/>
      </c>
    </row>
    <row r="259" customFormat="false" ht="15" hidden="false" customHeight="false" outlineLevel="0" collapsed="false">
      <c r="A259" s="17"/>
      <c r="B259" s="40"/>
      <c r="C259" s="17"/>
      <c r="D259" s="17"/>
      <c r="E259" s="17"/>
      <c r="F259" s="17"/>
      <c r="G259" s="17"/>
      <c r="H259" s="42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44" t="str">
        <f aca="false">IF(OR(D259="",COUNTA(N259:S259)=0),"",SUMIFS(Settings!$AA$2:$AA$21,Settings!$Y$2:$Y$21,"Budget AED 5k+/mo?",Settings!$Z$2:$Z$21,N259)+SUMIFS(Settings!$AA$2:$AA$21,Settings!$Y$2:$Y$21,"Decision-maker?",Settings!$Z$2:$Z$21,O259)+SUMIFS(Settings!$AA$2:$AA$21,Settings!$Y$2:$Y$21,"Someone on camera?",Settings!$Z$2:$Z$21,P259)+SUMIFS(Settings!$AA$2:$AA$21,Settings!$Y$2:$Y$21,"OK with 3-month term?",Settings!$Z$2:$Z$21,Q259)+SUMIFS(Settings!$AA$2:$AA$21,Settings!$Y$2:$Y$21,"Start timeline",Settings!$Z$2:$Z$21,R259)+SUMIFS(Settings!$AA$2:$AA$21,Settings!$Y$2:$Y$21,"Social media gap",Settings!$Z$2:$Z$21,S259)+IF(E259="",0,IF(COUNTIF(Settings!$AC$2:$AC$6,E259)&gt;0,Settings!$AA$20,Settings!$AA$21)))</f>
        <v/>
      </c>
      <c r="U259" s="44" t="str">
        <f aca="false">IF(D259="","",IF(COUNTA(N259:S259)=0,"Not scored",IF(COUNTA(N259:S259)&lt;6,"Partly scored ("&amp;COUNTA(N259:S259)&amp;"/6)",IF(T259&gt;=Settings!$S$8,"Hot",IF(T259&gt;=Settings!$S$9,"Warm","Cold")))))</f>
        <v/>
      </c>
      <c r="V259" s="44" t="str">
        <f aca="false">IF(D259="","",IF(AND(N259="No",P259="No"),"🚩 Budget  ·  🚩 No one on camera",IF(N259="No","🚩 Budget under AED 5k",IF(P259="No","🚩 No one on camera",""))))</f>
        <v/>
      </c>
      <c r="W259" s="17"/>
      <c r="X259" s="17"/>
      <c r="Y259" s="40"/>
      <c r="Z259" s="17"/>
      <c r="AA259" s="45" t="str">
        <f aca="false">IF(OR(D259="",Y259="",OR(X259="Contract signed + paid",X259="Closed – No response",X259="Lost"),N(Z259)&gt;=Settings!$S$3),"",Y259+Settings!$S$2)</f>
        <v/>
      </c>
      <c r="AB259" s="40"/>
      <c r="AC259" s="41"/>
      <c r="AD259" s="17"/>
      <c r="AE259" s="17"/>
      <c r="AF259" s="17"/>
      <c r="AG259" s="46" t="str">
        <f aca="true">IF(OR(D259="",B259=""),"",INT(TODAY()-B259))</f>
        <v/>
      </c>
      <c r="AH259" s="44" t="str">
        <f aca="true">IF(D259="","",IF(OR(COUNTIFS(Clients!$C$2:$C$501,D259,Clients!$S$2:$S$501,"Paid")&gt;0,AND(H259&lt;&gt;"",COUNTIFS(Clients!$E$2:$E$501,H259,Clients!$S$2:$S$501,"Paid")&gt;0)),"⚠ Refunded before – no free video",IF(OR(X259="Contract signed + paid",X259="Closed – No response",X259="Lost"),"",IF(X259="","Set a stage",IF(AND(X259="Proposal sent",COUNTA(N259:S259)&lt;6),"Score this lead – proposal sent unscored",IF(N(Z259)&gt;=Settings!$S$3,"Close – 4 follow-ups sent",IF(AA259="",IF(Y259="","Make first contact",""),IF(TODAY()&gt;AA259,"OVERDUE follow-up",IF(TODAY()=AA259,"Follow up today","")))))))))</f>
        <v/>
      </c>
    </row>
    <row r="260" customFormat="false" ht="15" hidden="false" customHeight="false" outlineLevel="0" collapsed="false">
      <c r="A260" s="17"/>
      <c r="B260" s="40"/>
      <c r="C260" s="17"/>
      <c r="D260" s="17"/>
      <c r="E260" s="17"/>
      <c r="F260" s="17"/>
      <c r="G260" s="17"/>
      <c r="H260" s="42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44" t="str">
        <f aca="false">IF(OR(D260="",COUNTA(N260:S260)=0),"",SUMIFS(Settings!$AA$2:$AA$21,Settings!$Y$2:$Y$21,"Budget AED 5k+/mo?",Settings!$Z$2:$Z$21,N260)+SUMIFS(Settings!$AA$2:$AA$21,Settings!$Y$2:$Y$21,"Decision-maker?",Settings!$Z$2:$Z$21,O260)+SUMIFS(Settings!$AA$2:$AA$21,Settings!$Y$2:$Y$21,"Someone on camera?",Settings!$Z$2:$Z$21,P260)+SUMIFS(Settings!$AA$2:$AA$21,Settings!$Y$2:$Y$21,"OK with 3-month term?",Settings!$Z$2:$Z$21,Q260)+SUMIFS(Settings!$AA$2:$AA$21,Settings!$Y$2:$Y$21,"Start timeline",Settings!$Z$2:$Z$21,R260)+SUMIFS(Settings!$AA$2:$AA$21,Settings!$Y$2:$Y$21,"Social media gap",Settings!$Z$2:$Z$21,S260)+IF(E260="",0,IF(COUNTIF(Settings!$AC$2:$AC$6,E260)&gt;0,Settings!$AA$20,Settings!$AA$21)))</f>
        <v/>
      </c>
      <c r="U260" s="44" t="str">
        <f aca="false">IF(D260="","",IF(COUNTA(N260:S260)=0,"Not scored",IF(COUNTA(N260:S260)&lt;6,"Partly scored ("&amp;COUNTA(N260:S260)&amp;"/6)",IF(T260&gt;=Settings!$S$8,"Hot",IF(T260&gt;=Settings!$S$9,"Warm","Cold")))))</f>
        <v/>
      </c>
      <c r="V260" s="44" t="str">
        <f aca="false">IF(D260="","",IF(AND(N260="No",P260="No"),"🚩 Budget  ·  🚩 No one on camera",IF(N260="No","🚩 Budget under AED 5k",IF(P260="No","🚩 No one on camera",""))))</f>
        <v/>
      </c>
      <c r="W260" s="17"/>
      <c r="X260" s="17"/>
      <c r="Y260" s="40"/>
      <c r="Z260" s="17"/>
      <c r="AA260" s="45" t="str">
        <f aca="false">IF(OR(D260="",Y260="",OR(X260="Contract signed + paid",X260="Closed – No response",X260="Lost"),N(Z260)&gt;=Settings!$S$3),"",Y260+Settings!$S$2)</f>
        <v/>
      </c>
      <c r="AB260" s="40"/>
      <c r="AC260" s="41"/>
      <c r="AD260" s="17"/>
      <c r="AE260" s="17"/>
      <c r="AF260" s="17"/>
      <c r="AG260" s="46" t="str">
        <f aca="true">IF(OR(D260="",B260=""),"",INT(TODAY()-B260))</f>
        <v/>
      </c>
      <c r="AH260" s="44" t="str">
        <f aca="true">IF(D260="","",IF(OR(COUNTIFS(Clients!$C$2:$C$501,D260,Clients!$S$2:$S$501,"Paid")&gt;0,AND(H260&lt;&gt;"",COUNTIFS(Clients!$E$2:$E$501,H260,Clients!$S$2:$S$501,"Paid")&gt;0)),"⚠ Refunded before – no free video",IF(OR(X260="Contract signed + paid",X260="Closed – No response",X260="Lost"),"",IF(X260="","Set a stage",IF(AND(X260="Proposal sent",COUNTA(N260:S260)&lt;6),"Score this lead – proposal sent unscored",IF(N(Z260)&gt;=Settings!$S$3,"Close – 4 follow-ups sent",IF(AA260="",IF(Y260="","Make first contact",""),IF(TODAY()&gt;AA260,"OVERDUE follow-up",IF(TODAY()=AA260,"Follow up today","")))))))))</f>
        <v/>
      </c>
    </row>
    <row r="261" customFormat="false" ht="15" hidden="false" customHeight="false" outlineLevel="0" collapsed="false">
      <c r="A261" s="17"/>
      <c r="B261" s="40"/>
      <c r="C261" s="17"/>
      <c r="D261" s="17"/>
      <c r="E261" s="17"/>
      <c r="F261" s="17"/>
      <c r="G261" s="17"/>
      <c r="H261" s="42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44" t="str">
        <f aca="false">IF(OR(D261="",COUNTA(N261:S261)=0),"",SUMIFS(Settings!$AA$2:$AA$21,Settings!$Y$2:$Y$21,"Budget AED 5k+/mo?",Settings!$Z$2:$Z$21,N261)+SUMIFS(Settings!$AA$2:$AA$21,Settings!$Y$2:$Y$21,"Decision-maker?",Settings!$Z$2:$Z$21,O261)+SUMIFS(Settings!$AA$2:$AA$21,Settings!$Y$2:$Y$21,"Someone on camera?",Settings!$Z$2:$Z$21,P261)+SUMIFS(Settings!$AA$2:$AA$21,Settings!$Y$2:$Y$21,"OK with 3-month term?",Settings!$Z$2:$Z$21,Q261)+SUMIFS(Settings!$AA$2:$AA$21,Settings!$Y$2:$Y$21,"Start timeline",Settings!$Z$2:$Z$21,R261)+SUMIFS(Settings!$AA$2:$AA$21,Settings!$Y$2:$Y$21,"Social media gap",Settings!$Z$2:$Z$21,S261)+IF(E261="",0,IF(COUNTIF(Settings!$AC$2:$AC$6,E261)&gt;0,Settings!$AA$20,Settings!$AA$21)))</f>
        <v/>
      </c>
      <c r="U261" s="44" t="str">
        <f aca="false">IF(D261="","",IF(COUNTA(N261:S261)=0,"Not scored",IF(COUNTA(N261:S261)&lt;6,"Partly scored ("&amp;COUNTA(N261:S261)&amp;"/6)",IF(T261&gt;=Settings!$S$8,"Hot",IF(T261&gt;=Settings!$S$9,"Warm","Cold")))))</f>
        <v/>
      </c>
      <c r="V261" s="44" t="str">
        <f aca="false">IF(D261="","",IF(AND(N261="No",P261="No"),"🚩 Budget  ·  🚩 No one on camera",IF(N261="No","🚩 Budget under AED 5k",IF(P261="No","🚩 No one on camera",""))))</f>
        <v/>
      </c>
      <c r="W261" s="17"/>
      <c r="X261" s="17"/>
      <c r="Y261" s="40"/>
      <c r="Z261" s="17"/>
      <c r="AA261" s="45" t="str">
        <f aca="false">IF(OR(D261="",Y261="",OR(X261="Contract signed + paid",X261="Closed – No response",X261="Lost"),N(Z261)&gt;=Settings!$S$3),"",Y261+Settings!$S$2)</f>
        <v/>
      </c>
      <c r="AB261" s="40"/>
      <c r="AC261" s="41"/>
      <c r="AD261" s="17"/>
      <c r="AE261" s="17"/>
      <c r="AF261" s="17"/>
      <c r="AG261" s="46" t="str">
        <f aca="true">IF(OR(D261="",B261=""),"",INT(TODAY()-B261))</f>
        <v/>
      </c>
      <c r="AH261" s="44" t="str">
        <f aca="true">IF(D261="","",IF(OR(COUNTIFS(Clients!$C$2:$C$501,D261,Clients!$S$2:$S$501,"Paid")&gt;0,AND(H261&lt;&gt;"",COUNTIFS(Clients!$E$2:$E$501,H261,Clients!$S$2:$S$501,"Paid")&gt;0)),"⚠ Refunded before – no free video",IF(OR(X261="Contract signed + paid",X261="Closed – No response",X261="Lost"),"",IF(X261="","Set a stage",IF(AND(X261="Proposal sent",COUNTA(N261:S261)&lt;6),"Score this lead – proposal sent unscored",IF(N(Z261)&gt;=Settings!$S$3,"Close – 4 follow-ups sent",IF(AA261="",IF(Y261="","Make first contact",""),IF(TODAY()&gt;AA261,"OVERDUE follow-up",IF(TODAY()=AA261,"Follow up today","")))))))))</f>
        <v/>
      </c>
    </row>
    <row r="262" customFormat="false" ht="15" hidden="false" customHeight="false" outlineLevel="0" collapsed="false">
      <c r="A262" s="17"/>
      <c r="B262" s="40"/>
      <c r="C262" s="17"/>
      <c r="D262" s="17"/>
      <c r="E262" s="17"/>
      <c r="F262" s="17"/>
      <c r="G262" s="17"/>
      <c r="H262" s="42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44" t="str">
        <f aca="false">IF(OR(D262="",COUNTA(N262:S262)=0),"",SUMIFS(Settings!$AA$2:$AA$21,Settings!$Y$2:$Y$21,"Budget AED 5k+/mo?",Settings!$Z$2:$Z$21,N262)+SUMIFS(Settings!$AA$2:$AA$21,Settings!$Y$2:$Y$21,"Decision-maker?",Settings!$Z$2:$Z$21,O262)+SUMIFS(Settings!$AA$2:$AA$21,Settings!$Y$2:$Y$21,"Someone on camera?",Settings!$Z$2:$Z$21,P262)+SUMIFS(Settings!$AA$2:$AA$21,Settings!$Y$2:$Y$21,"OK with 3-month term?",Settings!$Z$2:$Z$21,Q262)+SUMIFS(Settings!$AA$2:$AA$21,Settings!$Y$2:$Y$21,"Start timeline",Settings!$Z$2:$Z$21,R262)+SUMIFS(Settings!$AA$2:$AA$21,Settings!$Y$2:$Y$21,"Social media gap",Settings!$Z$2:$Z$21,S262)+IF(E262="",0,IF(COUNTIF(Settings!$AC$2:$AC$6,E262)&gt;0,Settings!$AA$20,Settings!$AA$21)))</f>
        <v/>
      </c>
      <c r="U262" s="44" t="str">
        <f aca="false">IF(D262="","",IF(COUNTA(N262:S262)=0,"Not scored",IF(COUNTA(N262:S262)&lt;6,"Partly scored ("&amp;COUNTA(N262:S262)&amp;"/6)",IF(T262&gt;=Settings!$S$8,"Hot",IF(T262&gt;=Settings!$S$9,"Warm","Cold")))))</f>
        <v/>
      </c>
      <c r="V262" s="44" t="str">
        <f aca="false">IF(D262="","",IF(AND(N262="No",P262="No"),"🚩 Budget  ·  🚩 No one on camera",IF(N262="No","🚩 Budget under AED 5k",IF(P262="No","🚩 No one on camera",""))))</f>
        <v/>
      </c>
      <c r="W262" s="17"/>
      <c r="X262" s="17"/>
      <c r="Y262" s="40"/>
      <c r="Z262" s="17"/>
      <c r="AA262" s="45" t="str">
        <f aca="false">IF(OR(D262="",Y262="",OR(X262="Contract signed + paid",X262="Closed – No response",X262="Lost"),N(Z262)&gt;=Settings!$S$3),"",Y262+Settings!$S$2)</f>
        <v/>
      </c>
      <c r="AB262" s="40"/>
      <c r="AC262" s="41"/>
      <c r="AD262" s="17"/>
      <c r="AE262" s="17"/>
      <c r="AF262" s="17"/>
      <c r="AG262" s="46" t="str">
        <f aca="true">IF(OR(D262="",B262=""),"",INT(TODAY()-B262))</f>
        <v/>
      </c>
      <c r="AH262" s="44" t="str">
        <f aca="true">IF(D262="","",IF(OR(COUNTIFS(Clients!$C$2:$C$501,D262,Clients!$S$2:$S$501,"Paid")&gt;0,AND(H262&lt;&gt;"",COUNTIFS(Clients!$E$2:$E$501,H262,Clients!$S$2:$S$501,"Paid")&gt;0)),"⚠ Refunded before – no free video",IF(OR(X262="Contract signed + paid",X262="Closed – No response",X262="Lost"),"",IF(X262="","Set a stage",IF(AND(X262="Proposal sent",COUNTA(N262:S262)&lt;6),"Score this lead – proposal sent unscored",IF(N(Z262)&gt;=Settings!$S$3,"Close – 4 follow-ups sent",IF(AA262="",IF(Y262="","Make first contact",""),IF(TODAY()&gt;AA262,"OVERDUE follow-up",IF(TODAY()=AA262,"Follow up today","")))))))))</f>
        <v/>
      </c>
    </row>
    <row r="263" customFormat="false" ht="15" hidden="false" customHeight="false" outlineLevel="0" collapsed="false">
      <c r="A263" s="17"/>
      <c r="B263" s="40"/>
      <c r="C263" s="17"/>
      <c r="D263" s="17"/>
      <c r="E263" s="17"/>
      <c r="F263" s="17"/>
      <c r="G263" s="17"/>
      <c r="H263" s="42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44" t="str">
        <f aca="false">IF(OR(D263="",COUNTA(N263:S263)=0),"",SUMIFS(Settings!$AA$2:$AA$21,Settings!$Y$2:$Y$21,"Budget AED 5k+/mo?",Settings!$Z$2:$Z$21,N263)+SUMIFS(Settings!$AA$2:$AA$21,Settings!$Y$2:$Y$21,"Decision-maker?",Settings!$Z$2:$Z$21,O263)+SUMIFS(Settings!$AA$2:$AA$21,Settings!$Y$2:$Y$21,"Someone on camera?",Settings!$Z$2:$Z$21,P263)+SUMIFS(Settings!$AA$2:$AA$21,Settings!$Y$2:$Y$21,"OK with 3-month term?",Settings!$Z$2:$Z$21,Q263)+SUMIFS(Settings!$AA$2:$AA$21,Settings!$Y$2:$Y$21,"Start timeline",Settings!$Z$2:$Z$21,R263)+SUMIFS(Settings!$AA$2:$AA$21,Settings!$Y$2:$Y$21,"Social media gap",Settings!$Z$2:$Z$21,S263)+IF(E263="",0,IF(COUNTIF(Settings!$AC$2:$AC$6,E263)&gt;0,Settings!$AA$20,Settings!$AA$21)))</f>
        <v/>
      </c>
      <c r="U263" s="44" t="str">
        <f aca="false">IF(D263="","",IF(COUNTA(N263:S263)=0,"Not scored",IF(COUNTA(N263:S263)&lt;6,"Partly scored ("&amp;COUNTA(N263:S263)&amp;"/6)",IF(T263&gt;=Settings!$S$8,"Hot",IF(T263&gt;=Settings!$S$9,"Warm","Cold")))))</f>
        <v/>
      </c>
      <c r="V263" s="44" t="str">
        <f aca="false">IF(D263="","",IF(AND(N263="No",P263="No"),"🚩 Budget  ·  🚩 No one on camera",IF(N263="No","🚩 Budget under AED 5k",IF(P263="No","🚩 No one on camera",""))))</f>
        <v/>
      </c>
      <c r="W263" s="17"/>
      <c r="X263" s="17"/>
      <c r="Y263" s="40"/>
      <c r="Z263" s="17"/>
      <c r="AA263" s="45" t="str">
        <f aca="false">IF(OR(D263="",Y263="",OR(X263="Contract signed + paid",X263="Closed – No response",X263="Lost"),N(Z263)&gt;=Settings!$S$3),"",Y263+Settings!$S$2)</f>
        <v/>
      </c>
      <c r="AB263" s="40"/>
      <c r="AC263" s="41"/>
      <c r="AD263" s="17"/>
      <c r="AE263" s="17"/>
      <c r="AF263" s="17"/>
      <c r="AG263" s="46" t="str">
        <f aca="true">IF(OR(D263="",B263=""),"",INT(TODAY()-B263))</f>
        <v/>
      </c>
      <c r="AH263" s="44" t="str">
        <f aca="true">IF(D263="","",IF(OR(COUNTIFS(Clients!$C$2:$C$501,D263,Clients!$S$2:$S$501,"Paid")&gt;0,AND(H263&lt;&gt;"",COUNTIFS(Clients!$E$2:$E$501,H263,Clients!$S$2:$S$501,"Paid")&gt;0)),"⚠ Refunded before – no free video",IF(OR(X263="Contract signed + paid",X263="Closed – No response",X263="Lost"),"",IF(X263="","Set a stage",IF(AND(X263="Proposal sent",COUNTA(N263:S263)&lt;6),"Score this lead – proposal sent unscored",IF(N(Z263)&gt;=Settings!$S$3,"Close – 4 follow-ups sent",IF(AA263="",IF(Y263="","Make first contact",""),IF(TODAY()&gt;AA263,"OVERDUE follow-up",IF(TODAY()=AA263,"Follow up today","")))))))))</f>
        <v/>
      </c>
    </row>
    <row r="264" customFormat="false" ht="15" hidden="false" customHeight="false" outlineLevel="0" collapsed="false">
      <c r="A264" s="17"/>
      <c r="B264" s="40"/>
      <c r="C264" s="17"/>
      <c r="D264" s="17"/>
      <c r="E264" s="17"/>
      <c r="F264" s="17"/>
      <c r="G264" s="17"/>
      <c r="H264" s="42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44" t="str">
        <f aca="false">IF(OR(D264="",COUNTA(N264:S264)=0),"",SUMIFS(Settings!$AA$2:$AA$21,Settings!$Y$2:$Y$21,"Budget AED 5k+/mo?",Settings!$Z$2:$Z$21,N264)+SUMIFS(Settings!$AA$2:$AA$21,Settings!$Y$2:$Y$21,"Decision-maker?",Settings!$Z$2:$Z$21,O264)+SUMIFS(Settings!$AA$2:$AA$21,Settings!$Y$2:$Y$21,"Someone on camera?",Settings!$Z$2:$Z$21,P264)+SUMIFS(Settings!$AA$2:$AA$21,Settings!$Y$2:$Y$21,"OK with 3-month term?",Settings!$Z$2:$Z$21,Q264)+SUMIFS(Settings!$AA$2:$AA$21,Settings!$Y$2:$Y$21,"Start timeline",Settings!$Z$2:$Z$21,R264)+SUMIFS(Settings!$AA$2:$AA$21,Settings!$Y$2:$Y$21,"Social media gap",Settings!$Z$2:$Z$21,S264)+IF(E264="",0,IF(COUNTIF(Settings!$AC$2:$AC$6,E264)&gt;0,Settings!$AA$20,Settings!$AA$21)))</f>
        <v/>
      </c>
      <c r="U264" s="44" t="str">
        <f aca="false">IF(D264="","",IF(COUNTA(N264:S264)=0,"Not scored",IF(COUNTA(N264:S264)&lt;6,"Partly scored ("&amp;COUNTA(N264:S264)&amp;"/6)",IF(T264&gt;=Settings!$S$8,"Hot",IF(T264&gt;=Settings!$S$9,"Warm","Cold")))))</f>
        <v/>
      </c>
      <c r="V264" s="44" t="str">
        <f aca="false">IF(D264="","",IF(AND(N264="No",P264="No"),"🚩 Budget  ·  🚩 No one on camera",IF(N264="No","🚩 Budget under AED 5k",IF(P264="No","🚩 No one on camera",""))))</f>
        <v/>
      </c>
      <c r="W264" s="17"/>
      <c r="X264" s="17"/>
      <c r="Y264" s="40"/>
      <c r="Z264" s="17"/>
      <c r="AA264" s="45" t="str">
        <f aca="false">IF(OR(D264="",Y264="",OR(X264="Contract signed + paid",X264="Closed – No response",X264="Lost"),N(Z264)&gt;=Settings!$S$3),"",Y264+Settings!$S$2)</f>
        <v/>
      </c>
      <c r="AB264" s="40"/>
      <c r="AC264" s="41"/>
      <c r="AD264" s="17"/>
      <c r="AE264" s="17"/>
      <c r="AF264" s="17"/>
      <c r="AG264" s="46" t="str">
        <f aca="true">IF(OR(D264="",B264=""),"",INT(TODAY()-B264))</f>
        <v/>
      </c>
      <c r="AH264" s="44" t="str">
        <f aca="true">IF(D264="","",IF(OR(COUNTIFS(Clients!$C$2:$C$501,D264,Clients!$S$2:$S$501,"Paid")&gt;0,AND(H264&lt;&gt;"",COUNTIFS(Clients!$E$2:$E$501,H264,Clients!$S$2:$S$501,"Paid")&gt;0)),"⚠ Refunded before – no free video",IF(OR(X264="Contract signed + paid",X264="Closed – No response",X264="Lost"),"",IF(X264="","Set a stage",IF(AND(X264="Proposal sent",COUNTA(N264:S264)&lt;6),"Score this lead – proposal sent unscored",IF(N(Z264)&gt;=Settings!$S$3,"Close – 4 follow-ups sent",IF(AA264="",IF(Y264="","Make first contact",""),IF(TODAY()&gt;AA264,"OVERDUE follow-up",IF(TODAY()=AA264,"Follow up today","")))))))))</f>
        <v/>
      </c>
    </row>
    <row r="265" customFormat="false" ht="15" hidden="false" customHeight="false" outlineLevel="0" collapsed="false">
      <c r="A265" s="17"/>
      <c r="B265" s="40"/>
      <c r="C265" s="17"/>
      <c r="D265" s="17"/>
      <c r="E265" s="17"/>
      <c r="F265" s="17"/>
      <c r="G265" s="17"/>
      <c r="H265" s="42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44" t="str">
        <f aca="false">IF(OR(D265="",COUNTA(N265:S265)=0),"",SUMIFS(Settings!$AA$2:$AA$21,Settings!$Y$2:$Y$21,"Budget AED 5k+/mo?",Settings!$Z$2:$Z$21,N265)+SUMIFS(Settings!$AA$2:$AA$21,Settings!$Y$2:$Y$21,"Decision-maker?",Settings!$Z$2:$Z$21,O265)+SUMIFS(Settings!$AA$2:$AA$21,Settings!$Y$2:$Y$21,"Someone on camera?",Settings!$Z$2:$Z$21,P265)+SUMIFS(Settings!$AA$2:$AA$21,Settings!$Y$2:$Y$21,"OK with 3-month term?",Settings!$Z$2:$Z$21,Q265)+SUMIFS(Settings!$AA$2:$AA$21,Settings!$Y$2:$Y$21,"Start timeline",Settings!$Z$2:$Z$21,R265)+SUMIFS(Settings!$AA$2:$AA$21,Settings!$Y$2:$Y$21,"Social media gap",Settings!$Z$2:$Z$21,S265)+IF(E265="",0,IF(COUNTIF(Settings!$AC$2:$AC$6,E265)&gt;0,Settings!$AA$20,Settings!$AA$21)))</f>
        <v/>
      </c>
      <c r="U265" s="44" t="str">
        <f aca="false">IF(D265="","",IF(COUNTA(N265:S265)=0,"Not scored",IF(COUNTA(N265:S265)&lt;6,"Partly scored ("&amp;COUNTA(N265:S265)&amp;"/6)",IF(T265&gt;=Settings!$S$8,"Hot",IF(T265&gt;=Settings!$S$9,"Warm","Cold")))))</f>
        <v/>
      </c>
      <c r="V265" s="44" t="str">
        <f aca="false">IF(D265="","",IF(AND(N265="No",P265="No"),"🚩 Budget  ·  🚩 No one on camera",IF(N265="No","🚩 Budget under AED 5k",IF(P265="No","🚩 No one on camera",""))))</f>
        <v/>
      </c>
      <c r="W265" s="17"/>
      <c r="X265" s="17"/>
      <c r="Y265" s="40"/>
      <c r="Z265" s="17"/>
      <c r="AA265" s="45" t="str">
        <f aca="false">IF(OR(D265="",Y265="",OR(X265="Contract signed + paid",X265="Closed – No response",X265="Lost"),N(Z265)&gt;=Settings!$S$3),"",Y265+Settings!$S$2)</f>
        <v/>
      </c>
      <c r="AB265" s="40"/>
      <c r="AC265" s="41"/>
      <c r="AD265" s="17"/>
      <c r="AE265" s="17"/>
      <c r="AF265" s="17"/>
      <c r="AG265" s="46" t="str">
        <f aca="true">IF(OR(D265="",B265=""),"",INT(TODAY()-B265))</f>
        <v/>
      </c>
      <c r="AH265" s="44" t="str">
        <f aca="true">IF(D265="","",IF(OR(COUNTIFS(Clients!$C$2:$C$501,D265,Clients!$S$2:$S$501,"Paid")&gt;0,AND(H265&lt;&gt;"",COUNTIFS(Clients!$E$2:$E$501,H265,Clients!$S$2:$S$501,"Paid")&gt;0)),"⚠ Refunded before – no free video",IF(OR(X265="Contract signed + paid",X265="Closed – No response",X265="Lost"),"",IF(X265="","Set a stage",IF(AND(X265="Proposal sent",COUNTA(N265:S265)&lt;6),"Score this lead – proposal sent unscored",IF(N(Z265)&gt;=Settings!$S$3,"Close – 4 follow-ups sent",IF(AA265="",IF(Y265="","Make first contact",""),IF(TODAY()&gt;AA265,"OVERDUE follow-up",IF(TODAY()=AA265,"Follow up today","")))))))))</f>
        <v/>
      </c>
    </row>
    <row r="266" customFormat="false" ht="15" hidden="false" customHeight="false" outlineLevel="0" collapsed="false">
      <c r="A266" s="17"/>
      <c r="B266" s="40"/>
      <c r="C266" s="17"/>
      <c r="D266" s="17"/>
      <c r="E266" s="17"/>
      <c r="F266" s="17"/>
      <c r="G266" s="17"/>
      <c r="H266" s="42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44" t="str">
        <f aca="false">IF(OR(D266="",COUNTA(N266:S266)=0),"",SUMIFS(Settings!$AA$2:$AA$21,Settings!$Y$2:$Y$21,"Budget AED 5k+/mo?",Settings!$Z$2:$Z$21,N266)+SUMIFS(Settings!$AA$2:$AA$21,Settings!$Y$2:$Y$21,"Decision-maker?",Settings!$Z$2:$Z$21,O266)+SUMIFS(Settings!$AA$2:$AA$21,Settings!$Y$2:$Y$21,"Someone on camera?",Settings!$Z$2:$Z$21,P266)+SUMIFS(Settings!$AA$2:$AA$21,Settings!$Y$2:$Y$21,"OK with 3-month term?",Settings!$Z$2:$Z$21,Q266)+SUMIFS(Settings!$AA$2:$AA$21,Settings!$Y$2:$Y$21,"Start timeline",Settings!$Z$2:$Z$21,R266)+SUMIFS(Settings!$AA$2:$AA$21,Settings!$Y$2:$Y$21,"Social media gap",Settings!$Z$2:$Z$21,S266)+IF(E266="",0,IF(COUNTIF(Settings!$AC$2:$AC$6,E266)&gt;0,Settings!$AA$20,Settings!$AA$21)))</f>
        <v/>
      </c>
      <c r="U266" s="44" t="str">
        <f aca="false">IF(D266="","",IF(COUNTA(N266:S266)=0,"Not scored",IF(COUNTA(N266:S266)&lt;6,"Partly scored ("&amp;COUNTA(N266:S266)&amp;"/6)",IF(T266&gt;=Settings!$S$8,"Hot",IF(T266&gt;=Settings!$S$9,"Warm","Cold")))))</f>
        <v/>
      </c>
      <c r="V266" s="44" t="str">
        <f aca="false">IF(D266="","",IF(AND(N266="No",P266="No"),"🚩 Budget  ·  🚩 No one on camera",IF(N266="No","🚩 Budget under AED 5k",IF(P266="No","🚩 No one on camera",""))))</f>
        <v/>
      </c>
      <c r="W266" s="17"/>
      <c r="X266" s="17"/>
      <c r="Y266" s="40"/>
      <c r="Z266" s="17"/>
      <c r="AA266" s="45" t="str">
        <f aca="false">IF(OR(D266="",Y266="",OR(X266="Contract signed + paid",X266="Closed – No response",X266="Lost"),N(Z266)&gt;=Settings!$S$3),"",Y266+Settings!$S$2)</f>
        <v/>
      </c>
      <c r="AB266" s="40"/>
      <c r="AC266" s="41"/>
      <c r="AD266" s="17"/>
      <c r="AE266" s="17"/>
      <c r="AF266" s="17"/>
      <c r="AG266" s="46" t="str">
        <f aca="true">IF(OR(D266="",B266=""),"",INT(TODAY()-B266))</f>
        <v/>
      </c>
      <c r="AH266" s="44" t="str">
        <f aca="true">IF(D266="","",IF(OR(COUNTIFS(Clients!$C$2:$C$501,D266,Clients!$S$2:$S$501,"Paid")&gt;0,AND(H266&lt;&gt;"",COUNTIFS(Clients!$E$2:$E$501,H266,Clients!$S$2:$S$501,"Paid")&gt;0)),"⚠ Refunded before – no free video",IF(OR(X266="Contract signed + paid",X266="Closed – No response",X266="Lost"),"",IF(X266="","Set a stage",IF(AND(X266="Proposal sent",COUNTA(N266:S266)&lt;6),"Score this lead – proposal sent unscored",IF(N(Z266)&gt;=Settings!$S$3,"Close – 4 follow-ups sent",IF(AA266="",IF(Y266="","Make first contact",""),IF(TODAY()&gt;AA266,"OVERDUE follow-up",IF(TODAY()=AA266,"Follow up today","")))))))))</f>
        <v/>
      </c>
    </row>
    <row r="267" customFormat="false" ht="15" hidden="false" customHeight="false" outlineLevel="0" collapsed="false">
      <c r="A267" s="17"/>
      <c r="B267" s="40"/>
      <c r="C267" s="17"/>
      <c r="D267" s="17"/>
      <c r="E267" s="17"/>
      <c r="F267" s="17"/>
      <c r="G267" s="17"/>
      <c r="H267" s="42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44" t="str">
        <f aca="false">IF(OR(D267="",COUNTA(N267:S267)=0),"",SUMIFS(Settings!$AA$2:$AA$21,Settings!$Y$2:$Y$21,"Budget AED 5k+/mo?",Settings!$Z$2:$Z$21,N267)+SUMIFS(Settings!$AA$2:$AA$21,Settings!$Y$2:$Y$21,"Decision-maker?",Settings!$Z$2:$Z$21,O267)+SUMIFS(Settings!$AA$2:$AA$21,Settings!$Y$2:$Y$21,"Someone on camera?",Settings!$Z$2:$Z$21,P267)+SUMIFS(Settings!$AA$2:$AA$21,Settings!$Y$2:$Y$21,"OK with 3-month term?",Settings!$Z$2:$Z$21,Q267)+SUMIFS(Settings!$AA$2:$AA$21,Settings!$Y$2:$Y$21,"Start timeline",Settings!$Z$2:$Z$21,R267)+SUMIFS(Settings!$AA$2:$AA$21,Settings!$Y$2:$Y$21,"Social media gap",Settings!$Z$2:$Z$21,S267)+IF(E267="",0,IF(COUNTIF(Settings!$AC$2:$AC$6,E267)&gt;0,Settings!$AA$20,Settings!$AA$21)))</f>
        <v/>
      </c>
      <c r="U267" s="44" t="str">
        <f aca="false">IF(D267="","",IF(COUNTA(N267:S267)=0,"Not scored",IF(COUNTA(N267:S267)&lt;6,"Partly scored ("&amp;COUNTA(N267:S267)&amp;"/6)",IF(T267&gt;=Settings!$S$8,"Hot",IF(T267&gt;=Settings!$S$9,"Warm","Cold")))))</f>
        <v/>
      </c>
      <c r="V267" s="44" t="str">
        <f aca="false">IF(D267="","",IF(AND(N267="No",P267="No"),"🚩 Budget  ·  🚩 No one on camera",IF(N267="No","🚩 Budget under AED 5k",IF(P267="No","🚩 No one on camera",""))))</f>
        <v/>
      </c>
      <c r="W267" s="17"/>
      <c r="X267" s="17"/>
      <c r="Y267" s="40"/>
      <c r="Z267" s="17"/>
      <c r="AA267" s="45" t="str">
        <f aca="false">IF(OR(D267="",Y267="",OR(X267="Contract signed + paid",X267="Closed – No response",X267="Lost"),N(Z267)&gt;=Settings!$S$3),"",Y267+Settings!$S$2)</f>
        <v/>
      </c>
      <c r="AB267" s="40"/>
      <c r="AC267" s="41"/>
      <c r="AD267" s="17"/>
      <c r="AE267" s="17"/>
      <c r="AF267" s="17"/>
      <c r="AG267" s="46" t="str">
        <f aca="true">IF(OR(D267="",B267=""),"",INT(TODAY()-B267))</f>
        <v/>
      </c>
      <c r="AH267" s="44" t="str">
        <f aca="true">IF(D267="","",IF(OR(COUNTIFS(Clients!$C$2:$C$501,D267,Clients!$S$2:$S$501,"Paid")&gt;0,AND(H267&lt;&gt;"",COUNTIFS(Clients!$E$2:$E$501,H267,Clients!$S$2:$S$501,"Paid")&gt;0)),"⚠ Refunded before – no free video",IF(OR(X267="Contract signed + paid",X267="Closed – No response",X267="Lost"),"",IF(X267="","Set a stage",IF(AND(X267="Proposal sent",COUNTA(N267:S267)&lt;6),"Score this lead – proposal sent unscored",IF(N(Z267)&gt;=Settings!$S$3,"Close – 4 follow-ups sent",IF(AA267="",IF(Y267="","Make first contact",""),IF(TODAY()&gt;AA267,"OVERDUE follow-up",IF(TODAY()=AA267,"Follow up today","")))))))))</f>
        <v/>
      </c>
    </row>
    <row r="268" customFormat="false" ht="15" hidden="false" customHeight="false" outlineLevel="0" collapsed="false">
      <c r="A268" s="17"/>
      <c r="B268" s="40"/>
      <c r="C268" s="17"/>
      <c r="D268" s="17"/>
      <c r="E268" s="17"/>
      <c r="F268" s="17"/>
      <c r="G268" s="17"/>
      <c r="H268" s="42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44" t="str">
        <f aca="false">IF(OR(D268="",COUNTA(N268:S268)=0),"",SUMIFS(Settings!$AA$2:$AA$21,Settings!$Y$2:$Y$21,"Budget AED 5k+/mo?",Settings!$Z$2:$Z$21,N268)+SUMIFS(Settings!$AA$2:$AA$21,Settings!$Y$2:$Y$21,"Decision-maker?",Settings!$Z$2:$Z$21,O268)+SUMIFS(Settings!$AA$2:$AA$21,Settings!$Y$2:$Y$21,"Someone on camera?",Settings!$Z$2:$Z$21,P268)+SUMIFS(Settings!$AA$2:$AA$21,Settings!$Y$2:$Y$21,"OK with 3-month term?",Settings!$Z$2:$Z$21,Q268)+SUMIFS(Settings!$AA$2:$AA$21,Settings!$Y$2:$Y$21,"Start timeline",Settings!$Z$2:$Z$21,R268)+SUMIFS(Settings!$AA$2:$AA$21,Settings!$Y$2:$Y$21,"Social media gap",Settings!$Z$2:$Z$21,S268)+IF(E268="",0,IF(COUNTIF(Settings!$AC$2:$AC$6,E268)&gt;0,Settings!$AA$20,Settings!$AA$21)))</f>
        <v/>
      </c>
      <c r="U268" s="44" t="str">
        <f aca="false">IF(D268="","",IF(COUNTA(N268:S268)=0,"Not scored",IF(COUNTA(N268:S268)&lt;6,"Partly scored ("&amp;COUNTA(N268:S268)&amp;"/6)",IF(T268&gt;=Settings!$S$8,"Hot",IF(T268&gt;=Settings!$S$9,"Warm","Cold")))))</f>
        <v/>
      </c>
      <c r="V268" s="44" t="str">
        <f aca="false">IF(D268="","",IF(AND(N268="No",P268="No"),"🚩 Budget  ·  🚩 No one on camera",IF(N268="No","🚩 Budget under AED 5k",IF(P268="No","🚩 No one on camera",""))))</f>
        <v/>
      </c>
      <c r="W268" s="17"/>
      <c r="X268" s="17"/>
      <c r="Y268" s="40"/>
      <c r="Z268" s="17"/>
      <c r="AA268" s="45" t="str">
        <f aca="false">IF(OR(D268="",Y268="",OR(X268="Contract signed + paid",X268="Closed – No response",X268="Lost"),N(Z268)&gt;=Settings!$S$3),"",Y268+Settings!$S$2)</f>
        <v/>
      </c>
      <c r="AB268" s="40"/>
      <c r="AC268" s="41"/>
      <c r="AD268" s="17"/>
      <c r="AE268" s="17"/>
      <c r="AF268" s="17"/>
      <c r="AG268" s="46" t="str">
        <f aca="true">IF(OR(D268="",B268=""),"",INT(TODAY()-B268))</f>
        <v/>
      </c>
      <c r="AH268" s="44" t="str">
        <f aca="true">IF(D268="","",IF(OR(COUNTIFS(Clients!$C$2:$C$501,D268,Clients!$S$2:$S$501,"Paid")&gt;0,AND(H268&lt;&gt;"",COUNTIFS(Clients!$E$2:$E$501,H268,Clients!$S$2:$S$501,"Paid")&gt;0)),"⚠ Refunded before – no free video",IF(OR(X268="Contract signed + paid",X268="Closed – No response",X268="Lost"),"",IF(X268="","Set a stage",IF(AND(X268="Proposal sent",COUNTA(N268:S268)&lt;6),"Score this lead – proposal sent unscored",IF(N(Z268)&gt;=Settings!$S$3,"Close – 4 follow-ups sent",IF(AA268="",IF(Y268="","Make first contact",""),IF(TODAY()&gt;AA268,"OVERDUE follow-up",IF(TODAY()=AA268,"Follow up today","")))))))))</f>
        <v/>
      </c>
    </row>
    <row r="269" customFormat="false" ht="15" hidden="false" customHeight="false" outlineLevel="0" collapsed="false">
      <c r="A269" s="17"/>
      <c r="B269" s="40"/>
      <c r="C269" s="17"/>
      <c r="D269" s="17"/>
      <c r="E269" s="17"/>
      <c r="F269" s="17"/>
      <c r="G269" s="17"/>
      <c r="H269" s="42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44" t="str">
        <f aca="false">IF(OR(D269="",COUNTA(N269:S269)=0),"",SUMIFS(Settings!$AA$2:$AA$21,Settings!$Y$2:$Y$21,"Budget AED 5k+/mo?",Settings!$Z$2:$Z$21,N269)+SUMIFS(Settings!$AA$2:$AA$21,Settings!$Y$2:$Y$21,"Decision-maker?",Settings!$Z$2:$Z$21,O269)+SUMIFS(Settings!$AA$2:$AA$21,Settings!$Y$2:$Y$21,"Someone on camera?",Settings!$Z$2:$Z$21,P269)+SUMIFS(Settings!$AA$2:$AA$21,Settings!$Y$2:$Y$21,"OK with 3-month term?",Settings!$Z$2:$Z$21,Q269)+SUMIFS(Settings!$AA$2:$AA$21,Settings!$Y$2:$Y$21,"Start timeline",Settings!$Z$2:$Z$21,R269)+SUMIFS(Settings!$AA$2:$AA$21,Settings!$Y$2:$Y$21,"Social media gap",Settings!$Z$2:$Z$21,S269)+IF(E269="",0,IF(COUNTIF(Settings!$AC$2:$AC$6,E269)&gt;0,Settings!$AA$20,Settings!$AA$21)))</f>
        <v/>
      </c>
      <c r="U269" s="44" t="str">
        <f aca="false">IF(D269="","",IF(COUNTA(N269:S269)=0,"Not scored",IF(COUNTA(N269:S269)&lt;6,"Partly scored ("&amp;COUNTA(N269:S269)&amp;"/6)",IF(T269&gt;=Settings!$S$8,"Hot",IF(T269&gt;=Settings!$S$9,"Warm","Cold")))))</f>
        <v/>
      </c>
      <c r="V269" s="44" t="str">
        <f aca="false">IF(D269="","",IF(AND(N269="No",P269="No"),"🚩 Budget  ·  🚩 No one on camera",IF(N269="No","🚩 Budget under AED 5k",IF(P269="No","🚩 No one on camera",""))))</f>
        <v/>
      </c>
      <c r="W269" s="17"/>
      <c r="X269" s="17"/>
      <c r="Y269" s="40"/>
      <c r="Z269" s="17"/>
      <c r="AA269" s="45" t="str">
        <f aca="false">IF(OR(D269="",Y269="",OR(X269="Contract signed + paid",X269="Closed – No response",X269="Lost"),N(Z269)&gt;=Settings!$S$3),"",Y269+Settings!$S$2)</f>
        <v/>
      </c>
      <c r="AB269" s="40"/>
      <c r="AC269" s="41"/>
      <c r="AD269" s="17"/>
      <c r="AE269" s="17"/>
      <c r="AF269" s="17"/>
      <c r="AG269" s="46" t="str">
        <f aca="true">IF(OR(D269="",B269=""),"",INT(TODAY()-B269))</f>
        <v/>
      </c>
      <c r="AH269" s="44" t="str">
        <f aca="true">IF(D269="","",IF(OR(COUNTIFS(Clients!$C$2:$C$501,D269,Clients!$S$2:$S$501,"Paid")&gt;0,AND(H269&lt;&gt;"",COUNTIFS(Clients!$E$2:$E$501,H269,Clients!$S$2:$S$501,"Paid")&gt;0)),"⚠ Refunded before – no free video",IF(OR(X269="Contract signed + paid",X269="Closed – No response",X269="Lost"),"",IF(X269="","Set a stage",IF(AND(X269="Proposal sent",COUNTA(N269:S269)&lt;6),"Score this lead – proposal sent unscored",IF(N(Z269)&gt;=Settings!$S$3,"Close – 4 follow-ups sent",IF(AA269="",IF(Y269="","Make first contact",""),IF(TODAY()&gt;AA269,"OVERDUE follow-up",IF(TODAY()=AA269,"Follow up today","")))))))))</f>
        <v/>
      </c>
    </row>
    <row r="270" customFormat="false" ht="15" hidden="false" customHeight="false" outlineLevel="0" collapsed="false">
      <c r="A270" s="17"/>
      <c r="B270" s="40"/>
      <c r="C270" s="17"/>
      <c r="D270" s="17"/>
      <c r="E270" s="17"/>
      <c r="F270" s="17"/>
      <c r="G270" s="17"/>
      <c r="H270" s="42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44" t="str">
        <f aca="false">IF(OR(D270="",COUNTA(N270:S270)=0),"",SUMIFS(Settings!$AA$2:$AA$21,Settings!$Y$2:$Y$21,"Budget AED 5k+/mo?",Settings!$Z$2:$Z$21,N270)+SUMIFS(Settings!$AA$2:$AA$21,Settings!$Y$2:$Y$21,"Decision-maker?",Settings!$Z$2:$Z$21,O270)+SUMIFS(Settings!$AA$2:$AA$21,Settings!$Y$2:$Y$21,"Someone on camera?",Settings!$Z$2:$Z$21,P270)+SUMIFS(Settings!$AA$2:$AA$21,Settings!$Y$2:$Y$21,"OK with 3-month term?",Settings!$Z$2:$Z$21,Q270)+SUMIFS(Settings!$AA$2:$AA$21,Settings!$Y$2:$Y$21,"Start timeline",Settings!$Z$2:$Z$21,R270)+SUMIFS(Settings!$AA$2:$AA$21,Settings!$Y$2:$Y$21,"Social media gap",Settings!$Z$2:$Z$21,S270)+IF(E270="",0,IF(COUNTIF(Settings!$AC$2:$AC$6,E270)&gt;0,Settings!$AA$20,Settings!$AA$21)))</f>
        <v/>
      </c>
      <c r="U270" s="44" t="str">
        <f aca="false">IF(D270="","",IF(COUNTA(N270:S270)=0,"Not scored",IF(COUNTA(N270:S270)&lt;6,"Partly scored ("&amp;COUNTA(N270:S270)&amp;"/6)",IF(T270&gt;=Settings!$S$8,"Hot",IF(T270&gt;=Settings!$S$9,"Warm","Cold")))))</f>
        <v/>
      </c>
      <c r="V270" s="44" t="str">
        <f aca="false">IF(D270="","",IF(AND(N270="No",P270="No"),"🚩 Budget  ·  🚩 No one on camera",IF(N270="No","🚩 Budget under AED 5k",IF(P270="No","🚩 No one on camera",""))))</f>
        <v/>
      </c>
      <c r="W270" s="17"/>
      <c r="X270" s="17"/>
      <c r="Y270" s="40"/>
      <c r="Z270" s="17"/>
      <c r="AA270" s="45" t="str">
        <f aca="false">IF(OR(D270="",Y270="",OR(X270="Contract signed + paid",X270="Closed – No response",X270="Lost"),N(Z270)&gt;=Settings!$S$3),"",Y270+Settings!$S$2)</f>
        <v/>
      </c>
      <c r="AB270" s="40"/>
      <c r="AC270" s="41"/>
      <c r="AD270" s="17"/>
      <c r="AE270" s="17"/>
      <c r="AF270" s="17"/>
      <c r="AG270" s="46" t="str">
        <f aca="true">IF(OR(D270="",B270=""),"",INT(TODAY()-B270))</f>
        <v/>
      </c>
      <c r="AH270" s="44" t="str">
        <f aca="true">IF(D270="","",IF(OR(COUNTIFS(Clients!$C$2:$C$501,D270,Clients!$S$2:$S$501,"Paid")&gt;0,AND(H270&lt;&gt;"",COUNTIFS(Clients!$E$2:$E$501,H270,Clients!$S$2:$S$501,"Paid")&gt;0)),"⚠ Refunded before – no free video",IF(OR(X270="Contract signed + paid",X270="Closed – No response",X270="Lost"),"",IF(X270="","Set a stage",IF(AND(X270="Proposal sent",COUNTA(N270:S270)&lt;6),"Score this lead – proposal sent unscored",IF(N(Z270)&gt;=Settings!$S$3,"Close – 4 follow-ups sent",IF(AA270="",IF(Y270="","Make first contact",""),IF(TODAY()&gt;AA270,"OVERDUE follow-up",IF(TODAY()=AA270,"Follow up today","")))))))))</f>
        <v/>
      </c>
    </row>
    <row r="271" customFormat="false" ht="15" hidden="false" customHeight="false" outlineLevel="0" collapsed="false">
      <c r="A271" s="17"/>
      <c r="B271" s="40"/>
      <c r="C271" s="17"/>
      <c r="D271" s="17"/>
      <c r="E271" s="17"/>
      <c r="F271" s="17"/>
      <c r="G271" s="17"/>
      <c r="H271" s="42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44" t="str">
        <f aca="false">IF(OR(D271="",COUNTA(N271:S271)=0),"",SUMIFS(Settings!$AA$2:$AA$21,Settings!$Y$2:$Y$21,"Budget AED 5k+/mo?",Settings!$Z$2:$Z$21,N271)+SUMIFS(Settings!$AA$2:$AA$21,Settings!$Y$2:$Y$21,"Decision-maker?",Settings!$Z$2:$Z$21,O271)+SUMIFS(Settings!$AA$2:$AA$21,Settings!$Y$2:$Y$21,"Someone on camera?",Settings!$Z$2:$Z$21,P271)+SUMIFS(Settings!$AA$2:$AA$21,Settings!$Y$2:$Y$21,"OK with 3-month term?",Settings!$Z$2:$Z$21,Q271)+SUMIFS(Settings!$AA$2:$AA$21,Settings!$Y$2:$Y$21,"Start timeline",Settings!$Z$2:$Z$21,R271)+SUMIFS(Settings!$AA$2:$AA$21,Settings!$Y$2:$Y$21,"Social media gap",Settings!$Z$2:$Z$21,S271)+IF(E271="",0,IF(COUNTIF(Settings!$AC$2:$AC$6,E271)&gt;0,Settings!$AA$20,Settings!$AA$21)))</f>
        <v/>
      </c>
      <c r="U271" s="44" t="str">
        <f aca="false">IF(D271="","",IF(COUNTA(N271:S271)=0,"Not scored",IF(COUNTA(N271:S271)&lt;6,"Partly scored ("&amp;COUNTA(N271:S271)&amp;"/6)",IF(T271&gt;=Settings!$S$8,"Hot",IF(T271&gt;=Settings!$S$9,"Warm","Cold")))))</f>
        <v/>
      </c>
      <c r="V271" s="44" t="str">
        <f aca="false">IF(D271="","",IF(AND(N271="No",P271="No"),"🚩 Budget  ·  🚩 No one on camera",IF(N271="No","🚩 Budget under AED 5k",IF(P271="No","🚩 No one on camera",""))))</f>
        <v/>
      </c>
      <c r="W271" s="17"/>
      <c r="X271" s="17"/>
      <c r="Y271" s="40"/>
      <c r="Z271" s="17"/>
      <c r="AA271" s="45" t="str">
        <f aca="false">IF(OR(D271="",Y271="",OR(X271="Contract signed + paid",X271="Closed – No response",X271="Lost"),N(Z271)&gt;=Settings!$S$3),"",Y271+Settings!$S$2)</f>
        <v/>
      </c>
      <c r="AB271" s="40"/>
      <c r="AC271" s="41"/>
      <c r="AD271" s="17"/>
      <c r="AE271" s="17"/>
      <c r="AF271" s="17"/>
      <c r="AG271" s="46" t="str">
        <f aca="true">IF(OR(D271="",B271=""),"",INT(TODAY()-B271))</f>
        <v/>
      </c>
      <c r="AH271" s="44" t="str">
        <f aca="true">IF(D271="","",IF(OR(COUNTIFS(Clients!$C$2:$C$501,D271,Clients!$S$2:$S$501,"Paid")&gt;0,AND(H271&lt;&gt;"",COUNTIFS(Clients!$E$2:$E$501,H271,Clients!$S$2:$S$501,"Paid")&gt;0)),"⚠ Refunded before – no free video",IF(OR(X271="Contract signed + paid",X271="Closed – No response",X271="Lost"),"",IF(X271="","Set a stage",IF(AND(X271="Proposal sent",COUNTA(N271:S271)&lt;6),"Score this lead – proposal sent unscored",IF(N(Z271)&gt;=Settings!$S$3,"Close – 4 follow-ups sent",IF(AA271="",IF(Y271="","Make first contact",""),IF(TODAY()&gt;AA271,"OVERDUE follow-up",IF(TODAY()=AA271,"Follow up today","")))))))))</f>
        <v/>
      </c>
    </row>
    <row r="272" customFormat="false" ht="15" hidden="false" customHeight="false" outlineLevel="0" collapsed="false">
      <c r="A272" s="17"/>
      <c r="B272" s="40"/>
      <c r="C272" s="17"/>
      <c r="D272" s="17"/>
      <c r="E272" s="17"/>
      <c r="F272" s="17"/>
      <c r="G272" s="17"/>
      <c r="H272" s="42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44" t="str">
        <f aca="false">IF(OR(D272="",COUNTA(N272:S272)=0),"",SUMIFS(Settings!$AA$2:$AA$21,Settings!$Y$2:$Y$21,"Budget AED 5k+/mo?",Settings!$Z$2:$Z$21,N272)+SUMIFS(Settings!$AA$2:$AA$21,Settings!$Y$2:$Y$21,"Decision-maker?",Settings!$Z$2:$Z$21,O272)+SUMIFS(Settings!$AA$2:$AA$21,Settings!$Y$2:$Y$21,"Someone on camera?",Settings!$Z$2:$Z$21,P272)+SUMIFS(Settings!$AA$2:$AA$21,Settings!$Y$2:$Y$21,"OK with 3-month term?",Settings!$Z$2:$Z$21,Q272)+SUMIFS(Settings!$AA$2:$AA$21,Settings!$Y$2:$Y$21,"Start timeline",Settings!$Z$2:$Z$21,R272)+SUMIFS(Settings!$AA$2:$AA$21,Settings!$Y$2:$Y$21,"Social media gap",Settings!$Z$2:$Z$21,S272)+IF(E272="",0,IF(COUNTIF(Settings!$AC$2:$AC$6,E272)&gt;0,Settings!$AA$20,Settings!$AA$21)))</f>
        <v/>
      </c>
      <c r="U272" s="44" t="str">
        <f aca="false">IF(D272="","",IF(COUNTA(N272:S272)=0,"Not scored",IF(COUNTA(N272:S272)&lt;6,"Partly scored ("&amp;COUNTA(N272:S272)&amp;"/6)",IF(T272&gt;=Settings!$S$8,"Hot",IF(T272&gt;=Settings!$S$9,"Warm","Cold")))))</f>
        <v/>
      </c>
      <c r="V272" s="44" t="str">
        <f aca="false">IF(D272="","",IF(AND(N272="No",P272="No"),"🚩 Budget  ·  🚩 No one on camera",IF(N272="No","🚩 Budget under AED 5k",IF(P272="No","🚩 No one on camera",""))))</f>
        <v/>
      </c>
      <c r="W272" s="17"/>
      <c r="X272" s="17"/>
      <c r="Y272" s="40"/>
      <c r="Z272" s="17"/>
      <c r="AA272" s="45" t="str">
        <f aca="false">IF(OR(D272="",Y272="",OR(X272="Contract signed + paid",X272="Closed – No response",X272="Lost"),N(Z272)&gt;=Settings!$S$3),"",Y272+Settings!$S$2)</f>
        <v/>
      </c>
      <c r="AB272" s="40"/>
      <c r="AC272" s="41"/>
      <c r="AD272" s="17"/>
      <c r="AE272" s="17"/>
      <c r="AF272" s="17"/>
      <c r="AG272" s="46" t="str">
        <f aca="true">IF(OR(D272="",B272=""),"",INT(TODAY()-B272))</f>
        <v/>
      </c>
      <c r="AH272" s="44" t="str">
        <f aca="true">IF(D272="","",IF(OR(COUNTIFS(Clients!$C$2:$C$501,D272,Clients!$S$2:$S$501,"Paid")&gt;0,AND(H272&lt;&gt;"",COUNTIFS(Clients!$E$2:$E$501,H272,Clients!$S$2:$S$501,"Paid")&gt;0)),"⚠ Refunded before – no free video",IF(OR(X272="Contract signed + paid",X272="Closed – No response",X272="Lost"),"",IF(X272="","Set a stage",IF(AND(X272="Proposal sent",COUNTA(N272:S272)&lt;6),"Score this lead – proposal sent unscored",IF(N(Z272)&gt;=Settings!$S$3,"Close – 4 follow-ups sent",IF(AA272="",IF(Y272="","Make first contact",""),IF(TODAY()&gt;AA272,"OVERDUE follow-up",IF(TODAY()=AA272,"Follow up today","")))))))))</f>
        <v/>
      </c>
    </row>
    <row r="273" customFormat="false" ht="15" hidden="false" customHeight="false" outlineLevel="0" collapsed="false">
      <c r="A273" s="17"/>
      <c r="B273" s="40"/>
      <c r="C273" s="17"/>
      <c r="D273" s="17"/>
      <c r="E273" s="17"/>
      <c r="F273" s="17"/>
      <c r="G273" s="17"/>
      <c r="H273" s="42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44" t="str">
        <f aca="false">IF(OR(D273="",COUNTA(N273:S273)=0),"",SUMIFS(Settings!$AA$2:$AA$21,Settings!$Y$2:$Y$21,"Budget AED 5k+/mo?",Settings!$Z$2:$Z$21,N273)+SUMIFS(Settings!$AA$2:$AA$21,Settings!$Y$2:$Y$21,"Decision-maker?",Settings!$Z$2:$Z$21,O273)+SUMIFS(Settings!$AA$2:$AA$21,Settings!$Y$2:$Y$21,"Someone on camera?",Settings!$Z$2:$Z$21,P273)+SUMIFS(Settings!$AA$2:$AA$21,Settings!$Y$2:$Y$21,"OK with 3-month term?",Settings!$Z$2:$Z$21,Q273)+SUMIFS(Settings!$AA$2:$AA$21,Settings!$Y$2:$Y$21,"Start timeline",Settings!$Z$2:$Z$21,R273)+SUMIFS(Settings!$AA$2:$AA$21,Settings!$Y$2:$Y$21,"Social media gap",Settings!$Z$2:$Z$21,S273)+IF(E273="",0,IF(COUNTIF(Settings!$AC$2:$AC$6,E273)&gt;0,Settings!$AA$20,Settings!$AA$21)))</f>
        <v/>
      </c>
      <c r="U273" s="44" t="str">
        <f aca="false">IF(D273="","",IF(COUNTA(N273:S273)=0,"Not scored",IF(COUNTA(N273:S273)&lt;6,"Partly scored ("&amp;COUNTA(N273:S273)&amp;"/6)",IF(T273&gt;=Settings!$S$8,"Hot",IF(T273&gt;=Settings!$S$9,"Warm","Cold")))))</f>
        <v/>
      </c>
      <c r="V273" s="44" t="str">
        <f aca="false">IF(D273="","",IF(AND(N273="No",P273="No"),"🚩 Budget  ·  🚩 No one on camera",IF(N273="No","🚩 Budget under AED 5k",IF(P273="No","🚩 No one on camera",""))))</f>
        <v/>
      </c>
      <c r="W273" s="17"/>
      <c r="X273" s="17"/>
      <c r="Y273" s="40"/>
      <c r="Z273" s="17"/>
      <c r="AA273" s="45" t="str">
        <f aca="false">IF(OR(D273="",Y273="",OR(X273="Contract signed + paid",X273="Closed – No response",X273="Lost"),N(Z273)&gt;=Settings!$S$3),"",Y273+Settings!$S$2)</f>
        <v/>
      </c>
      <c r="AB273" s="40"/>
      <c r="AC273" s="41"/>
      <c r="AD273" s="17"/>
      <c r="AE273" s="17"/>
      <c r="AF273" s="17"/>
      <c r="AG273" s="46" t="str">
        <f aca="true">IF(OR(D273="",B273=""),"",INT(TODAY()-B273))</f>
        <v/>
      </c>
      <c r="AH273" s="44" t="str">
        <f aca="true">IF(D273="","",IF(OR(COUNTIFS(Clients!$C$2:$C$501,D273,Clients!$S$2:$S$501,"Paid")&gt;0,AND(H273&lt;&gt;"",COUNTIFS(Clients!$E$2:$E$501,H273,Clients!$S$2:$S$501,"Paid")&gt;0)),"⚠ Refunded before – no free video",IF(OR(X273="Contract signed + paid",X273="Closed – No response",X273="Lost"),"",IF(X273="","Set a stage",IF(AND(X273="Proposal sent",COUNTA(N273:S273)&lt;6),"Score this lead – proposal sent unscored",IF(N(Z273)&gt;=Settings!$S$3,"Close – 4 follow-ups sent",IF(AA273="",IF(Y273="","Make first contact",""),IF(TODAY()&gt;AA273,"OVERDUE follow-up",IF(TODAY()=AA273,"Follow up today","")))))))))</f>
        <v/>
      </c>
    </row>
    <row r="274" customFormat="false" ht="15" hidden="false" customHeight="false" outlineLevel="0" collapsed="false">
      <c r="A274" s="17"/>
      <c r="B274" s="40"/>
      <c r="C274" s="17"/>
      <c r="D274" s="17"/>
      <c r="E274" s="17"/>
      <c r="F274" s="17"/>
      <c r="G274" s="17"/>
      <c r="H274" s="42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44" t="str">
        <f aca="false">IF(OR(D274="",COUNTA(N274:S274)=0),"",SUMIFS(Settings!$AA$2:$AA$21,Settings!$Y$2:$Y$21,"Budget AED 5k+/mo?",Settings!$Z$2:$Z$21,N274)+SUMIFS(Settings!$AA$2:$AA$21,Settings!$Y$2:$Y$21,"Decision-maker?",Settings!$Z$2:$Z$21,O274)+SUMIFS(Settings!$AA$2:$AA$21,Settings!$Y$2:$Y$21,"Someone on camera?",Settings!$Z$2:$Z$21,P274)+SUMIFS(Settings!$AA$2:$AA$21,Settings!$Y$2:$Y$21,"OK with 3-month term?",Settings!$Z$2:$Z$21,Q274)+SUMIFS(Settings!$AA$2:$AA$21,Settings!$Y$2:$Y$21,"Start timeline",Settings!$Z$2:$Z$21,R274)+SUMIFS(Settings!$AA$2:$AA$21,Settings!$Y$2:$Y$21,"Social media gap",Settings!$Z$2:$Z$21,S274)+IF(E274="",0,IF(COUNTIF(Settings!$AC$2:$AC$6,E274)&gt;0,Settings!$AA$20,Settings!$AA$21)))</f>
        <v/>
      </c>
      <c r="U274" s="44" t="str">
        <f aca="false">IF(D274="","",IF(COUNTA(N274:S274)=0,"Not scored",IF(COUNTA(N274:S274)&lt;6,"Partly scored ("&amp;COUNTA(N274:S274)&amp;"/6)",IF(T274&gt;=Settings!$S$8,"Hot",IF(T274&gt;=Settings!$S$9,"Warm","Cold")))))</f>
        <v/>
      </c>
      <c r="V274" s="44" t="str">
        <f aca="false">IF(D274="","",IF(AND(N274="No",P274="No"),"🚩 Budget  ·  🚩 No one on camera",IF(N274="No","🚩 Budget under AED 5k",IF(P274="No","🚩 No one on camera",""))))</f>
        <v/>
      </c>
      <c r="W274" s="17"/>
      <c r="X274" s="17"/>
      <c r="Y274" s="40"/>
      <c r="Z274" s="17"/>
      <c r="AA274" s="45" t="str">
        <f aca="false">IF(OR(D274="",Y274="",OR(X274="Contract signed + paid",X274="Closed – No response",X274="Lost"),N(Z274)&gt;=Settings!$S$3),"",Y274+Settings!$S$2)</f>
        <v/>
      </c>
      <c r="AB274" s="40"/>
      <c r="AC274" s="41"/>
      <c r="AD274" s="17"/>
      <c r="AE274" s="17"/>
      <c r="AF274" s="17"/>
      <c r="AG274" s="46" t="str">
        <f aca="true">IF(OR(D274="",B274=""),"",INT(TODAY()-B274))</f>
        <v/>
      </c>
      <c r="AH274" s="44" t="str">
        <f aca="true">IF(D274="","",IF(OR(COUNTIFS(Clients!$C$2:$C$501,D274,Clients!$S$2:$S$501,"Paid")&gt;0,AND(H274&lt;&gt;"",COUNTIFS(Clients!$E$2:$E$501,H274,Clients!$S$2:$S$501,"Paid")&gt;0)),"⚠ Refunded before – no free video",IF(OR(X274="Contract signed + paid",X274="Closed – No response",X274="Lost"),"",IF(X274="","Set a stage",IF(AND(X274="Proposal sent",COUNTA(N274:S274)&lt;6),"Score this lead – proposal sent unscored",IF(N(Z274)&gt;=Settings!$S$3,"Close – 4 follow-ups sent",IF(AA274="",IF(Y274="","Make first contact",""),IF(TODAY()&gt;AA274,"OVERDUE follow-up",IF(TODAY()=AA274,"Follow up today","")))))))))</f>
        <v/>
      </c>
    </row>
    <row r="275" customFormat="false" ht="15" hidden="false" customHeight="false" outlineLevel="0" collapsed="false">
      <c r="A275" s="17"/>
      <c r="B275" s="40"/>
      <c r="C275" s="17"/>
      <c r="D275" s="17"/>
      <c r="E275" s="17"/>
      <c r="F275" s="17"/>
      <c r="G275" s="17"/>
      <c r="H275" s="42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44" t="str">
        <f aca="false">IF(OR(D275="",COUNTA(N275:S275)=0),"",SUMIFS(Settings!$AA$2:$AA$21,Settings!$Y$2:$Y$21,"Budget AED 5k+/mo?",Settings!$Z$2:$Z$21,N275)+SUMIFS(Settings!$AA$2:$AA$21,Settings!$Y$2:$Y$21,"Decision-maker?",Settings!$Z$2:$Z$21,O275)+SUMIFS(Settings!$AA$2:$AA$21,Settings!$Y$2:$Y$21,"Someone on camera?",Settings!$Z$2:$Z$21,P275)+SUMIFS(Settings!$AA$2:$AA$21,Settings!$Y$2:$Y$21,"OK with 3-month term?",Settings!$Z$2:$Z$21,Q275)+SUMIFS(Settings!$AA$2:$AA$21,Settings!$Y$2:$Y$21,"Start timeline",Settings!$Z$2:$Z$21,R275)+SUMIFS(Settings!$AA$2:$AA$21,Settings!$Y$2:$Y$21,"Social media gap",Settings!$Z$2:$Z$21,S275)+IF(E275="",0,IF(COUNTIF(Settings!$AC$2:$AC$6,E275)&gt;0,Settings!$AA$20,Settings!$AA$21)))</f>
        <v/>
      </c>
      <c r="U275" s="44" t="str">
        <f aca="false">IF(D275="","",IF(COUNTA(N275:S275)=0,"Not scored",IF(COUNTA(N275:S275)&lt;6,"Partly scored ("&amp;COUNTA(N275:S275)&amp;"/6)",IF(T275&gt;=Settings!$S$8,"Hot",IF(T275&gt;=Settings!$S$9,"Warm","Cold")))))</f>
        <v/>
      </c>
      <c r="V275" s="44" t="str">
        <f aca="false">IF(D275="","",IF(AND(N275="No",P275="No"),"🚩 Budget  ·  🚩 No one on camera",IF(N275="No","🚩 Budget under AED 5k",IF(P275="No","🚩 No one on camera",""))))</f>
        <v/>
      </c>
      <c r="W275" s="17"/>
      <c r="X275" s="17"/>
      <c r="Y275" s="40"/>
      <c r="Z275" s="17"/>
      <c r="AA275" s="45" t="str">
        <f aca="false">IF(OR(D275="",Y275="",OR(X275="Contract signed + paid",X275="Closed – No response",X275="Lost"),N(Z275)&gt;=Settings!$S$3),"",Y275+Settings!$S$2)</f>
        <v/>
      </c>
      <c r="AB275" s="40"/>
      <c r="AC275" s="41"/>
      <c r="AD275" s="17"/>
      <c r="AE275" s="17"/>
      <c r="AF275" s="17"/>
      <c r="AG275" s="46" t="str">
        <f aca="true">IF(OR(D275="",B275=""),"",INT(TODAY()-B275))</f>
        <v/>
      </c>
      <c r="AH275" s="44" t="str">
        <f aca="true">IF(D275="","",IF(OR(COUNTIFS(Clients!$C$2:$C$501,D275,Clients!$S$2:$S$501,"Paid")&gt;0,AND(H275&lt;&gt;"",COUNTIFS(Clients!$E$2:$E$501,H275,Clients!$S$2:$S$501,"Paid")&gt;0)),"⚠ Refunded before – no free video",IF(OR(X275="Contract signed + paid",X275="Closed – No response",X275="Lost"),"",IF(X275="","Set a stage",IF(AND(X275="Proposal sent",COUNTA(N275:S275)&lt;6),"Score this lead – proposal sent unscored",IF(N(Z275)&gt;=Settings!$S$3,"Close – 4 follow-ups sent",IF(AA275="",IF(Y275="","Make first contact",""),IF(TODAY()&gt;AA275,"OVERDUE follow-up",IF(TODAY()=AA275,"Follow up today","")))))))))</f>
        <v/>
      </c>
    </row>
    <row r="276" customFormat="false" ht="15" hidden="false" customHeight="false" outlineLevel="0" collapsed="false">
      <c r="A276" s="17"/>
      <c r="B276" s="40"/>
      <c r="C276" s="17"/>
      <c r="D276" s="17"/>
      <c r="E276" s="17"/>
      <c r="F276" s="17"/>
      <c r="G276" s="17"/>
      <c r="H276" s="42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44" t="str">
        <f aca="false">IF(OR(D276="",COUNTA(N276:S276)=0),"",SUMIFS(Settings!$AA$2:$AA$21,Settings!$Y$2:$Y$21,"Budget AED 5k+/mo?",Settings!$Z$2:$Z$21,N276)+SUMIFS(Settings!$AA$2:$AA$21,Settings!$Y$2:$Y$21,"Decision-maker?",Settings!$Z$2:$Z$21,O276)+SUMIFS(Settings!$AA$2:$AA$21,Settings!$Y$2:$Y$21,"Someone on camera?",Settings!$Z$2:$Z$21,P276)+SUMIFS(Settings!$AA$2:$AA$21,Settings!$Y$2:$Y$21,"OK with 3-month term?",Settings!$Z$2:$Z$21,Q276)+SUMIFS(Settings!$AA$2:$AA$21,Settings!$Y$2:$Y$21,"Start timeline",Settings!$Z$2:$Z$21,R276)+SUMIFS(Settings!$AA$2:$AA$21,Settings!$Y$2:$Y$21,"Social media gap",Settings!$Z$2:$Z$21,S276)+IF(E276="",0,IF(COUNTIF(Settings!$AC$2:$AC$6,E276)&gt;0,Settings!$AA$20,Settings!$AA$21)))</f>
        <v/>
      </c>
      <c r="U276" s="44" t="str">
        <f aca="false">IF(D276="","",IF(COUNTA(N276:S276)=0,"Not scored",IF(COUNTA(N276:S276)&lt;6,"Partly scored ("&amp;COUNTA(N276:S276)&amp;"/6)",IF(T276&gt;=Settings!$S$8,"Hot",IF(T276&gt;=Settings!$S$9,"Warm","Cold")))))</f>
        <v/>
      </c>
      <c r="V276" s="44" t="str">
        <f aca="false">IF(D276="","",IF(AND(N276="No",P276="No"),"🚩 Budget  ·  🚩 No one on camera",IF(N276="No","🚩 Budget under AED 5k",IF(P276="No","🚩 No one on camera",""))))</f>
        <v/>
      </c>
      <c r="W276" s="17"/>
      <c r="X276" s="17"/>
      <c r="Y276" s="40"/>
      <c r="Z276" s="17"/>
      <c r="AA276" s="45" t="str">
        <f aca="false">IF(OR(D276="",Y276="",OR(X276="Contract signed + paid",X276="Closed – No response",X276="Lost"),N(Z276)&gt;=Settings!$S$3),"",Y276+Settings!$S$2)</f>
        <v/>
      </c>
      <c r="AB276" s="40"/>
      <c r="AC276" s="41"/>
      <c r="AD276" s="17"/>
      <c r="AE276" s="17"/>
      <c r="AF276" s="17"/>
      <c r="AG276" s="46" t="str">
        <f aca="true">IF(OR(D276="",B276=""),"",INT(TODAY()-B276))</f>
        <v/>
      </c>
      <c r="AH276" s="44" t="str">
        <f aca="true">IF(D276="","",IF(OR(COUNTIFS(Clients!$C$2:$C$501,D276,Clients!$S$2:$S$501,"Paid")&gt;0,AND(H276&lt;&gt;"",COUNTIFS(Clients!$E$2:$E$501,H276,Clients!$S$2:$S$501,"Paid")&gt;0)),"⚠ Refunded before – no free video",IF(OR(X276="Contract signed + paid",X276="Closed – No response",X276="Lost"),"",IF(X276="","Set a stage",IF(AND(X276="Proposal sent",COUNTA(N276:S276)&lt;6),"Score this lead – proposal sent unscored",IF(N(Z276)&gt;=Settings!$S$3,"Close – 4 follow-ups sent",IF(AA276="",IF(Y276="","Make first contact",""),IF(TODAY()&gt;AA276,"OVERDUE follow-up",IF(TODAY()=AA276,"Follow up today","")))))))))</f>
        <v/>
      </c>
    </row>
    <row r="277" customFormat="false" ht="15" hidden="false" customHeight="false" outlineLevel="0" collapsed="false">
      <c r="A277" s="17"/>
      <c r="B277" s="40"/>
      <c r="C277" s="17"/>
      <c r="D277" s="17"/>
      <c r="E277" s="17"/>
      <c r="F277" s="17"/>
      <c r="G277" s="17"/>
      <c r="H277" s="42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44" t="str">
        <f aca="false">IF(OR(D277="",COUNTA(N277:S277)=0),"",SUMIFS(Settings!$AA$2:$AA$21,Settings!$Y$2:$Y$21,"Budget AED 5k+/mo?",Settings!$Z$2:$Z$21,N277)+SUMIFS(Settings!$AA$2:$AA$21,Settings!$Y$2:$Y$21,"Decision-maker?",Settings!$Z$2:$Z$21,O277)+SUMIFS(Settings!$AA$2:$AA$21,Settings!$Y$2:$Y$21,"Someone on camera?",Settings!$Z$2:$Z$21,P277)+SUMIFS(Settings!$AA$2:$AA$21,Settings!$Y$2:$Y$21,"OK with 3-month term?",Settings!$Z$2:$Z$21,Q277)+SUMIFS(Settings!$AA$2:$AA$21,Settings!$Y$2:$Y$21,"Start timeline",Settings!$Z$2:$Z$21,R277)+SUMIFS(Settings!$AA$2:$AA$21,Settings!$Y$2:$Y$21,"Social media gap",Settings!$Z$2:$Z$21,S277)+IF(E277="",0,IF(COUNTIF(Settings!$AC$2:$AC$6,E277)&gt;0,Settings!$AA$20,Settings!$AA$21)))</f>
        <v/>
      </c>
      <c r="U277" s="44" t="str">
        <f aca="false">IF(D277="","",IF(COUNTA(N277:S277)=0,"Not scored",IF(COUNTA(N277:S277)&lt;6,"Partly scored ("&amp;COUNTA(N277:S277)&amp;"/6)",IF(T277&gt;=Settings!$S$8,"Hot",IF(T277&gt;=Settings!$S$9,"Warm","Cold")))))</f>
        <v/>
      </c>
      <c r="V277" s="44" t="str">
        <f aca="false">IF(D277="","",IF(AND(N277="No",P277="No"),"🚩 Budget  ·  🚩 No one on camera",IF(N277="No","🚩 Budget under AED 5k",IF(P277="No","🚩 No one on camera",""))))</f>
        <v/>
      </c>
      <c r="W277" s="17"/>
      <c r="X277" s="17"/>
      <c r="Y277" s="40"/>
      <c r="Z277" s="17"/>
      <c r="AA277" s="45" t="str">
        <f aca="false">IF(OR(D277="",Y277="",OR(X277="Contract signed + paid",X277="Closed – No response",X277="Lost"),N(Z277)&gt;=Settings!$S$3),"",Y277+Settings!$S$2)</f>
        <v/>
      </c>
      <c r="AB277" s="40"/>
      <c r="AC277" s="41"/>
      <c r="AD277" s="17"/>
      <c r="AE277" s="17"/>
      <c r="AF277" s="17"/>
      <c r="AG277" s="46" t="str">
        <f aca="true">IF(OR(D277="",B277=""),"",INT(TODAY()-B277))</f>
        <v/>
      </c>
      <c r="AH277" s="44" t="str">
        <f aca="true">IF(D277="","",IF(OR(COUNTIFS(Clients!$C$2:$C$501,D277,Clients!$S$2:$S$501,"Paid")&gt;0,AND(H277&lt;&gt;"",COUNTIFS(Clients!$E$2:$E$501,H277,Clients!$S$2:$S$501,"Paid")&gt;0)),"⚠ Refunded before – no free video",IF(OR(X277="Contract signed + paid",X277="Closed – No response",X277="Lost"),"",IF(X277="","Set a stage",IF(AND(X277="Proposal sent",COUNTA(N277:S277)&lt;6),"Score this lead – proposal sent unscored",IF(N(Z277)&gt;=Settings!$S$3,"Close – 4 follow-ups sent",IF(AA277="",IF(Y277="","Make first contact",""),IF(TODAY()&gt;AA277,"OVERDUE follow-up",IF(TODAY()=AA277,"Follow up today","")))))))))</f>
        <v/>
      </c>
    </row>
    <row r="278" customFormat="false" ht="15" hidden="false" customHeight="false" outlineLevel="0" collapsed="false">
      <c r="A278" s="17"/>
      <c r="B278" s="40"/>
      <c r="C278" s="17"/>
      <c r="D278" s="17"/>
      <c r="E278" s="17"/>
      <c r="F278" s="17"/>
      <c r="G278" s="17"/>
      <c r="H278" s="42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44" t="str">
        <f aca="false">IF(OR(D278="",COUNTA(N278:S278)=0),"",SUMIFS(Settings!$AA$2:$AA$21,Settings!$Y$2:$Y$21,"Budget AED 5k+/mo?",Settings!$Z$2:$Z$21,N278)+SUMIFS(Settings!$AA$2:$AA$21,Settings!$Y$2:$Y$21,"Decision-maker?",Settings!$Z$2:$Z$21,O278)+SUMIFS(Settings!$AA$2:$AA$21,Settings!$Y$2:$Y$21,"Someone on camera?",Settings!$Z$2:$Z$21,P278)+SUMIFS(Settings!$AA$2:$AA$21,Settings!$Y$2:$Y$21,"OK with 3-month term?",Settings!$Z$2:$Z$21,Q278)+SUMIFS(Settings!$AA$2:$AA$21,Settings!$Y$2:$Y$21,"Start timeline",Settings!$Z$2:$Z$21,R278)+SUMIFS(Settings!$AA$2:$AA$21,Settings!$Y$2:$Y$21,"Social media gap",Settings!$Z$2:$Z$21,S278)+IF(E278="",0,IF(COUNTIF(Settings!$AC$2:$AC$6,E278)&gt;0,Settings!$AA$20,Settings!$AA$21)))</f>
        <v/>
      </c>
      <c r="U278" s="44" t="str">
        <f aca="false">IF(D278="","",IF(COUNTA(N278:S278)=0,"Not scored",IF(COUNTA(N278:S278)&lt;6,"Partly scored ("&amp;COUNTA(N278:S278)&amp;"/6)",IF(T278&gt;=Settings!$S$8,"Hot",IF(T278&gt;=Settings!$S$9,"Warm","Cold")))))</f>
        <v/>
      </c>
      <c r="V278" s="44" t="str">
        <f aca="false">IF(D278="","",IF(AND(N278="No",P278="No"),"🚩 Budget  ·  🚩 No one on camera",IF(N278="No","🚩 Budget under AED 5k",IF(P278="No","🚩 No one on camera",""))))</f>
        <v/>
      </c>
      <c r="W278" s="17"/>
      <c r="X278" s="17"/>
      <c r="Y278" s="40"/>
      <c r="Z278" s="17"/>
      <c r="AA278" s="45" t="str">
        <f aca="false">IF(OR(D278="",Y278="",OR(X278="Contract signed + paid",X278="Closed – No response",X278="Lost"),N(Z278)&gt;=Settings!$S$3),"",Y278+Settings!$S$2)</f>
        <v/>
      </c>
      <c r="AB278" s="40"/>
      <c r="AC278" s="41"/>
      <c r="AD278" s="17"/>
      <c r="AE278" s="17"/>
      <c r="AF278" s="17"/>
      <c r="AG278" s="46" t="str">
        <f aca="true">IF(OR(D278="",B278=""),"",INT(TODAY()-B278))</f>
        <v/>
      </c>
      <c r="AH278" s="44" t="str">
        <f aca="true">IF(D278="","",IF(OR(COUNTIFS(Clients!$C$2:$C$501,D278,Clients!$S$2:$S$501,"Paid")&gt;0,AND(H278&lt;&gt;"",COUNTIFS(Clients!$E$2:$E$501,H278,Clients!$S$2:$S$501,"Paid")&gt;0)),"⚠ Refunded before – no free video",IF(OR(X278="Contract signed + paid",X278="Closed – No response",X278="Lost"),"",IF(X278="","Set a stage",IF(AND(X278="Proposal sent",COUNTA(N278:S278)&lt;6),"Score this lead – proposal sent unscored",IF(N(Z278)&gt;=Settings!$S$3,"Close – 4 follow-ups sent",IF(AA278="",IF(Y278="","Make first contact",""),IF(TODAY()&gt;AA278,"OVERDUE follow-up",IF(TODAY()=AA278,"Follow up today","")))))))))</f>
        <v/>
      </c>
    </row>
    <row r="279" customFormat="false" ht="15" hidden="false" customHeight="false" outlineLevel="0" collapsed="false">
      <c r="A279" s="17"/>
      <c r="B279" s="40"/>
      <c r="C279" s="17"/>
      <c r="D279" s="17"/>
      <c r="E279" s="17"/>
      <c r="F279" s="17"/>
      <c r="G279" s="17"/>
      <c r="H279" s="42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44" t="str">
        <f aca="false">IF(OR(D279="",COUNTA(N279:S279)=0),"",SUMIFS(Settings!$AA$2:$AA$21,Settings!$Y$2:$Y$21,"Budget AED 5k+/mo?",Settings!$Z$2:$Z$21,N279)+SUMIFS(Settings!$AA$2:$AA$21,Settings!$Y$2:$Y$21,"Decision-maker?",Settings!$Z$2:$Z$21,O279)+SUMIFS(Settings!$AA$2:$AA$21,Settings!$Y$2:$Y$21,"Someone on camera?",Settings!$Z$2:$Z$21,P279)+SUMIFS(Settings!$AA$2:$AA$21,Settings!$Y$2:$Y$21,"OK with 3-month term?",Settings!$Z$2:$Z$21,Q279)+SUMIFS(Settings!$AA$2:$AA$21,Settings!$Y$2:$Y$21,"Start timeline",Settings!$Z$2:$Z$21,R279)+SUMIFS(Settings!$AA$2:$AA$21,Settings!$Y$2:$Y$21,"Social media gap",Settings!$Z$2:$Z$21,S279)+IF(E279="",0,IF(COUNTIF(Settings!$AC$2:$AC$6,E279)&gt;0,Settings!$AA$20,Settings!$AA$21)))</f>
        <v/>
      </c>
      <c r="U279" s="44" t="str">
        <f aca="false">IF(D279="","",IF(COUNTA(N279:S279)=0,"Not scored",IF(COUNTA(N279:S279)&lt;6,"Partly scored ("&amp;COUNTA(N279:S279)&amp;"/6)",IF(T279&gt;=Settings!$S$8,"Hot",IF(T279&gt;=Settings!$S$9,"Warm","Cold")))))</f>
        <v/>
      </c>
      <c r="V279" s="44" t="str">
        <f aca="false">IF(D279="","",IF(AND(N279="No",P279="No"),"🚩 Budget  ·  🚩 No one on camera",IF(N279="No","🚩 Budget under AED 5k",IF(P279="No","🚩 No one on camera",""))))</f>
        <v/>
      </c>
      <c r="W279" s="17"/>
      <c r="X279" s="17"/>
      <c r="Y279" s="40"/>
      <c r="Z279" s="17"/>
      <c r="AA279" s="45" t="str">
        <f aca="false">IF(OR(D279="",Y279="",OR(X279="Contract signed + paid",X279="Closed – No response",X279="Lost"),N(Z279)&gt;=Settings!$S$3),"",Y279+Settings!$S$2)</f>
        <v/>
      </c>
      <c r="AB279" s="40"/>
      <c r="AC279" s="41"/>
      <c r="AD279" s="17"/>
      <c r="AE279" s="17"/>
      <c r="AF279" s="17"/>
      <c r="AG279" s="46" t="str">
        <f aca="true">IF(OR(D279="",B279=""),"",INT(TODAY()-B279))</f>
        <v/>
      </c>
      <c r="AH279" s="44" t="str">
        <f aca="true">IF(D279="","",IF(OR(COUNTIFS(Clients!$C$2:$C$501,D279,Clients!$S$2:$S$501,"Paid")&gt;0,AND(H279&lt;&gt;"",COUNTIFS(Clients!$E$2:$E$501,H279,Clients!$S$2:$S$501,"Paid")&gt;0)),"⚠ Refunded before – no free video",IF(OR(X279="Contract signed + paid",X279="Closed – No response",X279="Lost"),"",IF(X279="","Set a stage",IF(AND(X279="Proposal sent",COUNTA(N279:S279)&lt;6),"Score this lead – proposal sent unscored",IF(N(Z279)&gt;=Settings!$S$3,"Close – 4 follow-ups sent",IF(AA279="",IF(Y279="","Make first contact",""),IF(TODAY()&gt;AA279,"OVERDUE follow-up",IF(TODAY()=AA279,"Follow up today","")))))))))</f>
        <v/>
      </c>
    </row>
    <row r="280" customFormat="false" ht="15" hidden="false" customHeight="false" outlineLevel="0" collapsed="false">
      <c r="A280" s="17"/>
      <c r="B280" s="40"/>
      <c r="C280" s="17"/>
      <c r="D280" s="17"/>
      <c r="E280" s="17"/>
      <c r="F280" s="17"/>
      <c r="G280" s="17"/>
      <c r="H280" s="42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44" t="str">
        <f aca="false">IF(OR(D280="",COUNTA(N280:S280)=0),"",SUMIFS(Settings!$AA$2:$AA$21,Settings!$Y$2:$Y$21,"Budget AED 5k+/mo?",Settings!$Z$2:$Z$21,N280)+SUMIFS(Settings!$AA$2:$AA$21,Settings!$Y$2:$Y$21,"Decision-maker?",Settings!$Z$2:$Z$21,O280)+SUMIFS(Settings!$AA$2:$AA$21,Settings!$Y$2:$Y$21,"Someone on camera?",Settings!$Z$2:$Z$21,P280)+SUMIFS(Settings!$AA$2:$AA$21,Settings!$Y$2:$Y$21,"OK with 3-month term?",Settings!$Z$2:$Z$21,Q280)+SUMIFS(Settings!$AA$2:$AA$21,Settings!$Y$2:$Y$21,"Start timeline",Settings!$Z$2:$Z$21,R280)+SUMIFS(Settings!$AA$2:$AA$21,Settings!$Y$2:$Y$21,"Social media gap",Settings!$Z$2:$Z$21,S280)+IF(E280="",0,IF(COUNTIF(Settings!$AC$2:$AC$6,E280)&gt;0,Settings!$AA$20,Settings!$AA$21)))</f>
        <v/>
      </c>
      <c r="U280" s="44" t="str">
        <f aca="false">IF(D280="","",IF(COUNTA(N280:S280)=0,"Not scored",IF(COUNTA(N280:S280)&lt;6,"Partly scored ("&amp;COUNTA(N280:S280)&amp;"/6)",IF(T280&gt;=Settings!$S$8,"Hot",IF(T280&gt;=Settings!$S$9,"Warm","Cold")))))</f>
        <v/>
      </c>
      <c r="V280" s="44" t="str">
        <f aca="false">IF(D280="","",IF(AND(N280="No",P280="No"),"🚩 Budget  ·  🚩 No one on camera",IF(N280="No","🚩 Budget under AED 5k",IF(P280="No","🚩 No one on camera",""))))</f>
        <v/>
      </c>
      <c r="W280" s="17"/>
      <c r="X280" s="17"/>
      <c r="Y280" s="40"/>
      <c r="Z280" s="17"/>
      <c r="AA280" s="45" t="str">
        <f aca="false">IF(OR(D280="",Y280="",OR(X280="Contract signed + paid",X280="Closed – No response",X280="Lost"),N(Z280)&gt;=Settings!$S$3),"",Y280+Settings!$S$2)</f>
        <v/>
      </c>
      <c r="AB280" s="40"/>
      <c r="AC280" s="41"/>
      <c r="AD280" s="17"/>
      <c r="AE280" s="17"/>
      <c r="AF280" s="17"/>
      <c r="AG280" s="46" t="str">
        <f aca="true">IF(OR(D280="",B280=""),"",INT(TODAY()-B280))</f>
        <v/>
      </c>
      <c r="AH280" s="44" t="str">
        <f aca="true">IF(D280="","",IF(OR(COUNTIFS(Clients!$C$2:$C$501,D280,Clients!$S$2:$S$501,"Paid")&gt;0,AND(H280&lt;&gt;"",COUNTIFS(Clients!$E$2:$E$501,H280,Clients!$S$2:$S$501,"Paid")&gt;0)),"⚠ Refunded before – no free video",IF(OR(X280="Contract signed + paid",X280="Closed – No response",X280="Lost"),"",IF(X280="","Set a stage",IF(AND(X280="Proposal sent",COUNTA(N280:S280)&lt;6),"Score this lead – proposal sent unscored",IF(N(Z280)&gt;=Settings!$S$3,"Close – 4 follow-ups sent",IF(AA280="",IF(Y280="","Make first contact",""),IF(TODAY()&gt;AA280,"OVERDUE follow-up",IF(TODAY()=AA280,"Follow up today","")))))))))</f>
        <v/>
      </c>
    </row>
    <row r="281" customFormat="false" ht="15" hidden="false" customHeight="false" outlineLevel="0" collapsed="false">
      <c r="A281" s="17"/>
      <c r="B281" s="40"/>
      <c r="C281" s="17"/>
      <c r="D281" s="17"/>
      <c r="E281" s="17"/>
      <c r="F281" s="17"/>
      <c r="G281" s="17"/>
      <c r="H281" s="42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44" t="str">
        <f aca="false">IF(OR(D281="",COUNTA(N281:S281)=0),"",SUMIFS(Settings!$AA$2:$AA$21,Settings!$Y$2:$Y$21,"Budget AED 5k+/mo?",Settings!$Z$2:$Z$21,N281)+SUMIFS(Settings!$AA$2:$AA$21,Settings!$Y$2:$Y$21,"Decision-maker?",Settings!$Z$2:$Z$21,O281)+SUMIFS(Settings!$AA$2:$AA$21,Settings!$Y$2:$Y$21,"Someone on camera?",Settings!$Z$2:$Z$21,P281)+SUMIFS(Settings!$AA$2:$AA$21,Settings!$Y$2:$Y$21,"OK with 3-month term?",Settings!$Z$2:$Z$21,Q281)+SUMIFS(Settings!$AA$2:$AA$21,Settings!$Y$2:$Y$21,"Start timeline",Settings!$Z$2:$Z$21,R281)+SUMIFS(Settings!$AA$2:$AA$21,Settings!$Y$2:$Y$21,"Social media gap",Settings!$Z$2:$Z$21,S281)+IF(E281="",0,IF(COUNTIF(Settings!$AC$2:$AC$6,E281)&gt;0,Settings!$AA$20,Settings!$AA$21)))</f>
        <v/>
      </c>
      <c r="U281" s="44" t="str">
        <f aca="false">IF(D281="","",IF(COUNTA(N281:S281)=0,"Not scored",IF(COUNTA(N281:S281)&lt;6,"Partly scored ("&amp;COUNTA(N281:S281)&amp;"/6)",IF(T281&gt;=Settings!$S$8,"Hot",IF(T281&gt;=Settings!$S$9,"Warm","Cold")))))</f>
        <v/>
      </c>
      <c r="V281" s="44" t="str">
        <f aca="false">IF(D281="","",IF(AND(N281="No",P281="No"),"🚩 Budget  ·  🚩 No one on camera",IF(N281="No","🚩 Budget under AED 5k",IF(P281="No","🚩 No one on camera",""))))</f>
        <v/>
      </c>
      <c r="W281" s="17"/>
      <c r="X281" s="17"/>
      <c r="Y281" s="40"/>
      <c r="Z281" s="17"/>
      <c r="AA281" s="45" t="str">
        <f aca="false">IF(OR(D281="",Y281="",OR(X281="Contract signed + paid",X281="Closed – No response",X281="Lost"),N(Z281)&gt;=Settings!$S$3),"",Y281+Settings!$S$2)</f>
        <v/>
      </c>
      <c r="AB281" s="40"/>
      <c r="AC281" s="41"/>
      <c r="AD281" s="17"/>
      <c r="AE281" s="17"/>
      <c r="AF281" s="17"/>
      <c r="AG281" s="46" t="str">
        <f aca="true">IF(OR(D281="",B281=""),"",INT(TODAY()-B281))</f>
        <v/>
      </c>
      <c r="AH281" s="44" t="str">
        <f aca="true">IF(D281="","",IF(OR(COUNTIFS(Clients!$C$2:$C$501,D281,Clients!$S$2:$S$501,"Paid")&gt;0,AND(H281&lt;&gt;"",COUNTIFS(Clients!$E$2:$E$501,H281,Clients!$S$2:$S$501,"Paid")&gt;0)),"⚠ Refunded before – no free video",IF(OR(X281="Contract signed + paid",X281="Closed – No response",X281="Lost"),"",IF(X281="","Set a stage",IF(AND(X281="Proposal sent",COUNTA(N281:S281)&lt;6),"Score this lead – proposal sent unscored",IF(N(Z281)&gt;=Settings!$S$3,"Close – 4 follow-ups sent",IF(AA281="",IF(Y281="","Make first contact",""),IF(TODAY()&gt;AA281,"OVERDUE follow-up",IF(TODAY()=AA281,"Follow up today","")))))))))</f>
        <v/>
      </c>
    </row>
    <row r="282" customFormat="false" ht="15" hidden="false" customHeight="false" outlineLevel="0" collapsed="false">
      <c r="A282" s="17"/>
      <c r="B282" s="40"/>
      <c r="C282" s="17"/>
      <c r="D282" s="17"/>
      <c r="E282" s="17"/>
      <c r="F282" s="17"/>
      <c r="G282" s="17"/>
      <c r="H282" s="42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44" t="str">
        <f aca="false">IF(OR(D282="",COUNTA(N282:S282)=0),"",SUMIFS(Settings!$AA$2:$AA$21,Settings!$Y$2:$Y$21,"Budget AED 5k+/mo?",Settings!$Z$2:$Z$21,N282)+SUMIFS(Settings!$AA$2:$AA$21,Settings!$Y$2:$Y$21,"Decision-maker?",Settings!$Z$2:$Z$21,O282)+SUMIFS(Settings!$AA$2:$AA$21,Settings!$Y$2:$Y$21,"Someone on camera?",Settings!$Z$2:$Z$21,P282)+SUMIFS(Settings!$AA$2:$AA$21,Settings!$Y$2:$Y$21,"OK with 3-month term?",Settings!$Z$2:$Z$21,Q282)+SUMIFS(Settings!$AA$2:$AA$21,Settings!$Y$2:$Y$21,"Start timeline",Settings!$Z$2:$Z$21,R282)+SUMIFS(Settings!$AA$2:$AA$21,Settings!$Y$2:$Y$21,"Social media gap",Settings!$Z$2:$Z$21,S282)+IF(E282="",0,IF(COUNTIF(Settings!$AC$2:$AC$6,E282)&gt;0,Settings!$AA$20,Settings!$AA$21)))</f>
        <v/>
      </c>
      <c r="U282" s="44" t="str">
        <f aca="false">IF(D282="","",IF(COUNTA(N282:S282)=0,"Not scored",IF(COUNTA(N282:S282)&lt;6,"Partly scored ("&amp;COUNTA(N282:S282)&amp;"/6)",IF(T282&gt;=Settings!$S$8,"Hot",IF(T282&gt;=Settings!$S$9,"Warm","Cold")))))</f>
        <v/>
      </c>
      <c r="V282" s="44" t="str">
        <f aca="false">IF(D282="","",IF(AND(N282="No",P282="No"),"🚩 Budget  ·  🚩 No one on camera",IF(N282="No","🚩 Budget under AED 5k",IF(P282="No","🚩 No one on camera",""))))</f>
        <v/>
      </c>
      <c r="W282" s="17"/>
      <c r="X282" s="17"/>
      <c r="Y282" s="40"/>
      <c r="Z282" s="17"/>
      <c r="AA282" s="45" t="str">
        <f aca="false">IF(OR(D282="",Y282="",OR(X282="Contract signed + paid",X282="Closed – No response",X282="Lost"),N(Z282)&gt;=Settings!$S$3),"",Y282+Settings!$S$2)</f>
        <v/>
      </c>
      <c r="AB282" s="40"/>
      <c r="AC282" s="41"/>
      <c r="AD282" s="17"/>
      <c r="AE282" s="17"/>
      <c r="AF282" s="17"/>
      <c r="AG282" s="46" t="str">
        <f aca="true">IF(OR(D282="",B282=""),"",INT(TODAY()-B282))</f>
        <v/>
      </c>
      <c r="AH282" s="44" t="str">
        <f aca="true">IF(D282="","",IF(OR(COUNTIFS(Clients!$C$2:$C$501,D282,Clients!$S$2:$S$501,"Paid")&gt;0,AND(H282&lt;&gt;"",COUNTIFS(Clients!$E$2:$E$501,H282,Clients!$S$2:$S$501,"Paid")&gt;0)),"⚠ Refunded before – no free video",IF(OR(X282="Contract signed + paid",X282="Closed – No response",X282="Lost"),"",IF(X282="","Set a stage",IF(AND(X282="Proposal sent",COUNTA(N282:S282)&lt;6),"Score this lead – proposal sent unscored",IF(N(Z282)&gt;=Settings!$S$3,"Close – 4 follow-ups sent",IF(AA282="",IF(Y282="","Make first contact",""),IF(TODAY()&gt;AA282,"OVERDUE follow-up",IF(TODAY()=AA282,"Follow up today","")))))))))</f>
        <v/>
      </c>
    </row>
    <row r="283" customFormat="false" ht="15" hidden="false" customHeight="false" outlineLevel="0" collapsed="false">
      <c r="A283" s="17"/>
      <c r="B283" s="40"/>
      <c r="C283" s="17"/>
      <c r="D283" s="17"/>
      <c r="E283" s="17"/>
      <c r="F283" s="17"/>
      <c r="G283" s="17"/>
      <c r="H283" s="42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44" t="str">
        <f aca="false">IF(OR(D283="",COUNTA(N283:S283)=0),"",SUMIFS(Settings!$AA$2:$AA$21,Settings!$Y$2:$Y$21,"Budget AED 5k+/mo?",Settings!$Z$2:$Z$21,N283)+SUMIFS(Settings!$AA$2:$AA$21,Settings!$Y$2:$Y$21,"Decision-maker?",Settings!$Z$2:$Z$21,O283)+SUMIFS(Settings!$AA$2:$AA$21,Settings!$Y$2:$Y$21,"Someone on camera?",Settings!$Z$2:$Z$21,P283)+SUMIFS(Settings!$AA$2:$AA$21,Settings!$Y$2:$Y$21,"OK with 3-month term?",Settings!$Z$2:$Z$21,Q283)+SUMIFS(Settings!$AA$2:$AA$21,Settings!$Y$2:$Y$21,"Start timeline",Settings!$Z$2:$Z$21,R283)+SUMIFS(Settings!$AA$2:$AA$21,Settings!$Y$2:$Y$21,"Social media gap",Settings!$Z$2:$Z$21,S283)+IF(E283="",0,IF(COUNTIF(Settings!$AC$2:$AC$6,E283)&gt;0,Settings!$AA$20,Settings!$AA$21)))</f>
        <v/>
      </c>
      <c r="U283" s="44" t="str">
        <f aca="false">IF(D283="","",IF(COUNTA(N283:S283)=0,"Not scored",IF(COUNTA(N283:S283)&lt;6,"Partly scored ("&amp;COUNTA(N283:S283)&amp;"/6)",IF(T283&gt;=Settings!$S$8,"Hot",IF(T283&gt;=Settings!$S$9,"Warm","Cold")))))</f>
        <v/>
      </c>
      <c r="V283" s="44" t="str">
        <f aca="false">IF(D283="","",IF(AND(N283="No",P283="No"),"🚩 Budget  ·  🚩 No one on camera",IF(N283="No","🚩 Budget under AED 5k",IF(P283="No","🚩 No one on camera",""))))</f>
        <v/>
      </c>
      <c r="W283" s="17"/>
      <c r="X283" s="17"/>
      <c r="Y283" s="40"/>
      <c r="Z283" s="17"/>
      <c r="AA283" s="45" t="str">
        <f aca="false">IF(OR(D283="",Y283="",OR(X283="Contract signed + paid",X283="Closed – No response",X283="Lost"),N(Z283)&gt;=Settings!$S$3),"",Y283+Settings!$S$2)</f>
        <v/>
      </c>
      <c r="AB283" s="40"/>
      <c r="AC283" s="41"/>
      <c r="AD283" s="17"/>
      <c r="AE283" s="17"/>
      <c r="AF283" s="17"/>
      <c r="AG283" s="46" t="str">
        <f aca="true">IF(OR(D283="",B283=""),"",INT(TODAY()-B283))</f>
        <v/>
      </c>
      <c r="AH283" s="44" t="str">
        <f aca="true">IF(D283="","",IF(OR(COUNTIFS(Clients!$C$2:$C$501,D283,Clients!$S$2:$S$501,"Paid")&gt;0,AND(H283&lt;&gt;"",COUNTIFS(Clients!$E$2:$E$501,H283,Clients!$S$2:$S$501,"Paid")&gt;0)),"⚠ Refunded before – no free video",IF(OR(X283="Contract signed + paid",X283="Closed – No response",X283="Lost"),"",IF(X283="","Set a stage",IF(AND(X283="Proposal sent",COUNTA(N283:S283)&lt;6),"Score this lead – proposal sent unscored",IF(N(Z283)&gt;=Settings!$S$3,"Close – 4 follow-ups sent",IF(AA283="",IF(Y283="","Make first contact",""),IF(TODAY()&gt;AA283,"OVERDUE follow-up",IF(TODAY()=AA283,"Follow up today","")))))))))</f>
        <v/>
      </c>
    </row>
    <row r="284" customFormat="false" ht="15" hidden="false" customHeight="false" outlineLevel="0" collapsed="false">
      <c r="A284" s="17"/>
      <c r="B284" s="40"/>
      <c r="C284" s="17"/>
      <c r="D284" s="17"/>
      <c r="E284" s="17"/>
      <c r="F284" s="17"/>
      <c r="G284" s="17"/>
      <c r="H284" s="42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44" t="str">
        <f aca="false">IF(OR(D284="",COUNTA(N284:S284)=0),"",SUMIFS(Settings!$AA$2:$AA$21,Settings!$Y$2:$Y$21,"Budget AED 5k+/mo?",Settings!$Z$2:$Z$21,N284)+SUMIFS(Settings!$AA$2:$AA$21,Settings!$Y$2:$Y$21,"Decision-maker?",Settings!$Z$2:$Z$21,O284)+SUMIFS(Settings!$AA$2:$AA$21,Settings!$Y$2:$Y$21,"Someone on camera?",Settings!$Z$2:$Z$21,P284)+SUMIFS(Settings!$AA$2:$AA$21,Settings!$Y$2:$Y$21,"OK with 3-month term?",Settings!$Z$2:$Z$21,Q284)+SUMIFS(Settings!$AA$2:$AA$21,Settings!$Y$2:$Y$21,"Start timeline",Settings!$Z$2:$Z$21,R284)+SUMIFS(Settings!$AA$2:$AA$21,Settings!$Y$2:$Y$21,"Social media gap",Settings!$Z$2:$Z$21,S284)+IF(E284="",0,IF(COUNTIF(Settings!$AC$2:$AC$6,E284)&gt;0,Settings!$AA$20,Settings!$AA$21)))</f>
        <v/>
      </c>
      <c r="U284" s="44" t="str">
        <f aca="false">IF(D284="","",IF(COUNTA(N284:S284)=0,"Not scored",IF(COUNTA(N284:S284)&lt;6,"Partly scored ("&amp;COUNTA(N284:S284)&amp;"/6)",IF(T284&gt;=Settings!$S$8,"Hot",IF(T284&gt;=Settings!$S$9,"Warm","Cold")))))</f>
        <v/>
      </c>
      <c r="V284" s="44" t="str">
        <f aca="false">IF(D284="","",IF(AND(N284="No",P284="No"),"🚩 Budget  ·  🚩 No one on camera",IF(N284="No","🚩 Budget under AED 5k",IF(P284="No","🚩 No one on camera",""))))</f>
        <v/>
      </c>
      <c r="W284" s="17"/>
      <c r="X284" s="17"/>
      <c r="Y284" s="40"/>
      <c r="Z284" s="17"/>
      <c r="AA284" s="45" t="str">
        <f aca="false">IF(OR(D284="",Y284="",OR(X284="Contract signed + paid",X284="Closed – No response",X284="Lost"),N(Z284)&gt;=Settings!$S$3),"",Y284+Settings!$S$2)</f>
        <v/>
      </c>
      <c r="AB284" s="40"/>
      <c r="AC284" s="41"/>
      <c r="AD284" s="17"/>
      <c r="AE284" s="17"/>
      <c r="AF284" s="17"/>
      <c r="AG284" s="46" t="str">
        <f aca="true">IF(OR(D284="",B284=""),"",INT(TODAY()-B284))</f>
        <v/>
      </c>
      <c r="AH284" s="44" t="str">
        <f aca="true">IF(D284="","",IF(OR(COUNTIFS(Clients!$C$2:$C$501,D284,Clients!$S$2:$S$501,"Paid")&gt;0,AND(H284&lt;&gt;"",COUNTIFS(Clients!$E$2:$E$501,H284,Clients!$S$2:$S$501,"Paid")&gt;0)),"⚠ Refunded before – no free video",IF(OR(X284="Contract signed + paid",X284="Closed – No response",X284="Lost"),"",IF(X284="","Set a stage",IF(AND(X284="Proposal sent",COUNTA(N284:S284)&lt;6),"Score this lead – proposal sent unscored",IF(N(Z284)&gt;=Settings!$S$3,"Close – 4 follow-ups sent",IF(AA284="",IF(Y284="","Make first contact",""),IF(TODAY()&gt;AA284,"OVERDUE follow-up",IF(TODAY()=AA284,"Follow up today","")))))))))</f>
        <v/>
      </c>
    </row>
    <row r="285" customFormat="false" ht="15" hidden="false" customHeight="false" outlineLevel="0" collapsed="false">
      <c r="A285" s="17"/>
      <c r="B285" s="40"/>
      <c r="C285" s="17"/>
      <c r="D285" s="17"/>
      <c r="E285" s="17"/>
      <c r="F285" s="17"/>
      <c r="G285" s="17"/>
      <c r="H285" s="42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44" t="str">
        <f aca="false">IF(OR(D285="",COUNTA(N285:S285)=0),"",SUMIFS(Settings!$AA$2:$AA$21,Settings!$Y$2:$Y$21,"Budget AED 5k+/mo?",Settings!$Z$2:$Z$21,N285)+SUMIFS(Settings!$AA$2:$AA$21,Settings!$Y$2:$Y$21,"Decision-maker?",Settings!$Z$2:$Z$21,O285)+SUMIFS(Settings!$AA$2:$AA$21,Settings!$Y$2:$Y$21,"Someone on camera?",Settings!$Z$2:$Z$21,P285)+SUMIFS(Settings!$AA$2:$AA$21,Settings!$Y$2:$Y$21,"OK with 3-month term?",Settings!$Z$2:$Z$21,Q285)+SUMIFS(Settings!$AA$2:$AA$21,Settings!$Y$2:$Y$21,"Start timeline",Settings!$Z$2:$Z$21,R285)+SUMIFS(Settings!$AA$2:$AA$21,Settings!$Y$2:$Y$21,"Social media gap",Settings!$Z$2:$Z$21,S285)+IF(E285="",0,IF(COUNTIF(Settings!$AC$2:$AC$6,E285)&gt;0,Settings!$AA$20,Settings!$AA$21)))</f>
        <v/>
      </c>
      <c r="U285" s="44" t="str">
        <f aca="false">IF(D285="","",IF(COUNTA(N285:S285)=0,"Not scored",IF(COUNTA(N285:S285)&lt;6,"Partly scored ("&amp;COUNTA(N285:S285)&amp;"/6)",IF(T285&gt;=Settings!$S$8,"Hot",IF(T285&gt;=Settings!$S$9,"Warm","Cold")))))</f>
        <v/>
      </c>
      <c r="V285" s="44" t="str">
        <f aca="false">IF(D285="","",IF(AND(N285="No",P285="No"),"🚩 Budget  ·  🚩 No one on camera",IF(N285="No","🚩 Budget under AED 5k",IF(P285="No","🚩 No one on camera",""))))</f>
        <v/>
      </c>
      <c r="W285" s="17"/>
      <c r="X285" s="17"/>
      <c r="Y285" s="40"/>
      <c r="Z285" s="17"/>
      <c r="AA285" s="45" t="str">
        <f aca="false">IF(OR(D285="",Y285="",OR(X285="Contract signed + paid",X285="Closed – No response",X285="Lost"),N(Z285)&gt;=Settings!$S$3),"",Y285+Settings!$S$2)</f>
        <v/>
      </c>
      <c r="AB285" s="40"/>
      <c r="AC285" s="41"/>
      <c r="AD285" s="17"/>
      <c r="AE285" s="17"/>
      <c r="AF285" s="17"/>
      <c r="AG285" s="46" t="str">
        <f aca="true">IF(OR(D285="",B285=""),"",INT(TODAY()-B285))</f>
        <v/>
      </c>
      <c r="AH285" s="44" t="str">
        <f aca="true">IF(D285="","",IF(OR(COUNTIFS(Clients!$C$2:$C$501,D285,Clients!$S$2:$S$501,"Paid")&gt;0,AND(H285&lt;&gt;"",COUNTIFS(Clients!$E$2:$E$501,H285,Clients!$S$2:$S$501,"Paid")&gt;0)),"⚠ Refunded before – no free video",IF(OR(X285="Contract signed + paid",X285="Closed – No response",X285="Lost"),"",IF(X285="","Set a stage",IF(AND(X285="Proposal sent",COUNTA(N285:S285)&lt;6),"Score this lead – proposal sent unscored",IF(N(Z285)&gt;=Settings!$S$3,"Close – 4 follow-ups sent",IF(AA285="",IF(Y285="","Make first contact",""),IF(TODAY()&gt;AA285,"OVERDUE follow-up",IF(TODAY()=AA285,"Follow up today","")))))))))</f>
        <v/>
      </c>
    </row>
    <row r="286" customFormat="false" ht="15" hidden="false" customHeight="false" outlineLevel="0" collapsed="false">
      <c r="A286" s="17"/>
      <c r="B286" s="40"/>
      <c r="C286" s="17"/>
      <c r="D286" s="17"/>
      <c r="E286" s="17"/>
      <c r="F286" s="17"/>
      <c r="G286" s="17"/>
      <c r="H286" s="42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44" t="str">
        <f aca="false">IF(OR(D286="",COUNTA(N286:S286)=0),"",SUMIFS(Settings!$AA$2:$AA$21,Settings!$Y$2:$Y$21,"Budget AED 5k+/mo?",Settings!$Z$2:$Z$21,N286)+SUMIFS(Settings!$AA$2:$AA$21,Settings!$Y$2:$Y$21,"Decision-maker?",Settings!$Z$2:$Z$21,O286)+SUMIFS(Settings!$AA$2:$AA$21,Settings!$Y$2:$Y$21,"Someone on camera?",Settings!$Z$2:$Z$21,P286)+SUMIFS(Settings!$AA$2:$AA$21,Settings!$Y$2:$Y$21,"OK with 3-month term?",Settings!$Z$2:$Z$21,Q286)+SUMIFS(Settings!$AA$2:$AA$21,Settings!$Y$2:$Y$21,"Start timeline",Settings!$Z$2:$Z$21,R286)+SUMIFS(Settings!$AA$2:$AA$21,Settings!$Y$2:$Y$21,"Social media gap",Settings!$Z$2:$Z$21,S286)+IF(E286="",0,IF(COUNTIF(Settings!$AC$2:$AC$6,E286)&gt;0,Settings!$AA$20,Settings!$AA$21)))</f>
        <v/>
      </c>
      <c r="U286" s="44" t="str">
        <f aca="false">IF(D286="","",IF(COUNTA(N286:S286)=0,"Not scored",IF(COUNTA(N286:S286)&lt;6,"Partly scored ("&amp;COUNTA(N286:S286)&amp;"/6)",IF(T286&gt;=Settings!$S$8,"Hot",IF(T286&gt;=Settings!$S$9,"Warm","Cold")))))</f>
        <v/>
      </c>
      <c r="V286" s="44" t="str">
        <f aca="false">IF(D286="","",IF(AND(N286="No",P286="No"),"🚩 Budget  ·  🚩 No one on camera",IF(N286="No","🚩 Budget under AED 5k",IF(P286="No","🚩 No one on camera",""))))</f>
        <v/>
      </c>
      <c r="W286" s="17"/>
      <c r="X286" s="17"/>
      <c r="Y286" s="40"/>
      <c r="Z286" s="17"/>
      <c r="AA286" s="45" t="str">
        <f aca="false">IF(OR(D286="",Y286="",OR(X286="Contract signed + paid",X286="Closed – No response",X286="Lost"),N(Z286)&gt;=Settings!$S$3),"",Y286+Settings!$S$2)</f>
        <v/>
      </c>
      <c r="AB286" s="40"/>
      <c r="AC286" s="41"/>
      <c r="AD286" s="17"/>
      <c r="AE286" s="17"/>
      <c r="AF286" s="17"/>
      <c r="AG286" s="46" t="str">
        <f aca="true">IF(OR(D286="",B286=""),"",INT(TODAY()-B286))</f>
        <v/>
      </c>
      <c r="AH286" s="44" t="str">
        <f aca="true">IF(D286="","",IF(OR(COUNTIFS(Clients!$C$2:$C$501,D286,Clients!$S$2:$S$501,"Paid")&gt;0,AND(H286&lt;&gt;"",COUNTIFS(Clients!$E$2:$E$501,H286,Clients!$S$2:$S$501,"Paid")&gt;0)),"⚠ Refunded before – no free video",IF(OR(X286="Contract signed + paid",X286="Closed – No response",X286="Lost"),"",IF(X286="","Set a stage",IF(AND(X286="Proposal sent",COUNTA(N286:S286)&lt;6),"Score this lead – proposal sent unscored",IF(N(Z286)&gt;=Settings!$S$3,"Close – 4 follow-ups sent",IF(AA286="",IF(Y286="","Make first contact",""),IF(TODAY()&gt;AA286,"OVERDUE follow-up",IF(TODAY()=AA286,"Follow up today","")))))))))</f>
        <v/>
      </c>
    </row>
    <row r="287" customFormat="false" ht="15" hidden="false" customHeight="false" outlineLevel="0" collapsed="false">
      <c r="A287" s="17"/>
      <c r="B287" s="40"/>
      <c r="C287" s="17"/>
      <c r="D287" s="17"/>
      <c r="E287" s="17"/>
      <c r="F287" s="17"/>
      <c r="G287" s="17"/>
      <c r="H287" s="42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44" t="str">
        <f aca="false">IF(OR(D287="",COUNTA(N287:S287)=0),"",SUMIFS(Settings!$AA$2:$AA$21,Settings!$Y$2:$Y$21,"Budget AED 5k+/mo?",Settings!$Z$2:$Z$21,N287)+SUMIFS(Settings!$AA$2:$AA$21,Settings!$Y$2:$Y$21,"Decision-maker?",Settings!$Z$2:$Z$21,O287)+SUMIFS(Settings!$AA$2:$AA$21,Settings!$Y$2:$Y$21,"Someone on camera?",Settings!$Z$2:$Z$21,P287)+SUMIFS(Settings!$AA$2:$AA$21,Settings!$Y$2:$Y$21,"OK with 3-month term?",Settings!$Z$2:$Z$21,Q287)+SUMIFS(Settings!$AA$2:$AA$21,Settings!$Y$2:$Y$21,"Start timeline",Settings!$Z$2:$Z$21,R287)+SUMIFS(Settings!$AA$2:$AA$21,Settings!$Y$2:$Y$21,"Social media gap",Settings!$Z$2:$Z$21,S287)+IF(E287="",0,IF(COUNTIF(Settings!$AC$2:$AC$6,E287)&gt;0,Settings!$AA$20,Settings!$AA$21)))</f>
        <v/>
      </c>
      <c r="U287" s="44" t="str">
        <f aca="false">IF(D287="","",IF(COUNTA(N287:S287)=0,"Not scored",IF(COUNTA(N287:S287)&lt;6,"Partly scored ("&amp;COUNTA(N287:S287)&amp;"/6)",IF(T287&gt;=Settings!$S$8,"Hot",IF(T287&gt;=Settings!$S$9,"Warm","Cold")))))</f>
        <v/>
      </c>
      <c r="V287" s="44" t="str">
        <f aca="false">IF(D287="","",IF(AND(N287="No",P287="No"),"🚩 Budget  ·  🚩 No one on camera",IF(N287="No","🚩 Budget under AED 5k",IF(P287="No","🚩 No one on camera",""))))</f>
        <v/>
      </c>
      <c r="W287" s="17"/>
      <c r="X287" s="17"/>
      <c r="Y287" s="40"/>
      <c r="Z287" s="17"/>
      <c r="AA287" s="45" t="str">
        <f aca="false">IF(OR(D287="",Y287="",OR(X287="Contract signed + paid",X287="Closed – No response",X287="Lost"),N(Z287)&gt;=Settings!$S$3),"",Y287+Settings!$S$2)</f>
        <v/>
      </c>
      <c r="AB287" s="40"/>
      <c r="AC287" s="41"/>
      <c r="AD287" s="17"/>
      <c r="AE287" s="17"/>
      <c r="AF287" s="17"/>
      <c r="AG287" s="46" t="str">
        <f aca="true">IF(OR(D287="",B287=""),"",INT(TODAY()-B287))</f>
        <v/>
      </c>
      <c r="AH287" s="44" t="str">
        <f aca="true">IF(D287="","",IF(OR(COUNTIFS(Clients!$C$2:$C$501,D287,Clients!$S$2:$S$501,"Paid")&gt;0,AND(H287&lt;&gt;"",COUNTIFS(Clients!$E$2:$E$501,H287,Clients!$S$2:$S$501,"Paid")&gt;0)),"⚠ Refunded before – no free video",IF(OR(X287="Contract signed + paid",X287="Closed – No response",X287="Lost"),"",IF(X287="","Set a stage",IF(AND(X287="Proposal sent",COUNTA(N287:S287)&lt;6),"Score this lead – proposal sent unscored",IF(N(Z287)&gt;=Settings!$S$3,"Close – 4 follow-ups sent",IF(AA287="",IF(Y287="","Make first contact",""),IF(TODAY()&gt;AA287,"OVERDUE follow-up",IF(TODAY()=AA287,"Follow up today","")))))))))</f>
        <v/>
      </c>
    </row>
    <row r="288" customFormat="false" ht="15" hidden="false" customHeight="false" outlineLevel="0" collapsed="false">
      <c r="A288" s="17"/>
      <c r="B288" s="40"/>
      <c r="C288" s="17"/>
      <c r="D288" s="17"/>
      <c r="E288" s="17"/>
      <c r="F288" s="17"/>
      <c r="G288" s="17"/>
      <c r="H288" s="42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44" t="str">
        <f aca="false">IF(OR(D288="",COUNTA(N288:S288)=0),"",SUMIFS(Settings!$AA$2:$AA$21,Settings!$Y$2:$Y$21,"Budget AED 5k+/mo?",Settings!$Z$2:$Z$21,N288)+SUMIFS(Settings!$AA$2:$AA$21,Settings!$Y$2:$Y$21,"Decision-maker?",Settings!$Z$2:$Z$21,O288)+SUMIFS(Settings!$AA$2:$AA$21,Settings!$Y$2:$Y$21,"Someone on camera?",Settings!$Z$2:$Z$21,P288)+SUMIFS(Settings!$AA$2:$AA$21,Settings!$Y$2:$Y$21,"OK with 3-month term?",Settings!$Z$2:$Z$21,Q288)+SUMIFS(Settings!$AA$2:$AA$21,Settings!$Y$2:$Y$21,"Start timeline",Settings!$Z$2:$Z$21,R288)+SUMIFS(Settings!$AA$2:$AA$21,Settings!$Y$2:$Y$21,"Social media gap",Settings!$Z$2:$Z$21,S288)+IF(E288="",0,IF(COUNTIF(Settings!$AC$2:$AC$6,E288)&gt;0,Settings!$AA$20,Settings!$AA$21)))</f>
        <v/>
      </c>
      <c r="U288" s="44" t="str">
        <f aca="false">IF(D288="","",IF(COUNTA(N288:S288)=0,"Not scored",IF(COUNTA(N288:S288)&lt;6,"Partly scored ("&amp;COUNTA(N288:S288)&amp;"/6)",IF(T288&gt;=Settings!$S$8,"Hot",IF(T288&gt;=Settings!$S$9,"Warm","Cold")))))</f>
        <v/>
      </c>
      <c r="V288" s="44" t="str">
        <f aca="false">IF(D288="","",IF(AND(N288="No",P288="No"),"🚩 Budget  ·  🚩 No one on camera",IF(N288="No","🚩 Budget under AED 5k",IF(P288="No","🚩 No one on camera",""))))</f>
        <v/>
      </c>
      <c r="W288" s="17"/>
      <c r="X288" s="17"/>
      <c r="Y288" s="40"/>
      <c r="Z288" s="17"/>
      <c r="AA288" s="45" t="str">
        <f aca="false">IF(OR(D288="",Y288="",OR(X288="Contract signed + paid",X288="Closed – No response",X288="Lost"),N(Z288)&gt;=Settings!$S$3),"",Y288+Settings!$S$2)</f>
        <v/>
      </c>
      <c r="AB288" s="40"/>
      <c r="AC288" s="41"/>
      <c r="AD288" s="17"/>
      <c r="AE288" s="17"/>
      <c r="AF288" s="17"/>
      <c r="AG288" s="46" t="str">
        <f aca="true">IF(OR(D288="",B288=""),"",INT(TODAY()-B288))</f>
        <v/>
      </c>
      <c r="AH288" s="44" t="str">
        <f aca="true">IF(D288="","",IF(OR(COUNTIFS(Clients!$C$2:$C$501,D288,Clients!$S$2:$S$501,"Paid")&gt;0,AND(H288&lt;&gt;"",COUNTIFS(Clients!$E$2:$E$501,H288,Clients!$S$2:$S$501,"Paid")&gt;0)),"⚠ Refunded before – no free video",IF(OR(X288="Contract signed + paid",X288="Closed – No response",X288="Lost"),"",IF(X288="","Set a stage",IF(AND(X288="Proposal sent",COUNTA(N288:S288)&lt;6),"Score this lead – proposal sent unscored",IF(N(Z288)&gt;=Settings!$S$3,"Close – 4 follow-ups sent",IF(AA288="",IF(Y288="","Make first contact",""),IF(TODAY()&gt;AA288,"OVERDUE follow-up",IF(TODAY()=AA288,"Follow up today","")))))))))</f>
        <v/>
      </c>
    </row>
    <row r="289" customFormat="false" ht="15" hidden="false" customHeight="false" outlineLevel="0" collapsed="false">
      <c r="A289" s="17"/>
      <c r="B289" s="40"/>
      <c r="C289" s="17"/>
      <c r="D289" s="17"/>
      <c r="E289" s="17"/>
      <c r="F289" s="17"/>
      <c r="G289" s="17"/>
      <c r="H289" s="42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44" t="str">
        <f aca="false">IF(OR(D289="",COUNTA(N289:S289)=0),"",SUMIFS(Settings!$AA$2:$AA$21,Settings!$Y$2:$Y$21,"Budget AED 5k+/mo?",Settings!$Z$2:$Z$21,N289)+SUMIFS(Settings!$AA$2:$AA$21,Settings!$Y$2:$Y$21,"Decision-maker?",Settings!$Z$2:$Z$21,O289)+SUMIFS(Settings!$AA$2:$AA$21,Settings!$Y$2:$Y$21,"Someone on camera?",Settings!$Z$2:$Z$21,P289)+SUMIFS(Settings!$AA$2:$AA$21,Settings!$Y$2:$Y$21,"OK with 3-month term?",Settings!$Z$2:$Z$21,Q289)+SUMIFS(Settings!$AA$2:$AA$21,Settings!$Y$2:$Y$21,"Start timeline",Settings!$Z$2:$Z$21,R289)+SUMIFS(Settings!$AA$2:$AA$21,Settings!$Y$2:$Y$21,"Social media gap",Settings!$Z$2:$Z$21,S289)+IF(E289="",0,IF(COUNTIF(Settings!$AC$2:$AC$6,E289)&gt;0,Settings!$AA$20,Settings!$AA$21)))</f>
        <v/>
      </c>
      <c r="U289" s="44" t="str">
        <f aca="false">IF(D289="","",IF(COUNTA(N289:S289)=0,"Not scored",IF(COUNTA(N289:S289)&lt;6,"Partly scored ("&amp;COUNTA(N289:S289)&amp;"/6)",IF(T289&gt;=Settings!$S$8,"Hot",IF(T289&gt;=Settings!$S$9,"Warm","Cold")))))</f>
        <v/>
      </c>
      <c r="V289" s="44" t="str">
        <f aca="false">IF(D289="","",IF(AND(N289="No",P289="No"),"🚩 Budget  ·  🚩 No one on camera",IF(N289="No","🚩 Budget under AED 5k",IF(P289="No","🚩 No one on camera",""))))</f>
        <v/>
      </c>
      <c r="W289" s="17"/>
      <c r="X289" s="17"/>
      <c r="Y289" s="40"/>
      <c r="Z289" s="17"/>
      <c r="AA289" s="45" t="str">
        <f aca="false">IF(OR(D289="",Y289="",OR(X289="Contract signed + paid",X289="Closed – No response",X289="Lost"),N(Z289)&gt;=Settings!$S$3),"",Y289+Settings!$S$2)</f>
        <v/>
      </c>
      <c r="AB289" s="40"/>
      <c r="AC289" s="41"/>
      <c r="AD289" s="17"/>
      <c r="AE289" s="17"/>
      <c r="AF289" s="17"/>
      <c r="AG289" s="46" t="str">
        <f aca="true">IF(OR(D289="",B289=""),"",INT(TODAY()-B289))</f>
        <v/>
      </c>
      <c r="AH289" s="44" t="str">
        <f aca="true">IF(D289="","",IF(OR(COUNTIFS(Clients!$C$2:$C$501,D289,Clients!$S$2:$S$501,"Paid")&gt;0,AND(H289&lt;&gt;"",COUNTIFS(Clients!$E$2:$E$501,H289,Clients!$S$2:$S$501,"Paid")&gt;0)),"⚠ Refunded before – no free video",IF(OR(X289="Contract signed + paid",X289="Closed – No response",X289="Lost"),"",IF(X289="","Set a stage",IF(AND(X289="Proposal sent",COUNTA(N289:S289)&lt;6),"Score this lead – proposal sent unscored",IF(N(Z289)&gt;=Settings!$S$3,"Close – 4 follow-ups sent",IF(AA289="",IF(Y289="","Make first contact",""),IF(TODAY()&gt;AA289,"OVERDUE follow-up",IF(TODAY()=AA289,"Follow up today","")))))))))</f>
        <v/>
      </c>
    </row>
    <row r="290" customFormat="false" ht="15" hidden="false" customHeight="false" outlineLevel="0" collapsed="false">
      <c r="A290" s="17"/>
      <c r="B290" s="40"/>
      <c r="C290" s="17"/>
      <c r="D290" s="17"/>
      <c r="E290" s="17"/>
      <c r="F290" s="17"/>
      <c r="G290" s="17"/>
      <c r="H290" s="42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44" t="str">
        <f aca="false">IF(OR(D290="",COUNTA(N290:S290)=0),"",SUMIFS(Settings!$AA$2:$AA$21,Settings!$Y$2:$Y$21,"Budget AED 5k+/mo?",Settings!$Z$2:$Z$21,N290)+SUMIFS(Settings!$AA$2:$AA$21,Settings!$Y$2:$Y$21,"Decision-maker?",Settings!$Z$2:$Z$21,O290)+SUMIFS(Settings!$AA$2:$AA$21,Settings!$Y$2:$Y$21,"Someone on camera?",Settings!$Z$2:$Z$21,P290)+SUMIFS(Settings!$AA$2:$AA$21,Settings!$Y$2:$Y$21,"OK with 3-month term?",Settings!$Z$2:$Z$21,Q290)+SUMIFS(Settings!$AA$2:$AA$21,Settings!$Y$2:$Y$21,"Start timeline",Settings!$Z$2:$Z$21,R290)+SUMIFS(Settings!$AA$2:$AA$21,Settings!$Y$2:$Y$21,"Social media gap",Settings!$Z$2:$Z$21,S290)+IF(E290="",0,IF(COUNTIF(Settings!$AC$2:$AC$6,E290)&gt;0,Settings!$AA$20,Settings!$AA$21)))</f>
        <v/>
      </c>
      <c r="U290" s="44" t="str">
        <f aca="false">IF(D290="","",IF(COUNTA(N290:S290)=0,"Not scored",IF(COUNTA(N290:S290)&lt;6,"Partly scored ("&amp;COUNTA(N290:S290)&amp;"/6)",IF(T290&gt;=Settings!$S$8,"Hot",IF(T290&gt;=Settings!$S$9,"Warm","Cold")))))</f>
        <v/>
      </c>
      <c r="V290" s="44" t="str">
        <f aca="false">IF(D290="","",IF(AND(N290="No",P290="No"),"🚩 Budget  ·  🚩 No one on camera",IF(N290="No","🚩 Budget under AED 5k",IF(P290="No","🚩 No one on camera",""))))</f>
        <v/>
      </c>
      <c r="W290" s="17"/>
      <c r="X290" s="17"/>
      <c r="Y290" s="40"/>
      <c r="Z290" s="17"/>
      <c r="AA290" s="45" t="str">
        <f aca="false">IF(OR(D290="",Y290="",OR(X290="Contract signed + paid",X290="Closed – No response",X290="Lost"),N(Z290)&gt;=Settings!$S$3),"",Y290+Settings!$S$2)</f>
        <v/>
      </c>
      <c r="AB290" s="40"/>
      <c r="AC290" s="41"/>
      <c r="AD290" s="17"/>
      <c r="AE290" s="17"/>
      <c r="AF290" s="17"/>
      <c r="AG290" s="46" t="str">
        <f aca="true">IF(OR(D290="",B290=""),"",INT(TODAY()-B290))</f>
        <v/>
      </c>
      <c r="AH290" s="44" t="str">
        <f aca="true">IF(D290="","",IF(OR(COUNTIFS(Clients!$C$2:$C$501,D290,Clients!$S$2:$S$501,"Paid")&gt;0,AND(H290&lt;&gt;"",COUNTIFS(Clients!$E$2:$E$501,H290,Clients!$S$2:$S$501,"Paid")&gt;0)),"⚠ Refunded before – no free video",IF(OR(X290="Contract signed + paid",X290="Closed – No response",X290="Lost"),"",IF(X290="","Set a stage",IF(AND(X290="Proposal sent",COUNTA(N290:S290)&lt;6),"Score this lead – proposal sent unscored",IF(N(Z290)&gt;=Settings!$S$3,"Close – 4 follow-ups sent",IF(AA290="",IF(Y290="","Make first contact",""),IF(TODAY()&gt;AA290,"OVERDUE follow-up",IF(TODAY()=AA290,"Follow up today","")))))))))</f>
        <v/>
      </c>
    </row>
    <row r="291" customFormat="false" ht="15" hidden="false" customHeight="false" outlineLevel="0" collapsed="false">
      <c r="A291" s="17"/>
      <c r="B291" s="40"/>
      <c r="C291" s="17"/>
      <c r="D291" s="17"/>
      <c r="E291" s="17"/>
      <c r="F291" s="17"/>
      <c r="G291" s="17"/>
      <c r="H291" s="42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44" t="str">
        <f aca="false">IF(OR(D291="",COUNTA(N291:S291)=0),"",SUMIFS(Settings!$AA$2:$AA$21,Settings!$Y$2:$Y$21,"Budget AED 5k+/mo?",Settings!$Z$2:$Z$21,N291)+SUMIFS(Settings!$AA$2:$AA$21,Settings!$Y$2:$Y$21,"Decision-maker?",Settings!$Z$2:$Z$21,O291)+SUMIFS(Settings!$AA$2:$AA$21,Settings!$Y$2:$Y$21,"Someone on camera?",Settings!$Z$2:$Z$21,P291)+SUMIFS(Settings!$AA$2:$AA$21,Settings!$Y$2:$Y$21,"OK with 3-month term?",Settings!$Z$2:$Z$21,Q291)+SUMIFS(Settings!$AA$2:$AA$21,Settings!$Y$2:$Y$21,"Start timeline",Settings!$Z$2:$Z$21,R291)+SUMIFS(Settings!$AA$2:$AA$21,Settings!$Y$2:$Y$21,"Social media gap",Settings!$Z$2:$Z$21,S291)+IF(E291="",0,IF(COUNTIF(Settings!$AC$2:$AC$6,E291)&gt;0,Settings!$AA$20,Settings!$AA$21)))</f>
        <v/>
      </c>
      <c r="U291" s="44" t="str">
        <f aca="false">IF(D291="","",IF(COUNTA(N291:S291)=0,"Not scored",IF(COUNTA(N291:S291)&lt;6,"Partly scored ("&amp;COUNTA(N291:S291)&amp;"/6)",IF(T291&gt;=Settings!$S$8,"Hot",IF(T291&gt;=Settings!$S$9,"Warm","Cold")))))</f>
        <v/>
      </c>
      <c r="V291" s="44" t="str">
        <f aca="false">IF(D291="","",IF(AND(N291="No",P291="No"),"🚩 Budget  ·  🚩 No one on camera",IF(N291="No","🚩 Budget under AED 5k",IF(P291="No","🚩 No one on camera",""))))</f>
        <v/>
      </c>
      <c r="W291" s="17"/>
      <c r="X291" s="17"/>
      <c r="Y291" s="40"/>
      <c r="Z291" s="17"/>
      <c r="AA291" s="45" t="str">
        <f aca="false">IF(OR(D291="",Y291="",OR(X291="Contract signed + paid",X291="Closed – No response",X291="Lost"),N(Z291)&gt;=Settings!$S$3),"",Y291+Settings!$S$2)</f>
        <v/>
      </c>
      <c r="AB291" s="40"/>
      <c r="AC291" s="41"/>
      <c r="AD291" s="17"/>
      <c r="AE291" s="17"/>
      <c r="AF291" s="17"/>
      <c r="AG291" s="46" t="str">
        <f aca="true">IF(OR(D291="",B291=""),"",INT(TODAY()-B291))</f>
        <v/>
      </c>
      <c r="AH291" s="44" t="str">
        <f aca="true">IF(D291="","",IF(OR(COUNTIFS(Clients!$C$2:$C$501,D291,Clients!$S$2:$S$501,"Paid")&gt;0,AND(H291&lt;&gt;"",COUNTIFS(Clients!$E$2:$E$501,H291,Clients!$S$2:$S$501,"Paid")&gt;0)),"⚠ Refunded before – no free video",IF(OR(X291="Contract signed + paid",X291="Closed – No response",X291="Lost"),"",IF(X291="","Set a stage",IF(AND(X291="Proposal sent",COUNTA(N291:S291)&lt;6),"Score this lead – proposal sent unscored",IF(N(Z291)&gt;=Settings!$S$3,"Close – 4 follow-ups sent",IF(AA291="",IF(Y291="","Make first contact",""),IF(TODAY()&gt;AA291,"OVERDUE follow-up",IF(TODAY()=AA291,"Follow up today","")))))))))</f>
        <v/>
      </c>
    </row>
    <row r="292" customFormat="false" ht="15" hidden="false" customHeight="false" outlineLevel="0" collapsed="false">
      <c r="A292" s="17"/>
      <c r="B292" s="40"/>
      <c r="C292" s="17"/>
      <c r="D292" s="17"/>
      <c r="E292" s="17"/>
      <c r="F292" s="17"/>
      <c r="G292" s="17"/>
      <c r="H292" s="42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44" t="str">
        <f aca="false">IF(OR(D292="",COUNTA(N292:S292)=0),"",SUMIFS(Settings!$AA$2:$AA$21,Settings!$Y$2:$Y$21,"Budget AED 5k+/mo?",Settings!$Z$2:$Z$21,N292)+SUMIFS(Settings!$AA$2:$AA$21,Settings!$Y$2:$Y$21,"Decision-maker?",Settings!$Z$2:$Z$21,O292)+SUMIFS(Settings!$AA$2:$AA$21,Settings!$Y$2:$Y$21,"Someone on camera?",Settings!$Z$2:$Z$21,P292)+SUMIFS(Settings!$AA$2:$AA$21,Settings!$Y$2:$Y$21,"OK with 3-month term?",Settings!$Z$2:$Z$21,Q292)+SUMIFS(Settings!$AA$2:$AA$21,Settings!$Y$2:$Y$21,"Start timeline",Settings!$Z$2:$Z$21,R292)+SUMIFS(Settings!$AA$2:$AA$21,Settings!$Y$2:$Y$21,"Social media gap",Settings!$Z$2:$Z$21,S292)+IF(E292="",0,IF(COUNTIF(Settings!$AC$2:$AC$6,E292)&gt;0,Settings!$AA$20,Settings!$AA$21)))</f>
        <v/>
      </c>
      <c r="U292" s="44" t="str">
        <f aca="false">IF(D292="","",IF(COUNTA(N292:S292)=0,"Not scored",IF(COUNTA(N292:S292)&lt;6,"Partly scored ("&amp;COUNTA(N292:S292)&amp;"/6)",IF(T292&gt;=Settings!$S$8,"Hot",IF(T292&gt;=Settings!$S$9,"Warm","Cold")))))</f>
        <v/>
      </c>
      <c r="V292" s="44" t="str">
        <f aca="false">IF(D292="","",IF(AND(N292="No",P292="No"),"🚩 Budget  ·  🚩 No one on camera",IF(N292="No","🚩 Budget under AED 5k",IF(P292="No","🚩 No one on camera",""))))</f>
        <v/>
      </c>
      <c r="W292" s="17"/>
      <c r="X292" s="17"/>
      <c r="Y292" s="40"/>
      <c r="Z292" s="17"/>
      <c r="AA292" s="45" t="str">
        <f aca="false">IF(OR(D292="",Y292="",OR(X292="Contract signed + paid",X292="Closed – No response",X292="Lost"),N(Z292)&gt;=Settings!$S$3),"",Y292+Settings!$S$2)</f>
        <v/>
      </c>
      <c r="AB292" s="40"/>
      <c r="AC292" s="41"/>
      <c r="AD292" s="17"/>
      <c r="AE292" s="17"/>
      <c r="AF292" s="17"/>
      <c r="AG292" s="46" t="str">
        <f aca="true">IF(OR(D292="",B292=""),"",INT(TODAY()-B292))</f>
        <v/>
      </c>
      <c r="AH292" s="44" t="str">
        <f aca="true">IF(D292="","",IF(OR(COUNTIFS(Clients!$C$2:$C$501,D292,Clients!$S$2:$S$501,"Paid")&gt;0,AND(H292&lt;&gt;"",COUNTIFS(Clients!$E$2:$E$501,H292,Clients!$S$2:$S$501,"Paid")&gt;0)),"⚠ Refunded before – no free video",IF(OR(X292="Contract signed + paid",X292="Closed – No response",X292="Lost"),"",IF(X292="","Set a stage",IF(AND(X292="Proposal sent",COUNTA(N292:S292)&lt;6),"Score this lead – proposal sent unscored",IF(N(Z292)&gt;=Settings!$S$3,"Close – 4 follow-ups sent",IF(AA292="",IF(Y292="","Make first contact",""),IF(TODAY()&gt;AA292,"OVERDUE follow-up",IF(TODAY()=AA292,"Follow up today","")))))))))</f>
        <v/>
      </c>
    </row>
    <row r="293" customFormat="false" ht="15" hidden="false" customHeight="false" outlineLevel="0" collapsed="false">
      <c r="A293" s="17"/>
      <c r="B293" s="40"/>
      <c r="C293" s="17"/>
      <c r="D293" s="17"/>
      <c r="E293" s="17"/>
      <c r="F293" s="17"/>
      <c r="G293" s="17"/>
      <c r="H293" s="42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44" t="str">
        <f aca="false">IF(OR(D293="",COUNTA(N293:S293)=0),"",SUMIFS(Settings!$AA$2:$AA$21,Settings!$Y$2:$Y$21,"Budget AED 5k+/mo?",Settings!$Z$2:$Z$21,N293)+SUMIFS(Settings!$AA$2:$AA$21,Settings!$Y$2:$Y$21,"Decision-maker?",Settings!$Z$2:$Z$21,O293)+SUMIFS(Settings!$AA$2:$AA$21,Settings!$Y$2:$Y$21,"Someone on camera?",Settings!$Z$2:$Z$21,P293)+SUMIFS(Settings!$AA$2:$AA$21,Settings!$Y$2:$Y$21,"OK with 3-month term?",Settings!$Z$2:$Z$21,Q293)+SUMIFS(Settings!$AA$2:$AA$21,Settings!$Y$2:$Y$21,"Start timeline",Settings!$Z$2:$Z$21,R293)+SUMIFS(Settings!$AA$2:$AA$21,Settings!$Y$2:$Y$21,"Social media gap",Settings!$Z$2:$Z$21,S293)+IF(E293="",0,IF(COUNTIF(Settings!$AC$2:$AC$6,E293)&gt;0,Settings!$AA$20,Settings!$AA$21)))</f>
        <v/>
      </c>
      <c r="U293" s="44" t="str">
        <f aca="false">IF(D293="","",IF(COUNTA(N293:S293)=0,"Not scored",IF(COUNTA(N293:S293)&lt;6,"Partly scored ("&amp;COUNTA(N293:S293)&amp;"/6)",IF(T293&gt;=Settings!$S$8,"Hot",IF(T293&gt;=Settings!$S$9,"Warm","Cold")))))</f>
        <v/>
      </c>
      <c r="V293" s="44" t="str">
        <f aca="false">IF(D293="","",IF(AND(N293="No",P293="No"),"🚩 Budget  ·  🚩 No one on camera",IF(N293="No","🚩 Budget under AED 5k",IF(P293="No","🚩 No one on camera",""))))</f>
        <v/>
      </c>
      <c r="W293" s="17"/>
      <c r="X293" s="17"/>
      <c r="Y293" s="40"/>
      <c r="Z293" s="17"/>
      <c r="AA293" s="45" t="str">
        <f aca="false">IF(OR(D293="",Y293="",OR(X293="Contract signed + paid",X293="Closed – No response",X293="Lost"),N(Z293)&gt;=Settings!$S$3),"",Y293+Settings!$S$2)</f>
        <v/>
      </c>
      <c r="AB293" s="40"/>
      <c r="AC293" s="41"/>
      <c r="AD293" s="17"/>
      <c r="AE293" s="17"/>
      <c r="AF293" s="17"/>
      <c r="AG293" s="46" t="str">
        <f aca="true">IF(OR(D293="",B293=""),"",INT(TODAY()-B293))</f>
        <v/>
      </c>
      <c r="AH293" s="44" t="str">
        <f aca="true">IF(D293="","",IF(OR(COUNTIFS(Clients!$C$2:$C$501,D293,Clients!$S$2:$S$501,"Paid")&gt;0,AND(H293&lt;&gt;"",COUNTIFS(Clients!$E$2:$E$501,H293,Clients!$S$2:$S$501,"Paid")&gt;0)),"⚠ Refunded before – no free video",IF(OR(X293="Contract signed + paid",X293="Closed – No response",X293="Lost"),"",IF(X293="","Set a stage",IF(AND(X293="Proposal sent",COUNTA(N293:S293)&lt;6),"Score this lead – proposal sent unscored",IF(N(Z293)&gt;=Settings!$S$3,"Close – 4 follow-ups sent",IF(AA293="",IF(Y293="","Make first contact",""),IF(TODAY()&gt;AA293,"OVERDUE follow-up",IF(TODAY()=AA293,"Follow up today","")))))))))</f>
        <v/>
      </c>
    </row>
    <row r="294" customFormat="false" ht="15" hidden="false" customHeight="false" outlineLevel="0" collapsed="false">
      <c r="A294" s="17"/>
      <c r="B294" s="40"/>
      <c r="C294" s="17"/>
      <c r="D294" s="17"/>
      <c r="E294" s="17"/>
      <c r="F294" s="17"/>
      <c r="G294" s="17"/>
      <c r="H294" s="42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44" t="str">
        <f aca="false">IF(OR(D294="",COUNTA(N294:S294)=0),"",SUMIFS(Settings!$AA$2:$AA$21,Settings!$Y$2:$Y$21,"Budget AED 5k+/mo?",Settings!$Z$2:$Z$21,N294)+SUMIFS(Settings!$AA$2:$AA$21,Settings!$Y$2:$Y$21,"Decision-maker?",Settings!$Z$2:$Z$21,O294)+SUMIFS(Settings!$AA$2:$AA$21,Settings!$Y$2:$Y$21,"Someone on camera?",Settings!$Z$2:$Z$21,P294)+SUMIFS(Settings!$AA$2:$AA$21,Settings!$Y$2:$Y$21,"OK with 3-month term?",Settings!$Z$2:$Z$21,Q294)+SUMIFS(Settings!$AA$2:$AA$21,Settings!$Y$2:$Y$21,"Start timeline",Settings!$Z$2:$Z$21,R294)+SUMIFS(Settings!$AA$2:$AA$21,Settings!$Y$2:$Y$21,"Social media gap",Settings!$Z$2:$Z$21,S294)+IF(E294="",0,IF(COUNTIF(Settings!$AC$2:$AC$6,E294)&gt;0,Settings!$AA$20,Settings!$AA$21)))</f>
        <v/>
      </c>
      <c r="U294" s="44" t="str">
        <f aca="false">IF(D294="","",IF(COUNTA(N294:S294)=0,"Not scored",IF(COUNTA(N294:S294)&lt;6,"Partly scored ("&amp;COUNTA(N294:S294)&amp;"/6)",IF(T294&gt;=Settings!$S$8,"Hot",IF(T294&gt;=Settings!$S$9,"Warm","Cold")))))</f>
        <v/>
      </c>
      <c r="V294" s="44" t="str">
        <f aca="false">IF(D294="","",IF(AND(N294="No",P294="No"),"🚩 Budget  ·  🚩 No one on camera",IF(N294="No","🚩 Budget under AED 5k",IF(P294="No","🚩 No one on camera",""))))</f>
        <v/>
      </c>
      <c r="W294" s="17"/>
      <c r="X294" s="17"/>
      <c r="Y294" s="40"/>
      <c r="Z294" s="17"/>
      <c r="AA294" s="45" t="str">
        <f aca="false">IF(OR(D294="",Y294="",OR(X294="Contract signed + paid",X294="Closed – No response",X294="Lost"),N(Z294)&gt;=Settings!$S$3),"",Y294+Settings!$S$2)</f>
        <v/>
      </c>
      <c r="AB294" s="40"/>
      <c r="AC294" s="41"/>
      <c r="AD294" s="17"/>
      <c r="AE294" s="17"/>
      <c r="AF294" s="17"/>
      <c r="AG294" s="46" t="str">
        <f aca="true">IF(OR(D294="",B294=""),"",INT(TODAY()-B294))</f>
        <v/>
      </c>
      <c r="AH294" s="44" t="str">
        <f aca="true">IF(D294="","",IF(OR(COUNTIFS(Clients!$C$2:$C$501,D294,Clients!$S$2:$S$501,"Paid")&gt;0,AND(H294&lt;&gt;"",COUNTIFS(Clients!$E$2:$E$501,H294,Clients!$S$2:$S$501,"Paid")&gt;0)),"⚠ Refunded before – no free video",IF(OR(X294="Contract signed + paid",X294="Closed – No response",X294="Lost"),"",IF(X294="","Set a stage",IF(AND(X294="Proposal sent",COUNTA(N294:S294)&lt;6),"Score this lead – proposal sent unscored",IF(N(Z294)&gt;=Settings!$S$3,"Close – 4 follow-ups sent",IF(AA294="",IF(Y294="","Make first contact",""),IF(TODAY()&gt;AA294,"OVERDUE follow-up",IF(TODAY()=AA294,"Follow up today","")))))))))</f>
        <v/>
      </c>
    </row>
    <row r="295" customFormat="false" ht="15" hidden="false" customHeight="false" outlineLevel="0" collapsed="false">
      <c r="A295" s="17"/>
      <c r="B295" s="40"/>
      <c r="C295" s="17"/>
      <c r="D295" s="17"/>
      <c r="E295" s="17"/>
      <c r="F295" s="17"/>
      <c r="G295" s="17"/>
      <c r="H295" s="42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44" t="str">
        <f aca="false">IF(OR(D295="",COUNTA(N295:S295)=0),"",SUMIFS(Settings!$AA$2:$AA$21,Settings!$Y$2:$Y$21,"Budget AED 5k+/mo?",Settings!$Z$2:$Z$21,N295)+SUMIFS(Settings!$AA$2:$AA$21,Settings!$Y$2:$Y$21,"Decision-maker?",Settings!$Z$2:$Z$21,O295)+SUMIFS(Settings!$AA$2:$AA$21,Settings!$Y$2:$Y$21,"Someone on camera?",Settings!$Z$2:$Z$21,P295)+SUMIFS(Settings!$AA$2:$AA$21,Settings!$Y$2:$Y$21,"OK with 3-month term?",Settings!$Z$2:$Z$21,Q295)+SUMIFS(Settings!$AA$2:$AA$21,Settings!$Y$2:$Y$21,"Start timeline",Settings!$Z$2:$Z$21,R295)+SUMIFS(Settings!$AA$2:$AA$21,Settings!$Y$2:$Y$21,"Social media gap",Settings!$Z$2:$Z$21,S295)+IF(E295="",0,IF(COUNTIF(Settings!$AC$2:$AC$6,E295)&gt;0,Settings!$AA$20,Settings!$AA$21)))</f>
        <v/>
      </c>
      <c r="U295" s="44" t="str">
        <f aca="false">IF(D295="","",IF(COUNTA(N295:S295)=0,"Not scored",IF(COUNTA(N295:S295)&lt;6,"Partly scored ("&amp;COUNTA(N295:S295)&amp;"/6)",IF(T295&gt;=Settings!$S$8,"Hot",IF(T295&gt;=Settings!$S$9,"Warm","Cold")))))</f>
        <v/>
      </c>
      <c r="V295" s="44" t="str">
        <f aca="false">IF(D295="","",IF(AND(N295="No",P295="No"),"🚩 Budget  ·  🚩 No one on camera",IF(N295="No","🚩 Budget under AED 5k",IF(P295="No","🚩 No one on camera",""))))</f>
        <v/>
      </c>
      <c r="W295" s="17"/>
      <c r="X295" s="17"/>
      <c r="Y295" s="40"/>
      <c r="Z295" s="17"/>
      <c r="AA295" s="45" t="str">
        <f aca="false">IF(OR(D295="",Y295="",OR(X295="Contract signed + paid",X295="Closed – No response",X295="Lost"),N(Z295)&gt;=Settings!$S$3),"",Y295+Settings!$S$2)</f>
        <v/>
      </c>
      <c r="AB295" s="40"/>
      <c r="AC295" s="41"/>
      <c r="AD295" s="17"/>
      <c r="AE295" s="17"/>
      <c r="AF295" s="17"/>
      <c r="AG295" s="46" t="str">
        <f aca="true">IF(OR(D295="",B295=""),"",INT(TODAY()-B295))</f>
        <v/>
      </c>
      <c r="AH295" s="44" t="str">
        <f aca="true">IF(D295="","",IF(OR(COUNTIFS(Clients!$C$2:$C$501,D295,Clients!$S$2:$S$501,"Paid")&gt;0,AND(H295&lt;&gt;"",COUNTIFS(Clients!$E$2:$E$501,H295,Clients!$S$2:$S$501,"Paid")&gt;0)),"⚠ Refunded before – no free video",IF(OR(X295="Contract signed + paid",X295="Closed – No response",X295="Lost"),"",IF(X295="","Set a stage",IF(AND(X295="Proposal sent",COUNTA(N295:S295)&lt;6),"Score this lead – proposal sent unscored",IF(N(Z295)&gt;=Settings!$S$3,"Close – 4 follow-ups sent",IF(AA295="",IF(Y295="","Make first contact",""),IF(TODAY()&gt;AA295,"OVERDUE follow-up",IF(TODAY()=AA295,"Follow up today","")))))))))</f>
        <v/>
      </c>
    </row>
    <row r="296" customFormat="false" ht="15" hidden="false" customHeight="false" outlineLevel="0" collapsed="false">
      <c r="A296" s="17"/>
      <c r="B296" s="40"/>
      <c r="C296" s="17"/>
      <c r="D296" s="17"/>
      <c r="E296" s="17"/>
      <c r="F296" s="17"/>
      <c r="G296" s="17"/>
      <c r="H296" s="42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44" t="str">
        <f aca="false">IF(OR(D296="",COUNTA(N296:S296)=0),"",SUMIFS(Settings!$AA$2:$AA$21,Settings!$Y$2:$Y$21,"Budget AED 5k+/mo?",Settings!$Z$2:$Z$21,N296)+SUMIFS(Settings!$AA$2:$AA$21,Settings!$Y$2:$Y$21,"Decision-maker?",Settings!$Z$2:$Z$21,O296)+SUMIFS(Settings!$AA$2:$AA$21,Settings!$Y$2:$Y$21,"Someone on camera?",Settings!$Z$2:$Z$21,P296)+SUMIFS(Settings!$AA$2:$AA$21,Settings!$Y$2:$Y$21,"OK with 3-month term?",Settings!$Z$2:$Z$21,Q296)+SUMIFS(Settings!$AA$2:$AA$21,Settings!$Y$2:$Y$21,"Start timeline",Settings!$Z$2:$Z$21,R296)+SUMIFS(Settings!$AA$2:$AA$21,Settings!$Y$2:$Y$21,"Social media gap",Settings!$Z$2:$Z$21,S296)+IF(E296="",0,IF(COUNTIF(Settings!$AC$2:$AC$6,E296)&gt;0,Settings!$AA$20,Settings!$AA$21)))</f>
        <v/>
      </c>
      <c r="U296" s="44" t="str">
        <f aca="false">IF(D296="","",IF(COUNTA(N296:S296)=0,"Not scored",IF(COUNTA(N296:S296)&lt;6,"Partly scored ("&amp;COUNTA(N296:S296)&amp;"/6)",IF(T296&gt;=Settings!$S$8,"Hot",IF(T296&gt;=Settings!$S$9,"Warm","Cold")))))</f>
        <v/>
      </c>
      <c r="V296" s="44" t="str">
        <f aca="false">IF(D296="","",IF(AND(N296="No",P296="No"),"🚩 Budget  ·  🚩 No one on camera",IF(N296="No","🚩 Budget under AED 5k",IF(P296="No","🚩 No one on camera",""))))</f>
        <v/>
      </c>
      <c r="W296" s="17"/>
      <c r="X296" s="17"/>
      <c r="Y296" s="40"/>
      <c r="Z296" s="17"/>
      <c r="AA296" s="45" t="str">
        <f aca="false">IF(OR(D296="",Y296="",OR(X296="Contract signed + paid",X296="Closed – No response",X296="Lost"),N(Z296)&gt;=Settings!$S$3),"",Y296+Settings!$S$2)</f>
        <v/>
      </c>
      <c r="AB296" s="40"/>
      <c r="AC296" s="41"/>
      <c r="AD296" s="17"/>
      <c r="AE296" s="17"/>
      <c r="AF296" s="17"/>
      <c r="AG296" s="46" t="str">
        <f aca="true">IF(OR(D296="",B296=""),"",INT(TODAY()-B296))</f>
        <v/>
      </c>
      <c r="AH296" s="44" t="str">
        <f aca="true">IF(D296="","",IF(OR(COUNTIFS(Clients!$C$2:$C$501,D296,Clients!$S$2:$S$501,"Paid")&gt;0,AND(H296&lt;&gt;"",COUNTIFS(Clients!$E$2:$E$501,H296,Clients!$S$2:$S$501,"Paid")&gt;0)),"⚠ Refunded before – no free video",IF(OR(X296="Contract signed + paid",X296="Closed – No response",X296="Lost"),"",IF(X296="","Set a stage",IF(AND(X296="Proposal sent",COUNTA(N296:S296)&lt;6),"Score this lead – proposal sent unscored",IF(N(Z296)&gt;=Settings!$S$3,"Close – 4 follow-ups sent",IF(AA296="",IF(Y296="","Make first contact",""),IF(TODAY()&gt;AA296,"OVERDUE follow-up",IF(TODAY()=AA296,"Follow up today","")))))))))</f>
        <v/>
      </c>
    </row>
    <row r="297" customFormat="false" ht="15" hidden="false" customHeight="false" outlineLevel="0" collapsed="false">
      <c r="A297" s="17"/>
      <c r="B297" s="40"/>
      <c r="C297" s="17"/>
      <c r="D297" s="17"/>
      <c r="E297" s="17"/>
      <c r="F297" s="17"/>
      <c r="G297" s="17"/>
      <c r="H297" s="42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44" t="str">
        <f aca="false">IF(OR(D297="",COUNTA(N297:S297)=0),"",SUMIFS(Settings!$AA$2:$AA$21,Settings!$Y$2:$Y$21,"Budget AED 5k+/mo?",Settings!$Z$2:$Z$21,N297)+SUMIFS(Settings!$AA$2:$AA$21,Settings!$Y$2:$Y$21,"Decision-maker?",Settings!$Z$2:$Z$21,O297)+SUMIFS(Settings!$AA$2:$AA$21,Settings!$Y$2:$Y$21,"Someone on camera?",Settings!$Z$2:$Z$21,P297)+SUMIFS(Settings!$AA$2:$AA$21,Settings!$Y$2:$Y$21,"OK with 3-month term?",Settings!$Z$2:$Z$21,Q297)+SUMIFS(Settings!$AA$2:$AA$21,Settings!$Y$2:$Y$21,"Start timeline",Settings!$Z$2:$Z$21,R297)+SUMIFS(Settings!$AA$2:$AA$21,Settings!$Y$2:$Y$21,"Social media gap",Settings!$Z$2:$Z$21,S297)+IF(E297="",0,IF(COUNTIF(Settings!$AC$2:$AC$6,E297)&gt;0,Settings!$AA$20,Settings!$AA$21)))</f>
        <v/>
      </c>
      <c r="U297" s="44" t="str">
        <f aca="false">IF(D297="","",IF(COUNTA(N297:S297)=0,"Not scored",IF(COUNTA(N297:S297)&lt;6,"Partly scored ("&amp;COUNTA(N297:S297)&amp;"/6)",IF(T297&gt;=Settings!$S$8,"Hot",IF(T297&gt;=Settings!$S$9,"Warm","Cold")))))</f>
        <v/>
      </c>
      <c r="V297" s="44" t="str">
        <f aca="false">IF(D297="","",IF(AND(N297="No",P297="No"),"🚩 Budget  ·  🚩 No one on camera",IF(N297="No","🚩 Budget under AED 5k",IF(P297="No","🚩 No one on camera",""))))</f>
        <v/>
      </c>
      <c r="W297" s="17"/>
      <c r="X297" s="17"/>
      <c r="Y297" s="40"/>
      <c r="Z297" s="17"/>
      <c r="AA297" s="45" t="str">
        <f aca="false">IF(OR(D297="",Y297="",OR(X297="Contract signed + paid",X297="Closed – No response",X297="Lost"),N(Z297)&gt;=Settings!$S$3),"",Y297+Settings!$S$2)</f>
        <v/>
      </c>
      <c r="AB297" s="40"/>
      <c r="AC297" s="41"/>
      <c r="AD297" s="17"/>
      <c r="AE297" s="17"/>
      <c r="AF297" s="17"/>
      <c r="AG297" s="46" t="str">
        <f aca="true">IF(OR(D297="",B297=""),"",INT(TODAY()-B297))</f>
        <v/>
      </c>
      <c r="AH297" s="44" t="str">
        <f aca="true">IF(D297="","",IF(OR(COUNTIFS(Clients!$C$2:$C$501,D297,Clients!$S$2:$S$501,"Paid")&gt;0,AND(H297&lt;&gt;"",COUNTIFS(Clients!$E$2:$E$501,H297,Clients!$S$2:$S$501,"Paid")&gt;0)),"⚠ Refunded before – no free video",IF(OR(X297="Contract signed + paid",X297="Closed – No response",X297="Lost"),"",IF(X297="","Set a stage",IF(AND(X297="Proposal sent",COUNTA(N297:S297)&lt;6),"Score this lead – proposal sent unscored",IF(N(Z297)&gt;=Settings!$S$3,"Close – 4 follow-ups sent",IF(AA297="",IF(Y297="","Make first contact",""),IF(TODAY()&gt;AA297,"OVERDUE follow-up",IF(TODAY()=AA297,"Follow up today","")))))))))</f>
        <v/>
      </c>
    </row>
    <row r="298" customFormat="false" ht="15" hidden="false" customHeight="false" outlineLevel="0" collapsed="false">
      <c r="A298" s="17"/>
      <c r="B298" s="40"/>
      <c r="C298" s="17"/>
      <c r="D298" s="17"/>
      <c r="E298" s="17"/>
      <c r="F298" s="17"/>
      <c r="G298" s="17"/>
      <c r="H298" s="42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44" t="str">
        <f aca="false">IF(OR(D298="",COUNTA(N298:S298)=0),"",SUMIFS(Settings!$AA$2:$AA$21,Settings!$Y$2:$Y$21,"Budget AED 5k+/mo?",Settings!$Z$2:$Z$21,N298)+SUMIFS(Settings!$AA$2:$AA$21,Settings!$Y$2:$Y$21,"Decision-maker?",Settings!$Z$2:$Z$21,O298)+SUMIFS(Settings!$AA$2:$AA$21,Settings!$Y$2:$Y$21,"Someone on camera?",Settings!$Z$2:$Z$21,P298)+SUMIFS(Settings!$AA$2:$AA$21,Settings!$Y$2:$Y$21,"OK with 3-month term?",Settings!$Z$2:$Z$21,Q298)+SUMIFS(Settings!$AA$2:$AA$21,Settings!$Y$2:$Y$21,"Start timeline",Settings!$Z$2:$Z$21,R298)+SUMIFS(Settings!$AA$2:$AA$21,Settings!$Y$2:$Y$21,"Social media gap",Settings!$Z$2:$Z$21,S298)+IF(E298="",0,IF(COUNTIF(Settings!$AC$2:$AC$6,E298)&gt;0,Settings!$AA$20,Settings!$AA$21)))</f>
        <v/>
      </c>
      <c r="U298" s="44" t="str">
        <f aca="false">IF(D298="","",IF(COUNTA(N298:S298)=0,"Not scored",IF(COUNTA(N298:S298)&lt;6,"Partly scored ("&amp;COUNTA(N298:S298)&amp;"/6)",IF(T298&gt;=Settings!$S$8,"Hot",IF(T298&gt;=Settings!$S$9,"Warm","Cold")))))</f>
        <v/>
      </c>
      <c r="V298" s="44" t="str">
        <f aca="false">IF(D298="","",IF(AND(N298="No",P298="No"),"🚩 Budget  ·  🚩 No one on camera",IF(N298="No","🚩 Budget under AED 5k",IF(P298="No","🚩 No one on camera",""))))</f>
        <v/>
      </c>
      <c r="W298" s="17"/>
      <c r="X298" s="17"/>
      <c r="Y298" s="40"/>
      <c r="Z298" s="17"/>
      <c r="AA298" s="45" t="str">
        <f aca="false">IF(OR(D298="",Y298="",OR(X298="Contract signed + paid",X298="Closed – No response",X298="Lost"),N(Z298)&gt;=Settings!$S$3),"",Y298+Settings!$S$2)</f>
        <v/>
      </c>
      <c r="AB298" s="40"/>
      <c r="AC298" s="41"/>
      <c r="AD298" s="17"/>
      <c r="AE298" s="17"/>
      <c r="AF298" s="17"/>
      <c r="AG298" s="46" t="str">
        <f aca="true">IF(OR(D298="",B298=""),"",INT(TODAY()-B298))</f>
        <v/>
      </c>
      <c r="AH298" s="44" t="str">
        <f aca="true">IF(D298="","",IF(OR(COUNTIFS(Clients!$C$2:$C$501,D298,Clients!$S$2:$S$501,"Paid")&gt;0,AND(H298&lt;&gt;"",COUNTIFS(Clients!$E$2:$E$501,H298,Clients!$S$2:$S$501,"Paid")&gt;0)),"⚠ Refunded before – no free video",IF(OR(X298="Contract signed + paid",X298="Closed – No response",X298="Lost"),"",IF(X298="","Set a stage",IF(AND(X298="Proposal sent",COUNTA(N298:S298)&lt;6),"Score this lead – proposal sent unscored",IF(N(Z298)&gt;=Settings!$S$3,"Close – 4 follow-ups sent",IF(AA298="",IF(Y298="","Make first contact",""),IF(TODAY()&gt;AA298,"OVERDUE follow-up",IF(TODAY()=AA298,"Follow up today","")))))))))</f>
        <v/>
      </c>
    </row>
    <row r="299" customFormat="false" ht="15" hidden="false" customHeight="false" outlineLevel="0" collapsed="false">
      <c r="A299" s="17"/>
      <c r="B299" s="40"/>
      <c r="C299" s="17"/>
      <c r="D299" s="17"/>
      <c r="E299" s="17"/>
      <c r="F299" s="17"/>
      <c r="G299" s="17"/>
      <c r="H299" s="42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44" t="str">
        <f aca="false">IF(OR(D299="",COUNTA(N299:S299)=0),"",SUMIFS(Settings!$AA$2:$AA$21,Settings!$Y$2:$Y$21,"Budget AED 5k+/mo?",Settings!$Z$2:$Z$21,N299)+SUMIFS(Settings!$AA$2:$AA$21,Settings!$Y$2:$Y$21,"Decision-maker?",Settings!$Z$2:$Z$21,O299)+SUMIFS(Settings!$AA$2:$AA$21,Settings!$Y$2:$Y$21,"Someone on camera?",Settings!$Z$2:$Z$21,P299)+SUMIFS(Settings!$AA$2:$AA$21,Settings!$Y$2:$Y$21,"OK with 3-month term?",Settings!$Z$2:$Z$21,Q299)+SUMIFS(Settings!$AA$2:$AA$21,Settings!$Y$2:$Y$21,"Start timeline",Settings!$Z$2:$Z$21,R299)+SUMIFS(Settings!$AA$2:$AA$21,Settings!$Y$2:$Y$21,"Social media gap",Settings!$Z$2:$Z$21,S299)+IF(E299="",0,IF(COUNTIF(Settings!$AC$2:$AC$6,E299)&gt;0,Settings!$AA$20,Settings!$AA$21)))</f>
        <v/>
      </c>
      <c r="U299" s="44" t="str">
        <f aca="false">IF(D299="","",IF(COUNTA(N299:S299)=0,"Not scored",IF(COUNTA(N299:S299)&lt;6,"Partly scored ("&amp;COUNTA(N299:S299)&amp;"/6)",IF(T299&gt;=Settings!$S$8,"Hot",IF(T299&gt;=Settings!$S$9,"Warm","Cold")))))</f>
        <v/>
      </c>
      <c r="V299" s="44" t="str">
        <f aca="false">IF(D299="","",IF(AND(N299="No",P299="No"),"🚩 Budget  ·  🚩 No one on camera",IF(N299="No","🚩 Budget under AED 5k",IF(P299="No","🚩 No one on camera",""))))</f>
        <v/>
      </c>
      <c r="W299" s="17"/>
      <c r="X299" s="17"/>
      <c r="Y299" s="40"/>
      <c r="Z299" s="17"/>
      <c r="AA299" s="45" t="str">
        <f aca="false">IF(OR(D299="",Y299="",OR(X299="Contract signed + paid",X299="Closed – No response",X299="Lost"),N(Z299)&gt;=Settings!$S$3),"",Y299+Settings!$S$2)</f>
        <v/>
      </c>
      <c r="AB299" s="40"/>
      <c r="AC299" s="41"/>
      <c r="AD299" s="17"/>
      <c r="AE299" s="17"/>
      <c r="AF299" s="17"/>
      <c r="AG299" s="46" t="str">
        <f aca="true">IF(OR(D299="",B299=""),"",INT(TODAY()-B299))</f>
        <v/>
      </c>
      <c r="AH299" s="44" t="str">
        <f aca="true">IF(D299="","",IF(OR(COUNTIFS(Clients!$C$2:$C$501,D299,Clients!$S$2:$S$501,"Paid")&gt;0,AND(H299&lt;&gt;"",COUNTIFS(Clients!$E$2:$E$501,H299,Clients!$S$2:$S$501,"Paid")&gt;0)),"⚠ Refunded before – no free video",IF(OR(X299="Contract signed + paid",X299="Closed – No response",X299="Lost"),"",IF(X299="","Set a stage",IF(AND(X299="Proposal sent",COUNTA(N299:S299)&lt;6),"Score this lead – proposal sent unscored",IF(N(Z299)&gt;=Settings!$S$3,"Close – 4 follow-ups sent",IF(AA299="",IF(Y299="","Make first contact",""),IF(TODAY()&gt;AA299,"OVERDUE follow-up",IF(TODAY()=AA299,"Follow up today","")))))))))</f>
        <v/>
      </c>
    </row>
    <row r="300" customFormat="false" ht="15" hidden="false" customHeight="false" outlineLevel="0" collapsed="false">
      <c r="A300" s="17"/>
      <c r="B300" s="40"/>
      <c r="C300" s="17"/>
      <c r="D300" s="17"/>
      <c r="E300" s="17"/>
      <c r="F300" s="17"/>
      <c r="G300" s="17"/>
      <c r="H300" s="42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44" t="str">
        <f aca="false">IF(OR(D300="",COUNTA(N300:S300)=0),"",SUMIFS(Settings!$AA$2:$AA$21,Settings!$Y$2:$Y$21,"Budget AED 5k+/mo?",Settings!$Z$2:$Z$21,N300)+SUMIFS(Settings!$AA$2:$AA$21,Settings!$Y$2:$Y$21,"Decision-maker?",Settings!$Z$2:$Z$21,O300)+SUMIFS(Settings!$AA$2:$AA$21,Settings!$Y$2:$Y$21,"Someone on camera?",Settings!$Z$2:$Z$21,P300)+SUMIFS(Settings!$AA$2:$AA$21,Settings!$Y$2:$Y$21,"OK with 3-month term?",Settings!$Z$2:$Z$21,Q300)+SUMIFS(Settings!$AA$2:$AA$21,Settings!$Y$2:$Y$21,"Start timeline",Settings!$Z$2:$Z$21,R300)+SUMIFS(Settings!$AA$2:$AA$21,Settings!$Y$2:$Y$21,"Social media gap",Settings!$Z$2:$Z$21,S300)+IF(E300="",0,IF(COUNTIF(Settings!$AC$2:$AC$6,E300)&gt;0,Settings!$AA$20,Settings!$AA$21)))</f>
        <v/>
      </c>
      <c r="U300" s="44" t="str">
        <f aca="false">IF(D300="","",IF(COUNTA(N300:S300)=0,"Not scored",IF(COUNTA(N300:S300)&lt;6,"Partly scored ("&amp;COUNTA(N300:S300)&amp;"/6)",IF(T300&gt;=Settings!$S$8,"Hot",IF(T300&gt;=Settings!$S$9,"Warm","Cold")))))</f>
        <v/>
      </c>
      <c r="V300" s="44" t="str">
        <f aca="false">IF(D300="","",IF(AND(N300="No",P300="No"),"🚩 Budget  ·  🚩 No one on camera",IF(N300="No","🚩 Budget under AED 5k",IF(P300="No","🚩 No one on camera",""))))</f>
        <v/>
      </c>
      <c r="W300" s="17"/>
      <c r="X300" s="17"/>
      <c r="Y300" s="40"/>
      <c r="Z300" s="17"/>
      <c r="AA300" s="45" t="str">
        <f aca="false">IF(OR(D300="",Y300="",OR(X300="Contract signed + paid",X300="Closed – No response",X300="Lost"),N(Z300)&gt;=Settings!$S$3),"",Y300+Settings!$S$2)</f>
        <v/>
      </c>
      <c r="AB300" s="40"/>
      <c r="AC300" s="41"/>
      <c r="AD300" s="17"/>
      <c r="AE300" s="17"/>
      <c r="AF300" s="17"/>
      <c r="AG300" s="46" t="str">
        <f aca="true">IF(OR(D300="",B300=""),"",INT(TODAY()-B300))</f>
        <v/>
      </c>
      <c r="AH300" s="44" t="str">
        <f aca="true">IF(D300="","",IF(OR(COUNTIFS(Clients!$C$2:$C$501,D300,Clients!$S$2:$S$501,"Paid")&gt;0,AND(H300&lt;&gt;"",COUNTIFS(Clients!$E$2:$E$501,H300,Clients!$S$2:$S$501,"Paid")&gt;0)),"⚠ Refunded before – no free video",IF(OR(X300="Contract signed + paid",X300="Closed – No response",X300="Lost"),"",IF(X300="","Set a stage",IF(AND(X300="Proposal sent",COUNTA(N300:S300)&lt;6),"Score this lead – proposal sent unscored",IF(N(Z300)&gt;=Settings!$S$3,"Close – 4 follow-ups sent",IF(AA300="",IF(Y300="","Make first contact",""),IF(TODAY()&gt;AA300,"OVERDUE follow-up",IF(TODAY()=AA300,"Follow up today","")))))))))</f>
        <v/>
      </c>
    </row>
    <row r="301" customFormat="false" ht="15" hidden="false" customHeight="false" outlineLevel="0" collapsed="false">
      <c r="A301" s="17"/>
      <c r="B301" s="40"/>
      <c r="C301" s="17"/>
      <c r="D301" s="17"/>
      <c r="E301" s="17"/>
      <c r="F301" s="17"/>
      <c r="G301" s="17"/>
      <c r="H301" s="42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44" t="str">
        <f aca="false">IF(OR(D301="",COUNTA(N301:S301)=0),"",SUMIFS(Settings!$AA$2:$AA$21,Settings!$Y$2:$Y$21,"Budget AED 5k+/mo?",Settings!$Z$2:$Z$21,N301)+SUMIFS(Settings!$AA$2:$AA$21,Settings!$Y$2:$Y$21,"Decision-maker?",Settings!$Z$2:$Z$21,O301)+SUMIFS(Settings!$AA$2:$AA$21,Settings!$Y$2:$Y$21,"Someone on camera?",Settings!$Z$2:$Z$21,P301)+SUMIFS(Settings!$AA$2:$AA$21,Settings!$Y$2:$Y$21,"OK with 3-month term?",Settings!$Z$2:$Z$21,Q301)+SUMIFS(Settings!$AA$2:$AA$21,Settings!$Y$2:$Y$21,"Start timeline",Settings!$Z$2:$Z$21,R301)+SUMIFS(Settings!$AA$2:$AA$21,Settings!$Y$2:$Y$21,"Social media gap",Settings!$Z$2:$Z$21,S301)+IF(E301="",0,IF(COUNTIF(Settings!$AC$2:$AC$6,E301)&gt;0,Settings!$AA$20,Settings!$AA$21)))</f>
        <v/>
      </c>
      <c r="U301" s="44" t="str">
        <f aca="false">IF(D301="","",IF(COUNTA(N301:S301)=0,"Not scored",IF(COUNTA(N301:S301)&lt;6,"Partly scored ("&amp;COUNTA(N301:S301)&amp;"/6)",IF(T301&gt;=Settings!$S$8,"Hot",IF(T301&gt;=Settings!$S$9,"Warm","Cold")))))</f>
        <v/>
      </c>
      <c r="V301" s="44" t="str">
        <f aca="false">IF(D301="","",IF(AND(N301="No",P301="No"),"🚩 Budget  ·  🚩 No one on camera",IF(N301="No","🚩 Budget under AED 5k",IF(P301="No","🚩 No one on camera",""))))</f>
        <v/>
      </c>
      <c r="W301" s="17"/>
      <c r="X301" s="17"/>
      <c r="Y301" s="40"/>
      <c r="Z301" s="17"/>
      <c r="AA301" s="45" t="str">
        <f aca="false">IF(OR(D301="",Y301="",OR(X301="Contract signed + paid",X301="Closed – No response",X301="Lost"),N(Z301)&gt;=Settings!$S$3),"",Y301+Settings!$S$2)</f>
        <v/>
      </c>
      <c r="AB301" s="40"/>
      <c r="AC301" s="41"/>
      <c r="AD301" s="17"/>
      <c r="AE301" s="17"/>
      <c r="AF301" s="17"/>
      <c r="AG301" s="46" t="str">
        <f aca="true">IF(OR(D301="",B301=""),"",INT(TODAY()-B301))</f>
        <v/>
      </c>
      <c r="AH301" s="44" t="str">
        <f aca="true">IF(D301="","",IF(OR(COUNTIFS(Clients!$C$2:$C$501,D301,Clients!$S$2:$S$501,"Paid")&gt;0,AND(H301&lt;&gt;"",COUNTIFS(Clients!$E$2:$E$501,H301,Clients!$S$2:$S$501,"Paid")&gt;0)),"⚠ Refunded before – no free video",IF(OR(X301="Contract signed + paid",X301="Closed – No response",X301="Lost"),"",IF(X301="","Set a stage",IF(AND(X301="Proposal sent",COUNTA(N301:S301)&lt;6),"Score this lead – proposal sent unscored",IF(N(Z301)&gt;=Settings!$S$3,"Close – 4 follow-ups sent",IF(AA301="",IF(Y301="","Make first contact",""),IF(TODAY()&gt;AA301,"OVERDUE follow-up",IF(TODAY()=AA301,"Follow up today","")))))))))</f>
        <v/>
      </c>
    </row>
    <row r="302" customFormat="false" ht="15" hidden="false" customHeight="false" outlineLevel="0" collapsed="false">
      <c r="A302" s="17"/>
      <c r="B302" s="40"/>
      <c r="C302" s="17"/>
      <c r="D302" s="17"/>
      <c r="E302" s="17"/>
      <c r="F302" s="17"/>
      <c r="G302" s="17"/>
      <c r="H302" s="42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44" t="str">
        <f aca="false">IF(OR(D302="",COUNTA(N302:S302)=0),"",SUMIFS(Settings!$AA$2:$AA$21,Settings!$Y$2:$Y$21,"Budget AED 5k+/mo?",Settings!$Z$2:$Z$21,N302)+SUMIFS(Settings!$AA$2:$AA$21,Settings!$Y$2:$Y$21,"Decision-maker?",Settings!$Z$2:$Z$21,O302)+SUMIFS(Settings!$AA$2:$AA$21,Settings!$Y$2:$Y$21,"Someone on camera?",Settings!$Z$2:$Z$21,P302)+SUMIFS(Settings!$AA$2:$AA$21,Settings!$Y$2:$Y$21,"OK with 3-month term?",Settings!$Z$2:$Z$21,Q302)+SUMIFS(Settings!$AA$2:$AA$21,Settings!$Y$2:$Y$21,"Start timeline",Settings!$Z$2:$Z$21,R302)+SUMIFS(Settings!$AA$2:$AA$21,Settings!$Y$2:$Y$21,"Social media gap",Settings!$Z$2:$Z$21,S302)+IF(E302="",0,IF(COUNTIF(Settings!$AC$2:$AC$6,E302)&gt;0,Settings!$AA$20,Settings!$AA$21)))</f>
        <v/>
      </c>
      <c r="U302" s="44" t="str">
        <f aca="false">IF(D302="","",IF(COUNTA(N302:S302)=0,"Not scored",IF(COUNTA(N302:S302)&lt;6,"Partly scored ("&amp;COUNTA(N302:S302)&amp;"/6)",IF(T302&gt;=Settings!$S$8,"Hot",IF(T302&gt;=Settings!$S$9,"Warm","Cold")))))</f>
        <v/>
      </c>
      <c r="V302" s="44" t="str">
        <f aca="false">IF(D302="","",IF(AND(N302="No",P302="No"),"🚩 Budget  ·  🚩 No one on camera",IF(N302="No","🚩 Budget under AED 5k",IF(P302="No","🚩 No one on camera",""))))</f>
        <v/>
      </c>
      <c r="W302" s="17"/>
      <c r="X302" s="17"/>
      <c r="Y302" s="40"/>
      <c r="Z302" s="17"/>
      <c r="AA302" s="45" t="str">
        <f aca="false">IF(OR(D302="",Y302="",OR(X302="Contract signed + paid",X302="Closed – No response",X302="Lost"),N(Z302)&gt;=Settings!$S$3),"",Y302+Settings!$S$2)</f>
        <v/>
      </c>
      <c r="AB302" s="40"/>
      <c r="AC302" s="41"/>
      <c r="AD302" s="17"/>
      <c r="AE302" s="17"/>
      <c r="AF302" s="17"/>
      <c r="AG302" s="46" t="str">
        <f aca="true">IF(OR(D302="",B302=""),"",INT(TODAY()-B302))</f>
        <v/>
      </c>
      <c r="AH302" s="44" t="str">
        <f aca="true">IF(D302="","",IF(OR(COUNTIFS(Clients!$C$2:$C$501,D302,Clients!$S$2:$S$501,"Paid")&gt;0,AND(H302&lt;&gt;"",COUNTIFS(Clients!$E$2:$E$501,H302,Clients!$S$2:$S$501,"Paid")&gt;0)),"⚠ Refunded before – no free video",IF(OR(X302="Contract signed + paid",X302="Closed – No response",X302="Lost"),"",IF(X302="","Set a stage",IF(AND(X302="Proposal sent",COUNTA(N302:S302)&lt;6),"Score this lead – proposal sent unscored",IF(N(Z302)&gt;=Settings!$S$3,"Close – 4 follow-ups sent",IF(AA302="",IF(Y302="","Make first contact",""),IF(TODAY()&gt;AA302,"OVERDUE follow-up",IF(TODAY()=AA302,"Follow up today","")))))))))</f>
        <v/>
      </c>
    </row>
    <row r="303" customFormat="false" ht="15" hidden="false" customHeight="false" outlineLevel="0" collapsed="false">
      <c r="A303" s="17"/>
      <c r="B303" s="40"/>
      <c r="C303" s="17"/>
      <c r="D303" s="17"/>
      <c r="E303" s="17"/>
      <c r="F303" s="17"/>
      <c r="G303" s="17"/>
      <c r="H303" s="42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44" t="str">
        <f aca="false">IF(OR(D303="",COUNTA(N303:S303)=0),"",SUMIFS(Settings!$AA$2:$AA$21,Settings!$Y$2:$Y$21,"Budget AED 5k+/mo?",Settings!$Z$2:$Z$21,N303)+SUMIFS(Settings!$AA$2:$AA$21,Settings!$Y$2:$Y$21,"Decision-maker?",Settings!$Z$2:$Z$21,O303)+SUMIFS(Settings!$AA$2:$AA$21,Settings!$Y$2:$Y$21,"Someone on camera?",Settings!$Z$2:$Z$21,P303)+SUMIFS(Settings!$AA$2:$AA$21,Settings!$Y$2:$Y$21,"OK with 3-month term?",Settings!$Z$2:$Z$21,Q303)+SUMIFS(Settings!$AA$2:$AA$21,Settings!$Y$2:$Y$21,"Start timeline",Settings!$Z$2:$Z$21,R303)+SUMIFS(Settings!$AA$2:$AA$21,Settings!$Y$2:$Y$21,"Social media gap",Settings!$Z$2:$Z$21,S303)+IF(E303="",0,IF(COUNTIF(Settings!$AC$2:$AC$6,E303)&gt;0,Settings!$AA$20,Settings!$AA$21)))</f>
        <v/>
      </c>
      <c r="U303" s="44" t="str">
        <f aca="false">IF(D303="","",IF(COUNTA(N303:S303)=0,"Not scored",IF(COUNTA(N303:S303)&lt;6,"Partly scored ("&amp;COUNTA(N303:S303)&amp;"/6)",IF(T303&gt;=Settings!$S$8,"Hot",IF(T303&gt;=Settings!$S$9,"Warm","Cold")))))</f>
        <v/>
      </c>
      <c r="V303" s="44" t="str">
        <f aca="false">IF(D303="","",IF(AND(N303="No",P303="No"),"🚩 Budget  ·  🚩 No one on camera",IF(N303="No","🚩 Budget under AED 5k",IF(P303="No","🚩 No one on camera",""))))</f>
        <v/>
      </c>
      <c r="W303" s="17"/>
      <c r="X303" s="17"/>
      <c r="Y303" s="40"/>
      <c r="Z303" s="17"/>
      <c r="AA303" s="45" t="str">
        <f aca="false">IF(OR(D303="",Y303="",OR(X303="Contract signed + paid",X303="Closed – No response",X303="Lost"),N(Z303)&gt;=Settings!$S$3),"",Y303+Settings!$S$2)</f>
        <v/>
      </c>
      <c r="AB303" s="40"/>
      <c r="AC303" s="41"/>
      <c r="AD303" s="17"/>
      <c r="AE303" s="17"/>
      <c r="AF303" s="17"/>
      <c r="AG303" s="46" t="str">
        <f aca="true">IF(OR(D303="",B303=""),"",INT(TODAY()-B303))</f>
        <v/>
      </c>
      <c r="AH303" s="44" t="str">
        <f aca="true">IF(D303="","",IF(OR(COUNTIFS(Clients!$C$2:$C$501,D303,Clients!$S$2:$S$501,"Paid")&gt;0,AND(H303&lt;&gt;"",COUNTIFS(Clients!$E$2:$E$501,H303,Clients!$S$2:$S$501,"Paid")&gt;0)),"⚠ Refunded before – no free video",IF(OR(X303="Contract signed + paid",X303="Closed – No response",X303="Lost"),"",IF(X303="","Set a stage",IF(AND(X303="Proposal sent",COUNTA(N303:S303)&lt;6),"Score this lead – proposal sent unscored",IF(N(Z303)&gt;=Settings!$S$3,"Close – 4 follow-ups sent",IF(AA303="",IF(Y303="","Make first contact",""),IF(TODAY()&gt;AA303,"OVERDUE follow-up",IF(TODAY()=AA303,"Follow up today","")))))))))</f>
        <v/>
      </c>
    </row>
    <row r="304" customFormat="false" ht="15" hidden="false" customHeight="false" outlineLevel="0" collapsed="false">
      <c r="A304" s="17"/>
      <c r="B304" s="40"/>
      <c r="C304" s="17"/>
      <c r="D304" s="17"/>
      <c r="E304" s="17"/>
      <c r="F304" s="17"/>
      <c r="G304" s="17"/>
      <c r="H304" s="42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44" t="str">
        <f aca="false">IF(OR(D304="",COUNTA(N304:S304)=0),"",SUMIFS(Settings!$AA$2:$AA$21,Settings!$Y$2:$Y$21,"Budget AED 5k+/mo?",Settings!$Z$2:$Z$21,N304)+SUMIFS(Settings!$AA$2:$AA$21,Settings!$Y$2:$Y$21,"Decision-maker?",Settings!$Z$2:$Z$21,O304)+SUMIFS(Settings!$AA$2:$AA$21,Settings!$Y$2:$Y$21,"Someone on camera?",Settings!$Z$2:$Z$21,P304)+SUMIFS(Settings!$AA$2:$AA$21,Settings!$Y$2:$Y$21,"OK with 3-month term?",Settings!$Z$2:$Z$21,Q304)+SUMIFS(Settings!$AA$2:$AA$21,Settings!$Y$2:$Y$21,"Start timeline",Settings!$Z$2:$Z$21,R304)+SUMIFS(Settings!$AA$2:$AA$21,Settings!$Y$2:$Y$21,"Social media gap",Settings!$Z$2:$Z$21,S304)+IF(E304="",0,IF(COUNTIF(Settings!$AC$2:$AC$6,E304)&gt;0,Settings!$AA$20,Settings!$AA$21)))</f>
        <v/>
      </c>
      <c r="U304" s="44" t="str">
        <f aca="false">IF(D304="","",IF(COUNTA(N304:S304)=0,"Not scored",IF(COUNTA(N304:S304)&lt;6,"Partly scored ("&amp;COUNTA(N304:S304)&amp;"/6)",IF(T304&gt;=Settings!$S$8,"Hot",IF(T304&gt;=Settings!$S$9,"Warm","Cold")))))</f>
        <v/>
      </c>
      <c r="V304" s="44" t="str">
        <f aca="false">IF(D304="","",IF(AND(N304="No",P304="No"),"🚩 Budget  ·  🚩 No one on camera",IF(N304="No","🚩 Budget under AED 5k",IF(P304="No","🚩 No one on camera",""))))</f>
        <v/>
      </c>
      <c r="W304" s="17"/>
      <c r="X304" s="17"/>
      <c r="Y304" s="40"/>
      <c r="Z304" s="17"/>
      <c r="AA304" s="45" t="str">
        <f aca="false">IF(OR(D304="",Y304="",OR(X304="Contract signed + paid",X304="Closed – No response",X304="Lost"),N(Z304)&gt;=Settings!$S$3),"",Y304+Settings!$S$2)</f>
        <v/>
      </c>
      <c r="AB304" s="40"/>
      <c r="AC304" s="41"/>
      <c r="AD304" s="17"/>
      <c r="AE304" s="17"/>
      <c r="AF304" s="17"/>
      <c r="AG304" s="46" t="str">
        <f aca="true">IF(OR(D304="",B304=""),"",INT(TODAY()-B304))</f>
        <v/>
      </c>
      <c r="AH304" s="44" t="str">
        <f aca="true">IF(D304="","",IF(OR(COUNTIFS(Clients!$C$2:$C$501,D304,Clients!$S$2:$S$501,"Paid")&gt;0,AND(H304&lt;&gt;"",COUNTIFS(Clients!$E$2:$E$501,H304,Clients!$S$2:$S$501,"Paid")&gt;0)),"⚠ Refunded before – no free video",IF(OR(X304="Contract signed + paid",X304="Closed – No response",X304="Lost"),"",IF(X304="","Set a stage",IF(AND(X304="Proposal sent",COUNTA(N304:S304)&lt;6),"Score this lead – proposal sent unscored",IF(N(Z304)&gt;=Settings!$S$3,"Close – 4 follow-ups sent",IF(AA304="",IF(Y304="","Make first contact",""),IF(TODAY()&gt;AA304,"OVERDUE follow-up",IF(TODAY()=AA304,"Follow up today","")))))))))</f>
        <v/>
      </c>
    </row>
    <row r="305" customFormat="false" ht="15" hidden="false" customHeight="false" outlineLevel="0" collapsed="false">
      <c r="A305" s="17"/>
      <c r="B305" s="40"/>
      <c r="C305" s="17"/>
      <c r="D305" s="17"/>
      <c r="E305" s="17"/>
      <c r="F305" s="17"/>
      <c r="G305" s="17"/>
      <c r="H305" s="42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44" t="str">
        <f aca="false">IF(OR(D305="",COUNTA(N305:S305)=0),"",SUMIFS(Settings!$AA$2:$AA$21,Settings!$Y$2:$Y$21,"Budget AED 5k+/mo?",Settings!$Z$2:$Z$21,N305)+SUMIFS(Settings!$AA$2:$AA$21,Settings!$Y$2:$Y$21,"Decision-maker?",Settings!$Z$2:$Z$21,O305)+SUMIFS(Settings!$AA$2:$AA$21,Settings!$Y$2:$Y$21,"Someone on camera?",Settings!$Z$2:$Z$21,P305)+SUMIFS(Settings!$AA$2:$AA$21,Settings!$Y$2:$Y$21,"OK with 3-month term?",Settings!$Z$2:$Z$21,Q305)+SUMIFS(Settings!$AA$2:$AA$21,Settings!$Y$2:$Y$21,"Start timeline",Settings!$Z$2:$Z$21,R305)+SUMIFS(Settings!$AA$2:$AA$21,Settings!$Y$2:$Y$21,"Social media gap",Settings!$Z$2:$Z$21,S305)+IF(E305="",0,IF(COUNTIF(Settings!$AC$2:$AC$6,E305)&gt;0,Settings!$AA$20,Settings!$AA$21)))</f>
        <v/>
      </c>
      <c r="U305" s="44" t="str">
        <f aca="false">IF(D305="","",IF(COUNTA(N305:S305)=0,"Not scored",IF(COUNTA(N305:S305)&lt;6,"Partly scored ("&amp;COUNTA(N305:S305)&amp;"/6)",IF(T305&gt;=Settings!$S$8,"Hot",IF(T305&gt;=Settings!$S$9,"Warm","Cold")))))</f>
        <v/>
      </c>
      <c r="V305" s="44" t="str">
        <f aca="false">IF(D305="","",IF(AND(N305="No",P305="No"),"🚩 Budget  ·  🚩 No one on camera",IF(N305="No","🚩 Budget under AED 5k",IF(P305="No","🚩 No one on camera",""))))</f>
        <v/>
      </c>
      <c r="W305" s="17"/>
      <c r="X305" s="17"/>
      <c r="Y305" s="40"/>
      <c r="Z305" s="17"/>
      <c r="AA305" s="45" t="str">
        <f aca="false">IF(OR(D305="",Y305="",OR(X305="Contract signed + paid",X305="Closed – No response",X305="Lost"),N(Z305)&gt;=Settings!$S$3),"",Y305+Settings!$S$2)</f>
        <v/>
      </c>
      <c r="AB305" s="40"/>
      <c r="AC305" s="41"/>
      <c r="AD305" s="17"/>
      <c r="AE305" s="17"/>
      <c r="AF305" s="17"/>
      <c r="AG305" s="46" t="str">
        <f aca="true">IF(OR(D305="",B305=""),"",INT(TODAY()-B305))</f>
        <v/>
      </c>
      <c r="AH305" s="44" t="str">
        <f aca="true">IF(D305="","",IF(OR(COUNTIFS(Clients!$C$2:$C$501,D305,Clients!$S$2:$S$501,"Paid")&gt;0,AND(H305&lt;&gt;"",COUNTIFS(Clients!$E$2:$E$501,H305,Clients!$S$2:$S$501,"Paid")&gt;0)),"⚠ Refunded before – no free video",IF(OR(X305="Contract signed + paid",X305="Closed – No response",X305="Lost"),"",IF(X305="","Set a stage",IF(AND(X305="Proposal sent",COUNTA(N305:S305)&lt;6),"Score this lead – proposal sent unscored",IF(N(Z305)&gt;=Settings!$S$3,"Close – 4 follow-ups sent",IF(AA305="",IF(Y305="","Make first contact",""),IF(TODAY()&gt;AA305,"OVERDUE follow-up",IF(TODAY()=AA305,"Follow up today","")))))))))</f>
        <v/>
      </c>
    </row>
    <row r="306" customFormat="false" ht="15" hidden="false" customHeight="false" outlineLevel="0" collapsed="false">
      <c r="A306" s="17"/>
      <c r="B306" s="40"/>
      <c r="C306" s="17"/>
      <c r="D306" s="17"/>
      <c r="E306" s="17"/>
      <c r="F306" s="17"/>
      <c r="G306" s="17"/>
      <c r="H306" s="42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44" t="str">
        <f aca="false">IF(OR(D306="",COUNTA(N306:S306)=0),"",SUMIFS(Settings!$AA$2:$AA$21,Settings!$Y$2:$Y$21,"Budget AED 5k+/mo?",Settings!$Z$2:$Z$21,N306)+SUMIFS(Settings!$AA$2:$AA$21,Settings!$Y$2:$Y$21,"Decision-maker?",Settings!$Z$2:$Z$21,O306)+SUMIFS(Settings!$AA$2:$AA$21,Settings!$Y$2:$Y$21,"Someone on camera?",Settings!$Z$2:$Z$21,P306)+SUMIFS(Settings!$AA$2:$AA$21,Settings!$Y$2:$Y$21,"OK with 3-month term?",Settings!$Z$2:$Z$21,Q306)+SUMIFS(Settings!$AA$2:$AA$21,Settings!$Y$2:$Y$21,"Start timeline",Settings!$Z$2:$Z$21,R306)+SUMIFS(Settings!$AA$2:$AA$21,Settings!$Y$2:$Y$21,"Social media gap",Settings!$Z$2:$Z$21,S306)+IF(E306="",0,IF(COUNTIF(Settings!$AC$2:$AC$6,E306)&gt;0,Settings!$AA$20,Settings!$AA$21)))</f>
        <v/>
      </c>
      <c r="U306" s="44" t="str">
        <f aca="false">IF(D306="","",IF(COUNTA(N306:S306)=0,"Not scored",IF(COUNTA(N306:S306)&lt;6,"Partly scored ("&amp;COUNTA(N306:S306)&amp;"/6)",IF(T306&gt;=Settings!$S$8,"Hot",IF(T306&gt;=Settings!$S$9,"Warm","Cold")))))</f>
        <v/>
      </c>
      <c r="V306" s="44" t="str">
        <f aca="false">IF(D306="","",IF(AND(N306="No",P306="No"),"🚩 Budget  ·  🚩 No one on camera",IF(N306="No","🚩 Budget under AED 5k",IF(P306="No","🚩 No one on camera",""))))</f>
        <v/>
      </c>
      <c r="W306" s="17"/>
      <c r="X306" s="17"/>
      <c r="Y306" s="40"/>
      <c r="Z306" s="17"/>
      <c r="AA306" s="45" t="str">
        <f aca="false">IF(OR(D306="",Y306="",OR(X306="Contract signed + paid",X306="Closed – No response",X306="Lost"),N(Z306)&gt;=Settings!$S$3),"",Y306+Settings!$S$2)</f>
        <v/>
      </c>
      <c r="AB306" s="40"/>
      <c r="AC306" s="41"/>
      <c r="AD306" s="17"/>
      <c r="AE306" s="17"/>
      <c r="AF306" s="17"/>
      <c r="AG306" s="46" t="str">
        <f aca="true">IF(OR(D306="",B306=""),"",INT(TODAY()-B306))</f>
        <v/>
      </c>
      <c r="AH306" s="44" t="str">
        <f aca="true">IF(D306="","",IF(OR(COUNTIFS(Clients!$C$2:$C$501,D306,Clients!$S$2:$S$501,"Paid")&gt;0,AND(H306&lt;&gt;"",COUNTIFS(Clients!$E$2:$E$501,H306,Clients!$S$2:$S$501,"Paid")&gt;0)),"⚠ Refunded before – no free video",IF(OR(X306="Contract signed + paid",X306="Closed – No response",X306="Lost"),"",IF(X306="","Set a stage",IF(AND(X306="Proposal sent",COUNTA(N306:S306)&lt;6),"Score this lead – proposal sent unscored",IF(N(Z306)&gt;=Settings!$S$3,"Close – 4 follow-ups sent",IF(AA306="",IF(Y306="","Make first contact",""),IF(TODAY()&gt;AA306,"OVERDUE follow-up",IF(TODAY()=AA306,"Follow up today","")))))))))</f>
        <v/>
      </c>
    </row>
    <row r="307" customFormat="false" ht="15" hidden="false" customHeight="false" outlineLevel="0" collapsed="false">
      <c r="A307" s="17"/>
      <c r="B307" s="40"/>
      <c r="C307" s="17"/>
      <c r="D307" s="17"/>
      <c r="E307" s="17"/>
      <c r="F307" s="17"/>
      <c r="G307" s="17"/>
      <c r="H307" s="42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44" t="str">
        <f aca="false">IF(OR(D307="",COUNTA(N307:S307)=0),"",SUMIFS(Settings!$AA$2:$AA$21,Settings!$Y$2:$Y$21,"Budget AED 5k+/mo?",Settings!$Z$2:$Z$21,N307)+SUMIFS(Settings!$AA$2:$AA$21,Settings!$Y$2:$Y$21,"Decision-maker?",Settings!$Z$2:$Z$21,O307)+SUMIFS(Settings!$AA$2:$AA$21,Settings!$Y$2:$Y$21,"Someone on camera?",Settings!$Z$2:$Z$21,P307)+SUMIFS(Settings!$AA$2:$AA$21,Settings!$Y$2:$Y$21,"OK with 3-month term?",Settings!$Z$2:$Z$21,Q307)+SUMIFS(Settings!$AA$2:$AA$21,Settings!$Y$2:$Y$21,"Start timeline",Settings!$Z$2:$Z$21,R307)+SUMIFS(Settings!$AA$2:$AA$21,Settings!$Y$2:$Y$21,"Social media gap",Settings!$Z$2:$Z$21,S307)+IF(E307="",0,IF(COUNTIF(Settings!$AC$2:$AC$6,E307)&gt;0,Settings!$AA$20,Settings!$AA$21)))</f>
        <v/>
      </c>
      <c r="U307" s="44" t="str">
        <f aca="false">IF(D307="","",IF(COUNTA(N307:S307)=0,"Not scored",IF(COUNTA(N307:S307)&lt;6,"Partly scored ("&amp;COUNTA(N307:S307)&amp;"/6)",IF(T307&gt;=Settings!$S$8,"Hot",IF(T307&gt;=Settings!$S$9,"Warm","Cold")))))</f>
        <v/>
      </c>
      <c r="V307" s="44" t="str">
        <f aca="false">IF(D307="","",IF(AND(N307="No",P307="No"),"🚩 Budget  ·  🚩 No one on camera",IF(N307="No","🚩 Budget under AED 5k",IF(P307="No","🚩 No one on camera",""))))</f>
        <v/>
      </c>
      <c r="W307" s="17"/>
      <c r="X307" s="17"/>
      <c r="Y307" s="40"/>
      <c r="Z307" s="17"/>
      <c r="AA307" s="45" t="str">
        <f aca="false">IF(OR(D307="",Y307="",OR(X307="Contract signed + paid",X307="Closed – No response",X307="Lost"),N(Z307)&gt;=Settings!$S$3),"",Y307+Settings!$S$2)</f>
        <v/>
      </c>
      <c r="AB307" s="40"/>
      <c r="AC307" s="41"/>
      <c r="AD307" s="17"/>
      <c r="AE307" s="17"/>
      <c r="AF307" s="17"/>
      <c r="AG307" s="46" t="str">
        <f aca="true">IF(OR(D307="",B307=""),"",INT(TODAY()-B307))</f>
        <v/>
      </c>
      <c r="AH307" s="44" t="str">
        <f aca="true">IF(D307="","",IF(OR(COUNTIFS(Clients!$C$2:$C$501,D307,Clients!$S$2:$S$501,"Paid")&gt;0,AND(H307&lt;&gt;"",COUNTIFS(Clients!$E$2:$E$501,H307,Clients!$S$2:$S$501,"Paid")&gt;0)),"⚠ Refunded before – no free video",IF(OR(X307="Contract signed + paid",X307="Closed – No response",X307="Lost"),"",IF(X307="","Set a stage",IF(AND(X307="Proposal sent",COUNTA(N307:S307)&lt;6),"Score this lead – proposal sent unscored",IF(N(Z307)&gt;=Settings!$S$3,"Close – 4 follow-ups sent",IF(AA307="",IF(Y307="","Make first contact",""),IF(TODAY()&gt;AA307,"OVERDUE follow-up",IF(TODAY()=AA307,"Follow up today","")))))))))</f>
        <v/>
      </c>
    </row>
    <row r="308" customFormat="false" ht="15" hidden="false" customHeight="false" outlineLevel="0" collapsed="false">
      <c r="A308" s="17"/>
      <c r="B308" s="40"/>
      <c r="C308" s="17"/>
      <c r="D308" s="17"/>
      <c r="E308" s="17"/>
      <c r="F308" s="17"/>
      <c r="G308" s="17"/>
      <c r="H308" s="42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44" t="str">
        <f aca="false">IF(OR(D308="",COUNTA(N308:S308)=0),"",SUMIFS(Settings!$AA$2:$AA$21,Settings!$Y$2:$Y$21,"Budget AED 5k+/mo?",Settings!$Z$2:$Z$21,N308)+SUMIFS(Settings!$AA$2:$AA$21,Settings!$Y$2:$Y$21,"Decision-maker?",Settings!$Z$2:$Z$21,O308)+SUMIFS(Settings!$AA$2:$AA$21,Settings!$Y$2:$Y$21,"Someone on camera?",Settings!$Z$2:$Z$21,P308)+SUMIFS(Settings!$AA$2:$AA$21,Settings!$Y$2:$Y$21,"OK with 3-month term?",Settings!$Z$2:$Z$21,Q308)+SUMIFS(Settings!$AA$2:$AA$21,Settings!$Y$2:$Y$21,"Start timeline",Settings!$Z$2:$Z$21,R308)+SUMIFS(Settings!$AA$2:$AA$21,Settings!$Y$2:$Y$21,"Social media gap",Settings!$Z$2:$Z$21,S308)+IF(E308="",0,IF(COUNTIF(Settings!$AC$2:$AC$6,E308)&gt;0,Settings!$AA$20,Settings!$AA$21)))</f>
        <v/>
      </c>
      <c r="U308" s="44" t="str">
        <f aca="false">IF(D308="","",IF(COUNTA(N308:S308)=0,"Not scored",IF(COUNTA(N308:S308)&lt;6,"Partly scored ("&amp;COUNTA(N308:S308)&amp;"/6)",IF(T308&gt;=Settings!$S$8,"Hot",IF(T308&gt;=Settings!$S$9,"Warm","Cold")))))</f>
        <v/>
      </c>
      <c r="V308" s="44" t="str">
        <f aca="false">IF(D308="","",IF(AND(N308="No",P308="No"),"🚩 Budget  ·  🚩 No one on camera",IF(N308="No","🚩 Budget under AED 5k",IF(P308="No","🚩 No one on camera",""))))</f>
        <v/>
      </c>
      <c r="W308" s="17"/>
      <c r="X308" s="17"/>
      <c r="Y308" s="40"/>
      <c r="Z308" s="17"/>
      <c r="AA308" s="45" t="str">
        <f aca="false">IF(OR(D308="",Y308="",OR(X308="Contract signed + paid",X308="Closed – No response",X308="Lost"),N(Z308)&gt;=Settings!$S$3),"",Y308+Settings!$S$2)</f>
        <v/>
      </c>
      <c r="AB308" s="40"/>
      <c r="AC308" s="41"/>
      <c r="AD308" s="17"/>
      <c r="AE308" s="17"/>
      <c r="AF308" s="17"/>
      <c r="AG308" s="46" t="str">
        <f aca="true">IF(OR(D308="",B308=""),"",INT(TODAY()-B308))</f>
        <v/>
      </c>
      <c r="AH308" s="44" t="str">
        <f aca="true">IF(D308="","",IF(OR(COUNTIFS(Clients!$C$2:$C$501,D308,Clients!$S$2:$S$501,"Paid")&gt;0,AND(H308&lt;&gt;"",COUNTIFS(Clients!$E$2:$E$501,H308,Clients!$S$2:$S$501,"Paid")&gt;0)),"⚠ Refunded before – no free video",IF(OR(X308="Contract signed + paid",X308="Closed – No response",X308="Lost"),"",IF(X308="","Set a stage",IF(AND(X308="Proposal sent",COUNTA(N308:S308)&lt;6),"Score this lead – proposal sent unscored",IF(N(Z308)&gt;=Settings!$S$3,"Close – 4 follow-ups sent",IF(AA308="",IF(Y308="","Make first contact",""),IF(TODAY()&gt;AA308,"OVERDUE follow-up",IF(TODAY()=AA308,"Follow up today","")))))))))</f>
        <v/>
      </c>
    </row>
    <row r="309" customFormat="false" ht="15" hidden="false" customHeight="false" outlineLevel="0" collapsed="false">
      <c r="A309" s="17"/>
      <c r="B309" s="40"/>
      <c r="C309" s="17"/>
      <c r="D309" s="17"/>
      <c r="E309" s="17"/>
      <c r="F309" s="17"/>
      <c r="G309" s="17"/>
      <c r="H309" s="42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44" t="str">
        <f aca="false">IF(OR(D309="",COUNTA(N309:S309)=0),"",SUMIFS(Settings!$AA$2:$AA$21,Settings!$Y$2:$Y$21,"Budget AED 5k+/mo?",Settings!$Z$2:$Z$21,N309)+SUMIFS(Settings!$AA$2:$AA$21,Settings!$Y$2:$Y$21,"Decision-maker?",Settings!$Z$2:$Z$21,O309)+SUMIFS(Settings!$AA$2:$AA$21,Settings!$Y$2:$Y$21,"Someone on camera?",Settings!$Z$2:$Z$21,P309)+SUMIFS(Settings!$AA$2:$AA$21,Settings!$Y$2:$Y$21,"OK with 3-month term?",Settings!$Z$2:$Z$21,Q309)+SUMIFS(Settings!$AA$2:$AA$21,Settings!$Y$2:$Y$21,"Start timeline",Settings!$Z$2:$Z$21,R309)+SUMIFS(Settings!$AA$2:$AA$21,Settings!$Y$2:$Y$21,"Social media gap",Settings!$Z$2:$Z$21,S309)+IF(E309="",0,IF(COUNTIF(Settings!$AC$2:$AC$6,E309)&gt;0,Settings!$AA$20,Settings!$AA$21)))</f>
        <v/>
      </c>
      <c r="U309" s="44" t="str">
        <f aca="false">IF(D309="","",IF(COUNTA(N309:S309)=0,"Not scored",IF(COUNTA(N309:S309)&lt;6,"Partly scored ("&amp;COUNTA(N309:S309)&amp;"/6)",IF(T309&gt;=Settings!$S$8,"Hot",IF(T309&gt;=Settings!$S$9,"Warm","Cold")))))</f>
        <v/>
      </c>
      <c r="V309" s="44" t="str">
        <f aca="false">IF(D309="","",IF(AND(N309="No",P309="No"),"🚩 Budget  ·  🚩 No one on camera",IF(N309="No","🚩 Budget under AED 5k",IF(P309="No","🚩 No one on camera",""))))</f>
        <v/>
      </c>
      <c r="W309" s="17"/>
      <c r="X309" s="17"/>
      <c r="Y309" s="40"/>
      <c r="Z309" s="17"/>
      <c r="AA309" s="45" t="str">
        <f aca="false">IF(OR(D309="",Y309="",OR(X309="Contract signed + paid",X309="Closed – No response",X309="Lost"),N(Z309)&gt;=Settings!$S$3),"",Y309+Settings!$S$2)</f>
        <v/>
      </c>
      <c r="AB309" s="40"/>
      <c r="AC309" s="41"/>
      <c r="AD309" s="17"/>
      <c r="AE309" s="17"/>
      <c r="AF309" s="17"/>
      <c r="AG309" s="46" t="str">
        <f aca="true">IF(OR(D309="",B309=""),"",INT(TODAY()-B309))</f>
        <v/>
      </c>
      <c r="AH309" s="44" t="str">
        <f aca="true">IF(D309="","",IF(OR(COUNTIFS(Clients!$C$2:$C$501,D309,Clients!$S$2:$S$501,"Paid")&gt;0,AND(H309&lt;&gt;"",COUNTIFS(Clients!$E$2:$E$501,H309,Clients!$S$2:$S$501,"Paid")&gt;0)),"⚠ Refunded before – no free video",IF(OR(X309="Contract signed + paid",X309="Closed – No response",X309="Lost"),"",IF(X309="","Set a stage",IF(AND(X309="Proposal sent",COUNTA(N309:S309)&lt;6),"Score this lead – proposal sent unscored",IF(N(Z309)&gt;=Settings!$S$3,"Close – 4 follow-ups sent",IF(AA309="",IF(Y309="","Make first contact",""),IF(TODAY()&gt;AA309,"OVERDUE follow-up",IF(TODAY()=AA309,"Follow up today","")))))))))</f>
        <v/>
      </c>
    </row>
    <row r="310" customFormat="false" ht="15" hidden="false" customHeight="false" outlineLevel="0" collapsed="false">
      <c r="A310" s="17"/>
      <c r="B310" s="40"/>
      <c r="C310" s="17"/>
      <c r="D310" s="17"/>
      <c r="E310" s="17"/>
      <c r="F310" s="17"/>
      <c r="G310" s="17"/>
      <c r="H310" s="42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44" t="str">
        <f aca="false">IF(OR(D310="",COUNTA(N310:S310)=0),"",SUMIFS(Settings!$AA$2:$AA$21,Settings!$Y$2:$Y$21,"Budget AED 5k+/mo?",Settings!$Z$2:$Z$21,N310)+SUMIFS(Settings!$AA$2:$AA$21,Settings!$Y$2:$Y$21,"Decision-maker?",Settings!$Z$2:$Z$21,O310)+SUMIFS(Settings!$AA$2:$AA$21,Settings!$Y$2:$Y$21,"Someone on camera?",Settings!$Z$2:$Z$21,P310)+SUMIFS(Settings!$AA$2:$AA$21,Settings!$Y$2:$Y$21,"OK with 3-month term?",Settings!$Z$2:$Z$21,Q310)+SUMIFS(Settings!$AA$2:$AA$21,Settings!$Y$2:$Y$21,"Start timeline",Settings!$Z$2:$Z$21,R310)+SUMIFS(Settings!$AA$2:$AA$21,Settings!$Y$2:$Y$21,"Social media gap",Settings!$Z$2:$Z$21,S310)+IF(E310="",0,IF(COUNTIF(Settings!$AC$2:$AC$6,E310)&gt;0,Settings!$AA$20,Settings!$AA$21)))</f>
        <v/>
      </c>
      <c r="U310" s="44" t="str">
        <f aca="false">IF(D310="","",IF(COUNTA(N310:S310)=0,"Not scored",IF(COUNTA(N310:S310)&lt;6,"Partly scored ("&amp;COUNTA(N310:S310)&amp;"/6)",IF(T310&gt;=Settings!$S$8,"Hot",IF(T310&gt;=Settings!$S$9,"Warm","Cold")))))</f>
        <v/>
      </c>
      <c r="V310" s="44" t="str">
        <f aca="false">IF(D310="","",IF(AND(N310="No",P310="No"),"🚩 Budget  ·  🚩 No one on camera",IF(N310="No","🚩 Budget under AED 5k",IF(P310="No","🚩 No one on camera",""))))</f>
        <v/>
      </c>
      <c r="W310" s="17"/>
      <c r="X310" s="17"/>
      <c r="Y310" s="40"/>
      <c r="Z310" s="17"/>
      <c r="AA310" s="45" t="str">
        <f aca="false">IF(OR(D310="",Y310="",OR(X310="Contract signed + paid",X310="Closed – No response",X310="Lost"),N(Z310)&gt;=Settings!$S$3),"",Y310+Settings!$S$2)</f>
        <v/>
      </c>
      <c r="AB310" s="40"/>
      <c r="AC310" s="41"/>
      <c r="AD310" s="17"/>
      <c r="AE310" s="17"/>
      <c r="AF310" s="17"/>
      <c r="AG310" s="46" t="str">
        <f aca="true">IF(OR(D310="",B310=""),"",INT(TODAY()-B310))</f>
        <v/>
      </c>
      <c r="AH310" s="44" t="str">
        <f aca="true">IF(D310="","",IF(OR(COUNTIFS(Clients!$C$2:$C$501,D310,Clients!$S$2:$S$501,"Paid")&gt;0,AND(H310&lt;&gt;"",COUNTIFS(Clients!$E$2:$E$501,H310,Clients!$S$2:$S$501,"Paid")&gt;0)),"⚠ Refunded before – no free video",IF(OR(X310="Contract signed + paid",X310="Closed – No response",X310="Lost"),"",IF(X310="","Set a stage",IF(AND(X310="Proposal sent",COUNTA(N310:S310)&lt;6),"Score this lead – proposal sent unscored",IF(N(Z310)&gt;=Settings!$S$3,"Close – 4 follow-ups sent",IF(AA310="",IF(Y310="","Make first contact",""),IF(TODAY()&gt;AA310,"OVERDUE follow-up",IF(TODAY()=AA310,"Follow up today","")))))))))</f>
        <v/>
      </c>
    </row>
    <row r="311" customFormat="false" ht="15" hidden="false" customHeight="false" outlineLevel="0" collapsed="false">
      <c r="A311" s="17"/>
      <c r="B311" s="40"/>
      <c r="C311" s="17"/>
      <c r="D311" s="17"/>
      <c r="E311" s="17"/>
      <c r="F311" s="17"/>
      <c r="G311" s="17"/>
      <c r="H311" s="42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44" t="str">
        <f aca="false">IF(OR(D311="",COUNTA(N311:S311)=0),"",SUMIFS(Settings!$AA$2:$AA$21,Settings!$Y$2:$Y$21,"Budget AED 5k+/mo?",Settings!$Z$2:$Z$21,N311)+SUMIFS(Settings!$AA$2:$AA$21,Settings!$Y$2:$Y$21,"Decision-maker?",Settings!$Z$2:$Z$21,O311)+SUMIFS(Settings!$AA$2:$AA$21,Settings!$Y$2:$Y$21,"Someone on camera?",Settings!$Z$2:$Z$21,P311)+SUMIFS(Settings!$AA$2:$AA$21,Settings!$Y$2:$Y$21,"OK with 3-month term?",Settings!$Z$2:$Z$21,Q311)+SUMIFS(Settings!$AA$2:$AA$21,Settings!$Y$2:$Y$21,"Start timeline",Settings!$Z$2:$Z$21,R311)+SUMIFS(Settings!$AA$2:$AA$21,Settings!$Y$2:$Y$21,"Social media gap",Settings!$Z$2:$Z$21,S311)+IF(E311="",0,IF(COUNTIF(Settings!$AC$2:$AC$6,E311)&gt;0,Settings!$AA$20,Settings!$AA$21)))</f>
        <v/>
      </c>
      <c r="U311" s="44" t="str">
        <f aca="false">IF(D311="","",IF(COUNTA(N311:S311)=0,"Not scored",IF(COUNTA(N311:S311)&lt;6,"Partly scored ("&amp;COUNTA(N311:S311)&amp;"/6)",IF(T311&gt;=Settings!$S$8,"Hot",IF(T311&gt;=Settings!$S$9,"Warm","Cold")))))</f>
        <v/>
      </c>
      <c r="V311" s="44" t="str">
        <f aca="false">IF(D311="","",IF(AND(N311="No",P311="No"),"🚩 Budget  ·  🚩 No one on camera",IF(N311="No","🚩 Budget under AED 5k",IF(P311="No","🚩 No one on camera",""))))</f>
        <v/>
      </c>
      <c r="W311" s="17"/>
      <c r="X311" s="17"/>
      <c r="Y311" s="40"/>
      <c r="Z311" s="17"/>
      <c r="AA311" s="45" t="str">
        <f aca="false">IF(OR(D311="",Y311="",OR(X311="Contract signed + paid",X311="Closed – No response",X311="Lost"),N(Z311)&gt;=Settings!$S$3),"",Y311+Settings!$S$2)</f>
        <v/>
      </c>
      <c r="AB311" s="40"/>
      <c r="AC311" s="41"/>
      <c r="AD311" s="17"/>
      <c r="AE311" s="17"/>
      <c r="AF311" s="17"/>
      <c r="AG311" s="46" t="str">
        <f aca="true">IF(OR(D311="",B311=""),"",INT(TODAY()-B311))</f>
        <v/>
      </c>
      <c r="AH311" s="44" t="str">
        <f aca="true">IF(D311="","",IF(OR(COUNTIFS(Clients!$C$2:$C$501,D311,Clients!$S$2:$S$501,"Paid")&gt;0,AND(H311&lt;&gt;"",COUNTIFS(Clients!$E$2:$E$501,H311,Clients!$S$2:$S$501,"Paid")&gt;0)),"⚠ Refunded before – no free video",IF(OR(X311="Contract signed + paid",X311="Closed – No response",X311="Lost"),"",IF(X311="","Set a stage",IF(AND(X311="Proposal sent",COUNTA(N311:S311)&lt;6),"Score this lead – proposal sent unscored",IF(N(Z311)&gt;=Settings!$S$3,"Close – 4 follow-ups sent",IF(AA311="",IF(Y311="","Make first contact",""),IF(TODAY()&gt;AA311,"OVERDUE follow-up",IF(TODAY()=AA311,"Follow up today","")))))))))</f>
        <v/>
      </c>
    </row>
    <row r="312" customFormat="false" ht="15" hidden="false" customHeight="false" outlineLevel="0" collapsed="false">
      <c r="A312" s="17"/>
      <c r="B312" s="40"/>
      <c r="C312" s="17"/>
      <c r="D312" s="17"/>
      <c r="E312" s="17"/>
      <c r="F312" s="17"/>
      <c r="G312" s="17"/>
      <c r="H312" s="42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44" t="str">
        <f aca="false">IF(OR(D312="",COUNTA(N312:S312)=0),"",SUMIFS(Settings!$AA$2:$AA$21,Settings!$Y$2:$Y$21,"Budget AED 5k+/mo?",Settings!$Z$2:$Z$21,N312)+SUMIFS(Settings!$AA$2:$AA$21,Settings!$Y$2:$Y$21,"Decision-maker?",Settings!$Z$2:$Z$21,O312)+SUMIFS(Settings!$AA$2:$AA$21,Settings!$Y$2:$Y$21,"Someone on camera?",Settings!$Z$2:$Z$21,P312)+SUMIFS(Settings!$AA$2:$AA$21,Settings!$Y$2:$Y$21,"OK with 3-month term?",Settings!$Z$2:$Z$21,Q312)+SUMIFS(Settings!$AA$2:$AA$21,Settings!$Y$2:$Y$21,"Start timeline",Settings!$Z$2:$Z$21,R312)+SUMIFS(Settings!$AA$2:$AA$21,Settings!$Y$2:$Y$21,"Social media gap",Settings!$Z$2:$Z$21,S312)+IF(E312="",0,IF(COUNTIF(Settings!$AC$2:$AC$6,E312)&gt;0,Settings!$AA$20,Settings!$AA$21)))</f>
        <v/>
      </c>
      <c r="U312" s="44" t="str">
        <f aca="false">IF(D312="","",IF(COUNTA(N312:S312)=0,"Not scored",IF(COUNTA(N312:S312)&lt;6,"Partly scored ("&amp;COUNTA(N312:S312)&amp;"/6)",IF(T312&gt;=Settings!$S$8,"Hot",IF(T312&gt;=Settings!$S$9,"Warm","Cold")))))</f>
        <v/>
      </c>
      <c r="V312" s="44" t="str">
        <f aca="false">IF(D312="","",IF(AND(N312="No",P312="No"),"🚩 Budget  ·  🚩 No one on camera",IF(N312="No","🚩 Budget under AED 5k",IF(P312="No","🚩 No one on camera",""))))</f>
        <v/>
      </c>
      <c r="W312" s="17"/>
      <c r="X312" s="17"/>
      <c r="Y312" s="40"/>
      <c r="Z312" s="17"/>
      <c r="AA312" s="45" t="str">
        <f aca="false">IF(OR(D312="",Y312="",OR(X312="Contract signed + paid",X312="Closed – No response",X312="Lost"),N(Z312)&gt;=Settings!$S$3),"",Y312+Settings!$S$2)</f>
        <v/>
      </c>
      <c r="AB312" s="40"/>
      <c r="AC312" s="41"/>
      <c r="AD312" s="17"/>
      <c r="AE312" s="17"/>
      <c r="AF312" s="17"/>
      <c r="AG312" s="46" t="str">
        <f aca="true">IF(OR(D312="",B312=""),"",INT(TODAY()-B312))</f>
        <v/>
      </c>
      <c r="AH312" s="44" t="str">
        <f aca="true">IF(D312="","",IF(OR(COUNTIFS(Clients!$C$2:$C$501,D312,Clients!$S$2:$S$501,"Paid")&gt;0,AND(H312&lt;&gt;"",COUNTIFS(Clients!$E$2:$E$501,H312,Clients!$S$2:$S$501,"Paid")&gt;0)),"⚠ Refunded before – no free video",IF(OR(X312="Contract signed + paid",X312="Closed – No response",X312="Lost"),"",IF(X312="","Set a stage",IF(AND(X312="Proposal sent",COUNTA(N312:S312)&lt;6),"Score this lead – proposal sent unscored",IF(N(Z312)&gt;=Settings!$S$3,"Close – 4 follow-ups sent",IF(AA312="",IF(Y312="","Make first contact",""),IF(TODAY()&gt;AA312,"OVERDUE follow-up",IF(TODAY()=AA312,"Follow up today","")))))))))</f>
        <v/>
      </c>
    </row>
    <row r="313" customFormat="false" ht="15" hidden="false" customHeight="false" outlineLevel="0" collapsed="false">
      <c r="A313" s="17"/>
      <c r="B313" s="40"/>
      <c r="C313" s="17"/>
      <c r="D313" s="17"/>
      <c r="E313" s="17"/>
      <c r="F313" s="17"/>
      <c r="G313" s="17"/>
      <c r="H313" s="42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44" t="str">
        <f aca="false">IF(OR(D313="",COUNTA(N313:S313)=0),"",SUMIFS(Settings!$AA$2:$AA$21,Settings!$Y$2:$Y$21,"Budget AED 5k+/mo?",Settings!$Z$2:$Z$21,N313)+SUMIFS(Settings!$AA$2:$AA$21,Settings!$Y$2:$Y$21,"Decision-maker?",Settings!$Z$2:$Z$21,O313)+SUMIFS(Settings!$AA$2:$AA$21,Settings!$Y$2:$Y$21,"Someone on camera?",Settings!$Z$2:$Z$21,P313)+SUMIFS(Settings!$AA$2:$AA$21,Settings!$Y$2:$Y$21,"OK with 3-month term?",Settings!$Z$2:$Z$21,Q313)+SUMIFS(Settings!$AA$2:$AA$21,Settings!$Y$2:$Y$21,"Start timeline",Settings!$Z$2:$Z$21,R313)+SUMIFS(Settings!$AA$2:$AA$21,Settings!$Y$2:$Y$21,"Social media gap",Settings!$Z$2:$Z$21,S313)+IF(E313="",0,IF(COUNTIF(Settings!$AC$2:$AC$6,E313)&gt;0,Settings!$AA$20,Settings!$AA$21)))</f>
        <v/>
      </c>
      <c r="U313" s="44" t="str">
        <f aca="false">IF(D313="","",IF(COUNTA(N313:S313)=0,"Not scored",IF(COUNTA(N313:S313)&lt;6,"Partly scored ("&amp;COUNTA(N313:S313)&amp;"/6)",IF(T313&gt;=Settings!$S$8,"Hot",IF(T313&gt;=Settings!$S$9,"Warm","Cold")))))</f>
        <v/>
      </c>
      <c r="V313" s="44" t="str">
        <f aca="false">IF(D313="","",IF(AND(N313="No",P313="No"),"🚩 Budget  ·  🚩 No one on camera",IF(N313="No","🚩 Budget under AED 5k",IF(P313="No","🚩 No one on camera",""))))</f>
        <v/>
      </c>
      <c r="W313" s="17"/>
      <c r="X313" s="17"/>
      <c r="Y313" s="40"/>
      <c r="Z313" s="17"/>
      <c r="AA313" s="45" t="str">
        <f aca="false">IF(OR(D313="",Y313="",OR(X313="Contract signed + paid",X313="Closed – No response",X313="Lost"),N(Z313)&gt;=Settings!$S$3),"",Y313+Settings!$S$2)</f>
        <v/>
      </c>
      <c r="AB313" s="40"/>
      <c r="AC313" s="41"/>
      <c r="AD313" s="17"/>
      <c r="AE313" s="17"/>
      <c r="AF313" s="17"/>
      <c r="AG313" s="46" t="str">
        <f aca="true">IF(OR(D313="",B313=""),"",INT(TODAY()-B313))</f>
        <v/>
      </c>
      <c r="AH313" s="44" t="str">
        <f aca="true">IF(D313="","",IF(OR(COUNTIFS(Clients!$C$2:$C$501,D313,Clients!$S$2:$S$501,"Paid")&gt;0,AND(H313&lt;&gt;"",COUNTIFS(Clients!$E$2:$E$501,H313,Clients!$S$2:$S$501,"Paid")&gt;0)),"⚠ Refunded before – no free video",IF(OR(X313="Contract signed + paid",X313="Closed – No response",X313="Lost"),"",IF(X313="","Set a stage",IF(AND(X313="Proposal sent",COUNTA(N313:S313)&lt;6),"Score this lead – proposal sent unscored",IF(N(Z313)&gt;=Settings!$S$3,"Close – 4 follow-ups sent",IF(AA313="",IF(Y313="","Make first contact",""),IF(TODAY()&gt;AA313,"OVERDUE follow-up",IF(TODAY()=AA313,"Follow up today","")))))))))</f>
        <v/>
      </c>
    </row>
    <row r="314" customFormat="false" ht="15" hidden="false" customHeight="false" outlineLevel="0" collapsed="false">
      <c r="A314" s="17"/>
      <c r="B314" s="40"/>
      <c r="C314" s="17"/>
      <c r="D314" s="17"/>
      <c r="E314" s="17"/>
      <c r="F314" s="17"/>
      <c r="G314" s="17"/>
      <c r="H314" s="42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44" t="str">
        <f aca="false">IF(OR(D314="",COUNTA(N314:S314)=0),"",SUMIFS(Settings!$AA$2:$AA$21,Settings!$Y$2:$Y$21,"Budget AED 5k+/mo?",Settings!$Z$2:$Z$21,N314)+SUMIFS(Settings!$AA$2:$AA$21,Settings!$Y$2:$Y$21,"Decision-maker?",Settings!$Z$2:$Z$21,O314)+SUMIFS(Settings!$AA$2:$AA$21,Settings!$Y$2:$Y$21,"Someone on camera?",Settings!$Z$2:$Z$21,P314)+SUMIFS(Settings!$AA$2:$AA$21,Settings!$Y$2:$Y$21,"OK with 3-month term?",Settings!$Z$2:$Z$21,Q314)+SUMIFS(Settings!$AA$2:$AA$21,Settings!$Y$2:$Y$21,"Start timeline",Settings!$Z$2:$Z$21,R314)+SUMIFS(Settings!$AA$2:$AA$21,Settings!$Y$2:$Y$21,"Social media gap",Settings!$Z$2:$Z$21,S314)+IF(E314="",0,IF(COUNTIF(Settings!$AC$2:$AC$6,E314)&gt;0,Settings!$AA$20,Settings!$AA$21)))</f>
        <v/>
      </c>
      <c r="U314" s="44" t="str">
        <f aca="false">IF(D314="","",IF(COUNTA(N314:S314)=0,"Not scored",IF(COUNTA(N314:S314)&lt;6,"Partly scored ("&amp;COUNTA(N314:S314)&amp;"/6)",IF(T314&gt;=Settings!$S$8,"Hot",IF(T314&gt;=Settings!$S$9,"Warm","Cold")))))</f>
        <v/>
      </c>
      <c r="V314" s="44" t="str">
        <f aca="false">IF(D314="","",IF(AND(N314="No",P314="No"),"🚩 Budget  ·  🚩 No one on camera",IF(N314="No","🚩 Budget under AED 5k",IF(P314="No","🚩 No one on camera",""))))</f>
        <v/>
      </c>
      <c r="W314" s="17"/>
      <c r="X314" s="17"/>
      <c r="Y314" s="40"/>
      <c r="Z314" s="17"/>
      <c r="AA314" s="45" t="str">
        <f aca="false">IF(OR(D314="",Y314="",OR(X314="Contract signed + paid",X314="Closed – No response",X314="Lost"),N(Z314)&gt;=Settings!$S$3),"",Y314+Settings!$S$2)</f>
        <v/>
      </c>
      <c r="AB314" s="40"/>
      <c r="AC314" s="41"/>
      <c r="AD314" s="17"/>
      <c r="AE314" s="17"/>
      <c r="AF314" s="17"/>
      <c r="AG314" s="46" t="str">
        <f aca="true">IF(OR(D314="",B314=""),"",INT(TODAY()-B314))</f>
        <v/>
      </c>
      <c r="AH314" s="44" t="str">
        <f aca="true">IF(D314="","",IF(OR(COUNTIFS(Clients!$C$2:$C$501,D314,Clients!$S$2:$S$501,"Paid")&gt;0,AND(H314&lt;&gt;"",COUNTIFS(Clients!$E$2:$E$501,H314,Clients!$S$2:$S$501,"Paid")&gt;0)),"⚠ Refunded before – no free video",IF(OR(X314="Contract signed + paid",X314="Closed – No response",X314="Lost"),"",IF(X314="","Set a stage",IF(AND(X314="Proposal sent",COUNTA(N314:S314)&lt;6),"Score this lead – proposal sent unscored",IF(N(Z314)&gt;=Settings!$S$3,"Close – 4 follow-ups sent",IF(AA314="",IF(Y314="","Make first contact",""),IF(TODAY()&gt;AA314,"OVERDUE follow-up",IF(TODAY()=AA314,"Follow up today","")))))))))</f>
        <v/>
      </c>
    </row>
    <row r="315" customFormat="false" ht="15" hidden="false" customHeight="false" outlineLevel="0" collapsed="false">
      <c r="A315" s="17"/>
      <c r="B315" s="40"/>
      <c r="C315" s="17"/>
      <c r="D315" s="17"/>
      <c r="E315" s="17"/>
      <c r="F315" s="17"/>
      <c r="G315" s="17"/>
      <c r="H315" s="42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44" t="str">
        <f aca="false">IF(OR(D315="",COUNTA(N315:S315)=0),"",SUMIFS(Settings!$AA$2:$AA$21,Settings!$Y$2:$Y$21,"Budget AED 5k+/mo?",Settings!$Z$2:$Z$21,N315)+SUMIFS(Settings!$AA$2:$AA$21,Settings!$Y$2:$Y$21,"Decision-maker?",Settings!$Z$2:$Z$21,O315)+SUMIFS(Settings!$AA$2:$AA$21,Settings!$Y$2:$Y$21,"Someone on camera?",Settings!$Z$2:$Z$21,P315)+SUMIFS(Settings!$AA$2:$AA$21,Settings!$Y$2:$Y$21,"OK with 3-month term?",Settings!$Z$2:$Z$21,Q315)+SUMIFS(Settings!$AA$2:$AA$21,Settings!$Y$2:$Y$21,"Start timeline",Settings!$Z$2:$Z$21,R315)+SUMIFS(Settings!$AA$2:$AA$21,Settings!$Y$2:$Y$21,"Social media gap",Settings!$Z$2:$Z$21,S315)+IF(E315="",0,IF(COUNTIF(Settings!$AC$2:$AC$6,E315)&gt;0,Settings!$AA$20,Settings!$AA$21)))</f>
        <v/>
      </c>
      <c r="U315" s="44" t="str">
        <f aca="false">IF(D315="","",IF(COUNTA(N315:S315)=0,"Not scored",IF(COUNTA(N315:S315)&lt;6,"Partly scored ("&amp;COUNTA(N315:S315)&amp;"/6)",IF(T315&gt;=Settings!$S$8,"Hot",IF(T315&gt;=Settings!$S$9,"Warm","Cold")))))</f>
        <v/>
      </c>
      <c r="V315" s="44" t="str">
        <f aca="false">IF(D315="","",IF(AND(N315="No",P315="No"),"🚩 Budget  ·  🚩 No one on camera",IF(N315="No","🚩 Budget under AED 5k",IF(P315="No","🚩 No one on camera",""))))</f>
        <v/>
      </c>
      <c r="W315" s="17"/>
      <c r="X315" s="17"/>
      <c r="Y315" s="40"/>
      <c r="Z315" s="17"/>
      <c r="AA315" s="45" t="str">
        <f aca="false">IF(OR(D315="",Y315="",OR(X315="Contract signed + paid",X315="Closed – No response",X315="Lost"),N(Z315)&gt;=Settings!$S$3),"",Y315+Settings!$S$2)</f>
        <v/>
      </c>
      <c r="AB315" s="40"/>
      <c r="AC315" s="41"/>
      <c r="AD315" s="17"/>
      <c r="AE315" s="17"/>
      <c r="AF315" s="17"/>
      <c r="AG315" s="46" t="str">
        <f aca="true">IF(OR(D315="",B315=""),"",INT(TODAY()-B315))</f>
        <v/>
      </c>
      <c r="AH315" s="44" t="str">
        <f aca="true">IF(D315="","",IF(OR(COUNTIFS(Clients!$C$2:$C$501,D315,Clients!$S$2:$S$501,"Paid")&gt;0,AND(H315&lt;&gt;"",COUNTIFS(Clients!$E$2:$E$501,H315,Clients!$S$2:$S$501,"Paid")&gt;0)),"⚠ Refunded before – no free video",IF(OR(X315="Contract signed + paid",X315="Closed – No response",X315="Lost"),"",IF(X315="","Set a stage",IF(AND(X315="Proposal sent",COUNTA(N315:S315)&lt;6),"Score this lead – proposal sent unscored",IF(N(Z315)&gt;=Settings!$S$3,"Close – 4 follow-ups sent",IF(AA315="",IF(Y315="","Make first contact",""),IF(TODAY()&gt;AA315,"OVERDUE follow-up",IF(TODAY()=AA315,"Follow up today","")))))))))</f>
        <v/>
      </c>
    </row>
    <row r="316" customFormat="false" ht="15" hidden="false" customHeight="false" outlineLevel="0" collapsed="false">
      <c r="A316" s="17"/>
      <c r="B316" s="40"/>
      <c r="C316" s="17"/>
      <c r="D316" s="17"/>
      <c r="E316" s="17"/>
      <c r="F316" s="17"/>
      <c r="G316" s="17"/>
      <c r="H316" s="42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44" t="str">
        <f aca="false">IF(OR(D316="",COUNTA(N316:S316)=0),"",SUMIFS(Settings!$AA$2:$AA$21,Settings!$Y$2:$Y$21,"Budget AED 5k+/mo?",Settings!$Z$2:$Z$21,N316)+SUMIFS(Settings!$AA$2:$AA$21,Settings!$Y$2:$Y$21,"Decision-maker?",Settings!$Z$2:$Z$21,O316)+SUMIFS(Settings!$AA$2:$AA$21,Settings!$Y$2:$Y$21,"Someone on camera?",Settings!$Z$2:$Z$21,P316)+SUMIFS(Settings!$AA$2:$AA$21,Settings!$Y$2:$Y$21,"OK with 3-month term?",Settings!$Z$2:$Z$21,Q316)+SUMIFS(Settings!$AA$2:$AA$21,Settings!$Y$2:$Y$21,"Start timeline",Settings!$Z$2:$Z$21,R316)+SUMIFS(Settings!$AA$2:$AA$21,Settings!$Y$2:$Y$21,"Social media gap",Settings!$Z$2:$Z$21,S316)+IF(E316="",0,IF(COUNTIF(Settings!$AC$2:$AC$6,E316)&gt;0,Settings!$AA$20,Settings!$AA$21)))</f>
        <v/>
      </c>
      <c r="U316" s="44" t="str">
        <f aca="false">IF(D316="","",IF(COUNTA(N316:S316)=0,"Not scored",IF(COUNTA(N316:S316)&lt;6,"Partly scored ("&amp;COUNTA(N316:S316)&amp;"/6)",IF(T316&gt;=Settings!$S$8,"Hot",IF(T316&gt;=Settings!$S$9,"Warm","Cold")))))</f>
        <v/>
      </c>
      <c r="V316" s="44" t="str">
        <f aca="false">IF(D316="","",IF(AND(N316="No",P316="No"),"🚩 Budget  ·  🚩 No one on camera",IF(N316="No","🚩 Budget under AED 5k",IF(P316="No","🚩 No one on camera",""))))</f>
        <v/>
      </c>
      <c r="W316" s="17"/>
      <c r="X316" s="17"/>
      <c r="Y316" s="40"/>
      <c r="Z316" s="17"/>
      <c r="AA316" s="45" t="str">
        <f aca="false">IF(OR(D316="",Y316="",OR(X316="Contract signed + paid",X316="Closed – No response",X316="Lost"),N(Z316)&gt;=Settings!$S$3),"",Y316+Settings!$S$2)</f>
        <v/>
      </c>
      <c r="AB316" s="40"/>
      <c r="AC316" s="41"/>
      <c r="AD316" s="17"/>
      <c r="AE316" s="17"/>
      <c r="AF316" s="17"/>
      <c r="AG316" s="46" t="str">
        <f aca="true">IF(OR(D316="",B316=""),"",INT(TODAY()-B316))</f>
        <v/>
      </c>
      <c r="AH316" s="44" t="str">
        <f aca="true">IF(D316="","",IF(OR(COUNTIFS(Clients!$C$2:$C$501,D316,Clients!$S$2:$S$501,"Paid")&gt;0,AND(H316&lt;&gt;"",COUNTIFS(Clients!$E$2:$E$501,H316,Clients!$S$2:$S$501,"Paid")&gt;0)),"⚠ Refunded before – no free video",IF(OR(X316="Contract signed + paid",X316="Closed – No response",X316="Lost"),"",IF(X316="","Set a stage",IF(AND(X316="Proposal sent",COUNTA(N316:S316)&lt;6),"Score this lead – proposal sent unscored",IF(N(Z316)&gt;=Settings!$S$3,"Close – 4 follow-ups sent",IF(AA316="",IF(Y316="","Make first contact",""),IF(TODAY()&gt;AA316,"OVERDUE follow-up",IF(TODAY()=AA316,"Follow up today","")))))))))</f>
        <v/>
      </c>
    </row>
    <row r="317" customFormat="false" ht="15" hidden="false" customHeight="false" outlineLevel="0" collapsed="false">
      <c r="A317" s="17"/>
      <c r="B317" s="40"/>
      <c r="C317" s="17"/>
      <c r="D317" s="17"/>
      <c r="E317" s="17"/>
      <c r="F317" s="17"/>
      <c r="G317" s="17"/>
      <c r="H317" s="42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44" t="str">
        <f aca="false">IF(OR(D317="",COUNTA(N317:S317)=0),"",SUMIFS(Settings!$AA$2:$AA$21,Settings!$Y$2:$Y$21,"Budget AED 5k+/mo?",Settings!$Z$2:$Z$21,N317)+SUMIFS(Settings!$AA$2:$AA$21,Settings!$Y$2:$Y$21,"Decision-maker?",Settings!$Z$2:$Z$21,O317)+SUMIFS(Settings!$AA$2:$AA$21,Settings!$Y$2:$Y$21,"Someone on camera?",Settings!$Z$2:$Z$21,P317)+SUMIFS(Settings!$AA$2:$AA$21,Settings!$Y$2:$Y$21,"OK with 3-month term?",Settings!$Z$2:$Z$21,Q317)+SUMIFS(Settings!$AA$2:$AA$21,Settings!$Y$2:$Y$21,"Start timeline",Settings!$Z$2:$Z$21,R317)+SUMIFS(Settings!$AA$2:$AA$21,Settings!$Y$2:$Y$21,"Social media gap",Settings!$Z$2:$Z$21,S317)+IF(E317="",0,IF(COUNTIF(Settings!$AC$2:$AC$6,E317)&gt;0,Settings!$AA$20,Settings!$AA$21)))</f>
        <v/>
      </c>
      <c r="U317" s="44" t="str">
        <f aca="false">IF(D317="","",IF(COUNTA(N317:S317)=0,"Not scored",IF(COUNTA(N317:S317)&lt;6,"Partly scored ("&amp;COUNTA(N317:S317)&amp;"/6)",IF(T317&gt;=Settings!$S$8,"Hot",IF(T317&gt;=Settings!$S$9,"Warm","Cold")))))</f>
        <v/>
      </c>
      <c r="V317" s="44" t="str">
        <f aca="false">IF(D317="","",IF(AND(N317="No",P317="No"),"🚩 Budget  ·  🚩 No one on camera",IF(N317="No","🚩 Budget under AED 5k",IF(P317="No","🚩 No one on camera",""))))</f>
        <v/>
      </c>
      <c r="W317" s="17"/>
      <c r="X317" s="17"/>
      <c r="Y317" s="40"/>
      <c r="Z317" s="17"/>
      <c r="AA317" s="45" t="str">
        <f aca="false">IF(OR(D317="",Y317="",OR(X317="Contract signed + paid",X317="Closed – No response",X317="Lost"),N(Z317)&gt;=Settings!$S$3),"",Y317+Settings!$S$2)</f>
        <v/>
      </c>
      <c r="AB317" s="40"/>
      <c r="AC317" s="41"/>
      <c r="AD317" s="17"/>
      <c r="AE317" s="17"/>
      <c r="AF317" s="17"/>
      <c r="AG317" s="46" t="str">
        <f aca="true">IF(OR(D317="",B317=""),"",INT(TODAY()-B317))</f>
        <v/>
      </c>
      <c r="AH317" s="44" t="str">
        <f aca="true">IF(D317="","",IF(OR(COUNTIFS(Clients!$C$2:$C$501,D317,Clients!$S$2:$S$501,"Paid")&gt;0,AND(H317&lt;&gt;"",COUNTIFS(Clients!$E$2:$E$501,H317,Clients!$S$2:$S$501,"Paid")&gt;0)),"⚠ Refunded before – no free video",IF(OR(X317="Contract signed + paid",X317="Closed – No response",X317="Lost"),"",IF(X317="","Set a stage",IF(AND(X317="Proposal sent",COUNTA(N317:S317)&lt;6),"Score this lead – proposal sent unscored",IF(N(Z317)&gt;=Settings!$S$3,"Close – 4 follow-ups sent",IF(AA317="",IF(Y317="","Make first contact",""),IF(TODAY()&gt;AA317,"OVERDUE follow-up",IF(TODAY()=AA317,"Follow up today","")))))))))</f>
        <v/>
      </c>
    </row>
    <row r="318" customFormat="false" ht="15" hidden="false" customHeight="false" outlineLevel="0" collapsed="false">
      <c r="A318" s="17"/>
      <c r="B318" s="40"/>
      <c r="C318" s="17"/>
      <c r="D318" s="17"/>
      <c r="E318" s="17"/>
      <c r="F318" s="17"/>
      <c r="G318" s="17"/>
      <c r="H318" s="42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44" t="str">
        <f aca="false">IF(OR(D318="",COUNTA(N318:S318)=0),"",SUMIFS(Settings!$AA$2:$AA$21,Settings!$Y$2:$Y$21,"Budget AED 5k+/mo?",Settings!$Z$2:$Z$21,N318)+SUMIFS(Settings!$AA$2:$AA$21,Settings!$Y$2:$Y$21,"Decision-maker?",Settings!$Z$2:$Z$21,O318)+SUMIFS(Settings!$AA$2:$AA$21,Settings!$Y$2:$Y$21,"Someone on camera?",Settings!$Z$2:$Z$21,P318)+SUMIFS(Settings!$AA$2:$AA$21,Settings!$Y$2:$Y$21,"OK with 3-month term?",Settings!$Z$2:$Z$21,Q318)+SUMIFS(Settings!$AA$2:$AA$21,Settings!$Y$2:$Y$21,"Start timeline",Settings!$Z$2:$Z$21,R318)+SUMIFS(Settings!$AA$2:$AA$21,Settings!$Y$2:$Y$21,"Social media gap",Settings!$Z$2:$Z$21,S318)+IF(E318="",0,IF(COUNTIF(Settings!$AC$2:$AC$6,E318)&gt;0,Settings!$AA$20,Settings!$AA$21)))</f>
        <v/>
      </c>
      <c r="U318" s="44" t="str">
        <f aca="false">IF(D318="","",IF(COUNTA(N318:S318)=0,"Not scored",IF(COUNTA(N318:S318)&lt;6,"Partly scored ("&amp;COUNTA(N318:S318)&amp;"/6)",IF(T318&gt;=Settings!$S$8,"Hot",IF(T318&gt;=Settings!$S$9,"Warm","Cold")))))</f>
        <v/>
      </c>
      <c r="V318" s="44" t="str">
        <f aca="false">IF(D318="","",IF(AND(N318="No",P318="No"),"🚩 Budget  ·  🚩 No one on camera",IF(N318="No","🚩 Budget under AED 5k",IF(P318="No","🚩 No one on camera",""))))</f>
        <v/>
      </c>
      <c r="W318" s="17"/>
      <c r="X318" s="17"/>
      <c r="Y318" s="40"/>
      <c r="Z318" s="17"/>
      <c r="AA318" s="45" t="str">
        <f aca="false">IF(OR(D318="",Y318="",OR(X318="Contract signed + paid",X318="Closed – No response",X318="Lost"),N(Z318)&gt;=Settings!$S$3),"",Y318+Settings!$S$2)</f>
        <v/>
      </c>
      <c r="AB318" s="40"/>
      <c r="AC318" s="41"/>
      <c r="AD318" s="17"/>
      <c r="AE318" s="17"/>
      <c r="AF318" s="17"/>
      <c r="AG318" s="46" t="str">
        <f aca="true">IF(OR(D318="",B318=""),"",INT(TODAY()-B318))</f>
        <v/>
      </c>
      <c r="AH318" s="44" t="str">
        <f aca="true">IF(D318="","",IF(OR(COUNTIFS(Clients!$C$2:$C$501,D318,Clients!$S$2:$S$501,"Paid")&gt;0,AND(H318&lt;&gt;"",COUNTIFS(Clients!$E$2:$E$501,H318,Clients!$S$2:$S$501,"Paid")&gt;0)),"⚠ Refunded before – no free video",IF(OR(X318="Contract signed + paid",X318="Closed – No response",X318="Lost"),"",IF(X318="","Set a stage",IF(AND(X318="Proposal sent",COUNTA(N318:S318)&lt;6),"Score this lead – proposal sent unscored",IF(N(Z318)&gt;=Settings!$S$3,"Close – 4 follow-ups sent",IF(AA318="",IF(Y318="","Make first contact",""),IF(TODAY()&gt;AA318,"OVERDUE follow-up",IF(TODAY()=AA318,"Follow up today","")))))))))</f>
        <v/>
      </c>
    </row>
    <row r="319" customFormat="false" ht="15" hidden="false" customHeight="false" outlineLevel="0" collapsed="false">
      <c r="A319" s="17"/>
      <c r="B319" s="40"/>
      <c r="C319" s="17"/>
      <c r="D319" s="17"/>
      <c r="E319" s="17"/>
      <c r="F319" s="17"/>
      <c r="G319" s="17"/>
      <c r="H319" s="42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44" t="str">
        <f aca="false">IF(OR(D319="",COUNTA(N319:S319)=0),"",SUMIFS(Settings!$AA$2:$AA$21,Settings!$Y$2:$Y$21,"Budget AED 5k+/mo?",Settings!$Z$2:$Z$21,N319)+SUMIFS(Settings!$AA$2:$AA$21,Settings!$Y$2:$Y$21,"Decision-maker?",Settings!$Z$2:$Z$21,O319)+SUMIFS(Settings!$AA$2:$AA$21,Settings!$Y$2:$Y$21,"Someone on camera?",Settings!$Z$2:$Z$21,P319)+SUMIFS(Settings!$AA$2:$AA$21,Settings!$Y$2:$Y$21,"OK with 3-month term?",Settings!$Z$2:$Z$21,Q319)+SUMIFS(Settings!$AA$2:$AA$21,Settings!$Y$2:$Y$21,"Start timeline",Settings!$Z$2:$Z$21,R319)+SUMIFS(Settings!$AA$2:$AA$21,Settings!$Y$2:$Y$21,"Social media gap",Settings!$Z$2:$Z$21,S319)+IF(E319="",0,IF(COUNTIF(Settings!$AC$2:$AC$6,E319)&gt;0,Settings!$AA$20,Settings!$AA$21)))</f>
        <v/>
      </c>
      <c r="U319" s="44" t="str">
        <f aca="false">IF(D319="","",IF(COUNTA(N319:S319)=0,"Not scored",IF(COUNTA(N319:S319)&lt;6,"Partly scored ("&amp;COUNTA(N319:S319)&amp;"/6)",IF(T319&gt;=Settings!$S$8,"Hot",IF(T319&gt;=Settings!$S$9,"Warm","Cold")))))</f>
        <v/>
      </c>
      <c r="V319" s="44" t="str">
        <f aca="false">IF(D319="","",IF(AND(N319="No",P319="No"),"🚩 Budget  ·  🚩 No one on camera",IF(N319="No","🚩 Budget under AED 5k",IF(P319="No","🚩 No one on camera",""))))</f>
        <v/>
      </c>
      <c r="W319" s="17"/>
      <c r="X319" s="17"/>
      <c r="Y319" s="40"/>
      <c r="Z319" s="17"/>
      <c r="AA319" s="45" t="str">
        <f aca="false">IF(OR(D319="",Y319="",OR(X319="Contract signed + paid",X319="Closed – No response",X319="Lost"),N(Z319)&gt;=Settings!$S$3),"",Y319+Settings!$S$2)</f>
        <v/>
      </c>
      <c r="AB319" s="40"/>
      <c r="AC319" s="41"/>
      <c r="AD319" s="17"/>
      <c r="AE319" s="17"/>
      <c r="AF319" s="17"/>
      <c r="AG319" s="46" t="str">
        <f aca="true">IF(OR(D319="",B319=""),"",INT(TODAY()-B319))</f>
        <v/>
      </c>
      <c r="AH319" s="44" t="str">
        <f aca="true">IF(D319="","",IF(OR(COUNTIFS(Clients!$C$2:$C$501,D319,Clients!$S$2:$S$501,"Paid")&gt;0,AND(H319&lt;&gt;"",COUNTIFS(Clients!$E$2:$E$501,H319,Clients!$S$2:$S$501,"Paid")&gt;0)),"⚠ Refunded before – no free video",IF(OR(X319="Contract signed + paid",X319="Closed – No response",X319="Lost"),"",IF(X319="","Set a stage",IF(AND(X319="Proposal sent",COUNTA(N319:S319)&lt;6),"Score this lead – proposal sent unscored",IF(N(Z319)&gt;=Settings!$S$3,"Close – 4 follow-ups sent",IF(AA319="",IF(Y319="","Make first contact",""),IF(TODAY()&gt;AA319,"OVERDUE follow-up",IF(TODAY()=AA319,"Follow up today","")))))))))</f>
        <v/>
      </c>
    </row>
    <row r="320" customFormat="false" ht="15" hidden="false" customHeight="false" outlineLevel="0" collapsed="false">
      <c r="A320" s="17"/>
      <c r="B320" s="40"/>
      <c r="C320" s="17"/>
      <c r="D320" s="17"/>
      <c r="E320" s="17"/>
      <c r="F320" s="17"/>
      <c r="G320" s="17"/>
      <c r="H320" s="42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44" t="str">
        <f aca="false">IF(OR(D320="",COUNTA(N320:S320)=0),"",SUMIFS(Settings!$AA$2:$AA$21,Settings!$Y$2:$Y$21,"Budget AED 5k+/mo?",Settings!$Z$2:$Z$21,N320)+SUMIFS(Settings!$AA$2:$AA$21,Settings!$Y$2:$Y$21,"Decision-maker?",Settings!$Z$2:$Z$21,O320)+SUMIFS(Settings!$AA$2:$AA$21,Settings!$Y$2:$Y$21,"Someone on camera?",Settings!$Z$2:$Z$21,P320)+SUMIFS(Settings!$AA$2:$AA$21,Settings!$Y$2:$Y$21,"OK with 3-month term?",Settings!$Z$2:$Z$21,Q320)+SUMIFS(Settings!$AA$2:$AA$21,Settings!$Y$2:$Y$21,"Start timeline",Settings!$Z$2:$Z$21,R320)+SUMIFS(Settings!$AA$2:$AA$21,Settings!$Y$2:$Y$21,"Social media gap",Settings!$Z$2:$Z$21,S320)+IF(E320="",0,IF(COUNTIF(Settings!$AC$2:$AC$6,E320)&gt;0,Settings!$AA$20,Settings!$AA$21)))</f>
        <v/>
      </c>
      <c r="U320" s="44" t="str">
        <f aca="false">IF(D320="","",IF(COUNTA(N320:S320)=0,"Not scored",IF(COUNTA(N320:S320)&lt;6,"Partly scored ("&amp;COUNTA(N320:S320)&amp;"/6)",IF(T320&gt;=Settings!$S$8,"Hot",IF(T320&gt;=Settings!$S$9,"Warm","Cold")))))</f>
        <v/>
      </c>
      <c r="V320" s="44" t="str">
        <f aca="false">IF(D320="","",IF(AND(N320="No",P320="No"),"🚩 Budget  ·  🚩 No one on camera",IF(N320="No","🚩 Budget under AED 5k",IF(P320="No","🚩 No one on camera",""))))</f>
        <v/>
      </c>
      <c r="W320" s="17"/>
      <c r="X320" s="17"/>
      <c r="Y320" s="40"/>
      <c r="Z320" s="17"/>
      <c r="AA320" s="45" t="str">
        <f aca="false">IF(OR(D320="",Y320="",OR(X320="Contract signed + paid",X320="Closed – No response",X320="Lost"),N(Z320)&gt;=Settings!$S$3),"",Y320+Settings!$S$2)</f>
        <v/>
      </c>
      <c r="AB320" s="40"/>
      <c r="AC320" s="41"/>
      <c r="AD320" s="17"/>
      <c r="AE320" s="17"/>
      <c r="AF320" s="17"/>
      <c r="AG320" s="46" t="str">
        <f aca="true">IF(OR(D320="",B320=""),"",INT(TODAY()-B320))</f>
        <v/>
      </c>
      <c r="AH320" s="44" t="str">
        <f aca="true">IF(D320="","",IF(OR(COUNTIFS(Clients!$C$2:$C$501,D320,Clients!$S$2:$S$501,"Paid")&gt;0,AND(H320&lt;&gt;"",COUNTIFS(Clients!$E$2:$E$501,H320,Clients!$S$2:$S$501,"Paid")&gt;0)),"⚠ Refunded before – no free video",IF(OR(X320="Contract signed + paid",X320="Closed – No response",X320="Lost"),"",IF(X320="","Set a stage",IF(AND(X320="Proposal sent",COUNTA(N320:S320)&lt;6),"Score this lead – proposal sent unscored",IF(N(Z320)&gt;=Settings!$S$3,"Close – 4 follow-ups sent",IF(AA320="",IF(Y320="","Make first contact",""),IF(TODAY()&gt;AA320,"OVERDUE follow-up",IF(TODAY()=AA320,"Follow up today","")))))))))</f>
        <v/>
      </c>
    </row>
    <row r="321" customFormat="false" ht="15" hidden="false" customHeight="false" outlineLevel="0" collapsed="false">
      <c r="A321" s="17"/>
      <c r="B321" s="40"/>
      <c r="C321" s="17"/>
      <c r="D321" s="17"/>
      <c r="E321" s="17"/>
      <c r="F321" s="17"/>
      <c r="G321" s="17"/>
      <c r="H321" s="42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44" t="str">
        <f aca="false">IF(OR(D321="",COUNTA(N321:S321)=0),"",SUMIFS(Settings!$AA$2:$AA$21,Settings!$Y$2:$Y$21,"Budget AED 5k+/mo?",Settings!$Z$2:$Z$21,N321)+SUMIFS(Settings!$AA$2:$AA$21,Settings!$Y$2:$Y$21,"Decision-maker?",Settings!$Z$2:$Z$21,O321)+SUMIFS(Settings!$AA$2:$AA$21,Settings!$Y$2:$Y$21,"Someone on camera?",Settings!$Z$2:$Z$21,P321)+SUMIFS(Settings!$AA$2:$AA$21,Settings!$Y$2:$Y$21,"OK with 3-month term?",Settings!$Z$2:$Z$21,Q321)+SUMIFS(Settings!$AA$2:$AA$21,Settings!$Y$2:$Y$21,"Start timeline",Settings!$Z$2:$Z$21,R321)+SUMIFS(Settings!$AA$2:$AA$21,Settings!$Y$2:$Y$21,"Social media gap",Settings!$Z$2:$Z$21,S321)+IF(E321="",0,IF(COUNTIF(Settings!$AC$2:$AC$6,E321)&gt;0,Settings!$AA$20,Settings!$AA$21)))</f>
        <v/>
      </c>
      <c r="U321" s="44" t="str">
        <f aca="false">IF(D321="","",IF(COUNTA(N321:S321)=0,"Not scored",IF(COUNTA(N321:S321)&lt;6,"Partly scored ("&amp;COUNTA(N321:S321)&amp;"/6)",IF(T321&gt;=Settings!$S$8,"Hot",IF(T321&gt;=Settings!$S$9,"Warm","Cold")))))</f>
        <v/>
      </c>
      <c r="V321" s="44" t="str">
        <f aca="false">IF(D321="","",IF(AND(N321="No",P321="No"),"🚩 Budget  ·  🚩 No one on camera",IF(N321="No","🚩 Budget under AED 5k",IF(P321="No","🚩 No one on camera",""))))</f>
        <v/>
      </c>
      <c r="W321" s="17"/>
      <c r="X321" s="17"/>
      <c r="Y321" s="40"/>
      <c r="Z321" s="17"/>
      <c r="AA321" s="45" t="str">
        <f aca="false">IF(OR(D321="",Y321="",OR(X321="Contract signed + paid",X321="Closed – No response",X321="Lost"),N(Z321)&gt;=Settings!$S$3),"",Y321+Settings!$S$2)</f>
        <v/>
      </c>
      <c r="AB321" s="40"/>
      <c r="AC321" s="41"/>
      <c r="AD321" s="17"/>
      <c r="AE321" s="17"/>
      <c r="AF321" s="17"/>
      <c r="AG321" s="46" t="str">
        <f aca="true">IF(OR(D321="",B321=""),"",INT(TODAY()-B321))</f>
        <v/>
      </c>
      <c r="AH321" s="44" t="str">
        <f aca="true">IF(D321="","",IF(OR(COUNTIFS(Clients!$C$2:$C$501,D321,Clients!$S$2:$S$501,"Paid")&gt;0,AND(H321&lt;&gt;"",COUNTIFS(Clients!$E$2:$E$501,H321,Clients!$S$2:$S$501,"Paid")&gt;0)),"⚠ Refunded before – no free video",IF(OR(X321="Contract signed + paid",X321="Closed – No response",X321="Lost"),"",IF(X321="","Set a stage",IF(AND(X321="Proposal sent",COUNTA(N321:S321)&lt;6),"Score this lead – proposal sent unscored",IF(N(Z321)&gt;=Settings!$S$3,"Close – 4 follow-ups sent",IF(AA321="",IF(Y321="","Make first contact",""),IF(TODAY()&gt;AA321,"OVERDUE follow-up",IF(TODAY()=AA321,"Follow up today","")))))))))</f>
        <v/>
      </c>
    </row>
    <row r="322" customFormat="false" ht="15" hidden="false" customHeight="false" outlineLevel="0" collapsed="false">
      <c r="A322" s="17"/>
      <c r="B322" s="40"/>
      <c r="C322" s="17"/>
      <c r="D322" s="17"/>
      <c r="E322" s="17"/>
      <c r="F322" s="17"/>
      <c r="G322" s="17"/>
      <c r="H322" s="42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44" t="str">
        <f aca="false">IF(OR(D322="",COUNTA(N322:S322)=0),"",SUMIFS(Settings!$AA$2:$AA$21,Settings!$Y$2:$Y$21,"Budget AED 5k+/mo?",Settings!$Z$2:$Z$21,N322)+SUMIFS(Settings!$AA$2:$AA$21,Settings!$Y$2:$Y$21,"Decision-maker?",Settings!$Z$2:$Z$21,O322)+SUMIFS(Settings!$AA$2:$AA$21,Settings!$Y$2:$Y$21,"Someone on camera?",Settings!$Z$2:$Z$21,P322)+SUMIFS(Settings!$AA$2:$AA$21,Settings!$Y$2:$Y$21,"OK with 3-month term?",Settings!$Z$2:$Z$21,Q322)+SUMIFS(Settings!$AA$2:$AA$21,Settings!$Y$2:$Y$21,"Start timeline",Settings!$Z$2:$Z$21,R322)+SUMIFS(Settings!$AA$2:$AA$21,Settings!$Y$2:$Y$21,"Social media gap",Settings!$Z$2:$Z$21,S322)+IF(E322="",0,IF(COUNTIF(Settings!$AC$2:$AC$6,E322)&gt;0,Settings!$AA$20,Settings!$AA$21)))</f>
        <v/>
      </c>
      <c r="U322" s="44" t="str">
        <f aca="false">IF(D322="","",IF(COUNTA(N322:S322)=0,"Not scored",IF(COUNTA(N322:S322)&lt;6,"Partly scored ("&amp;COUNTA(N322:S322)&amp;"/6)",IF(T322&gt;=Settings!$S$8,"Hot",IF(T322&gt;=Settings!$S$9,"Warm","Cold")))))</f>
        <v/>
      </c>
      <c r="V322" s="44" t="str">
        <f aca="false">IF(D322="","",IF(AND(N322="No",P322="No"),"🚩 Budget  ·  🚩 No one on camera",IF(N322="No","🚩 Budget under AED 5k",IF(P322="No","🚩 No one on camera",""))))</f>
        <v/>
      </c>
      <c r="W322" s="17"/>
      <c r="X322" s="17"/>
      <c r="Y322" s="40"/>
      <c r="Z322" s="17"/>
      <c r="AA322" s="45" t="str">
        <f aca="false">IF(OR(D322="",Y322="",OR(X322="Contract signed + paid",X322="Closed – No response",X322="Lost"),N(Z322)&gt;=Settings!$S$3),"",Y322+Settings!$S$2)</f>
        <v/>
      </c>
      <c r="AB322" s="40"/>
      <c r="AC322" s="41"/>
      <c r="AD322" s="17"/>
      <c r="AE322" s="17"/>
      <c r="AF322" s="17"/>
      <c r="AG322" s="46" t="str">
        <f aca="true">IF(OR(D322="",B322=""),"",INT(TODAY()-B322))</f>
        <v/>
      </c>
      <c r="AH322" s="44" t="str">
        <f aca="true">IF(D322="","",IF(OR(COUNTIFS(Clients!$C$2:$C$501,D322,Clients!$S$2:$S$501,"Paid")&gt;0,AND(H322&lt;&gt;"",COUNTIFS(Clients!$E$2:$E$501,H322,Clients!$S$2:$S$501,"Paid")&gt;0)),"⚠ Refunded before – no free video",IF(OR(X322="Contract signed + paid",X322="Closed – No response",X322="Lost"),"",IF(X322="","Set a stage",IF(AND(X322="Proposal sent",COUNTA(N322:S322)&lt;6),"Score this lead – proposal sent unscored",IF(N(Z322)&gt;=Settings!$S$3,"Close – 4 follow-ups sent",IF(AA322="",IF(Y322="","Make first contact",""),IF(TODAY()&gt;AA322,"OVERDUE follow-up",IF(TODAY()=AA322,"Follow up today","")))))))))</f>
        <v/>
      </c>
    </row>
    <row r="323" customFormat="false" ht="15" hidden="false" customHeight="false" outlineLevel="0" collapsed="false">
      <c r="A323" s="17"/>
      <c r="B323" s="40"/>
      <c r="C323" s="17"/>
      <c r="D323" s="17"/>
      <c r="E323" s="17"/>
      <c r="F323" s="17"/>
      <c r="G323" s="17"/>
      <c r="H323" s="42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44" t="str">
        <f aca="false">IF(OR(D323="",COUNTA(N323:S323)=0),"",SUMIFS(Settings!$AA$2:$AA$21,Settings!$Y$2:$Y$21,"Budget AED 5k+/mo?",Settings!$Z$2:$Z$21,N323)+SUMIFS(Settings!$AA$2:$AA$21,Settings!$Y$2:$Y$21,"Decision-maker?",Settings!$Z$2:$Z$21,O323)+SUMIFS(Settings!$AA$2:$AA$21,Settings!$Y$2:$Y$21,"Someone on camera?",Settings!$Z$2:$Z$21,P323)+SUMIFS(Settings!$AA$2:$AA$21,Settings!$Y$2:$Y$21,"OK with 3-month term?",Settings!$Z$2:$Z$21,Q323)+SUMIFS(Settings!$AA$2:$AA$21,Settings!$Y$2:$Y$21,"Start timeline",Settings!$Z$2:$Z$21,R323)+SUMIFS(Settings!$AA$2:$AA$21,Settings!$Y$2:$Y$21,"Social media gap",Settings!$Z$2:$Z$21,S323)+IF(E323="",0,IF(COUNTIF(Settings!$AC$2:$AC$6,E323)&gt;0,Settings!$AA$20,Settings!$AA$21)))</f>
        <v/>
      </c>
      <c r="U323" s="44" t="str">
        <f aca="false">IF(D323="","",IF(COUNTA(N323:S323)=0,"Not scored",IF(COUNTA(N323:S323)&lt;6,"Partly scored ("&amp;COUNTA(N323:S323)&amp;"/6)",IF(T323&gt;=Settings!$S$8,"Hot",IF(T323&gt;=Settings!$S$9,"Warm","Cold")))))</f>
        <v/>
      </c>
      <c r="V323" s="44" t="str">
        <f aca="false">IF(D323="","",IF(AND(N323="No",P323="No"),"🚩 Budget  ·  🚩 No one on camera",IF(N323="No","🚩 Budget under AED 5k",IF(P323="No","🚩 No one on camera",""))))</f>
        <v/>
      </c>
      <c r="W323" s="17"/>
      <c r="X323" s="17"/>
      <c r="Y323" s="40"/>
      <c r="Z323" s="17"/>
      <c r="AA323" s="45" t="str">
        <f aca="false">IF(OR(D323="",Y323="",OR(X323="Contract signed + paid",X323="Closed – No response",X323="Lost"),N(Z323)&gt;=Settings!$S$3),"",Y323+Settings!$S$2)</f>
        <v/>
      </c>
      <c r="AB323" s="40"/>
      <c r="AC323" s="41"/>
      <c r="AD323" s="17"/>
      <c r="AE323" s="17"/>
      <c r="AF323" s="17"/>
      <c r="AG323" s="46" t="str">
        <f aca="true">IF(OR(D323="",B323=""),"",INT(TODAY()-B323))</f>
        <v/>
      </c>
      <c r="AH323" s="44" t="str">
        <f aca="true">IF(D323="","",IF(OR(COUNTIFS(Clients!$C$2:$C$501,D323,Clients!$S$2:$S$501,"Paid")&gt;0,AND(H323&lt;&gt;"",COUNTIFS(Clients!$E$2:$E$501,H323,Clients!$S$2:$S$501,"Paid")&gt;0)),"⚠ Refunded before – no free video",IF(OR(X323="Contract signed + paid",X323="Closed – No response",X323="Lost"),"",IF(X323="","Set a stage",IF(AND(X323="Proposal sent",COUNTA(N323:S323)&lt;6),"Score this lead – proposal sent unscored",IF(N(Z323)&gt;=Settings!$S$3,"Close – 4 follow-ups sent",IF(AA323="",IF(Y323="","Make first contact",""),IF(TODAY()&gt;AA323,"OVERDUE follow-up",IF(TODAY()=AA323,"Follow up today","")))))))))</f>
        <v/>
      </c>
    </row>
    <row r="324" customFormat="false" ht="15" hidden="false" customHeight="false" outlineLevel="0" collapsed="false">
      <c r="A324" s="17"/>
      <c r="B324" s="40"/>
      <c r="C324" s="17"/>
      <c r="D324" s="17"/>
      <c r="E324" s="17"/>
      <c r="F324" s="17"/>
      <c r="G324" s="17"/>
      <c r="H324" s="42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44" t="str">
        <f aca="false">IF(OR(D324="",COUNTA(N324:S324)=0),"",SUMIFS(Settings!$AA$2:$AA$21,Settings!$Y$2:$Y$21,"Budget AED 5k+/mo?",Settings!$Z$2:$Z$21,N324)+SUMIFS(Settings!$AA$2:$AA$21,Settings!$Y$2:$Y$21,"Decision-maker?",Settings!$Z$2:$Z$21,O324)+SUMIFS(Settings!$AA$2:$AA$21,Settings!$Y$2:$Y$21,"Someone on camera?",Settings!$Z$2:$Z$21,P324)+SUMIFS(Settings!$AA$2:$AA$21,Settings!$Y$2:$Y$21,"OK with 3-month term?",Settings!$Z$2:$Z$21,Q324)+SUMIFS(Settings!$AA$2:$AA$21,Settings!$Y$2:$Y$21,"Start timeline",Settings!$Z$2:$Z$21,R324)+SUMIFS(Settings!$AA$2:$AA$21,Settings!$Y$2:$Y$21,"Social media gap",Settings!$Z$2:$Z$21,S324)+IF(E324="",0,IF(COUNTIF(Settings!$AC$2:$AC$6,E324)&gt;0,Settings!$AA$20,Settings!$AA$21)))</f>
        <v/>
      </c>
      <c r="U324" s="44" t="str">
        <f aca="false">IF(D324="","",IF(COUNTA(N324:S324)=0,"Not scored",IF(COUNTA(N324:S324)&lt;6,"Partly scored ("&amp;COUNTA(N324:S324)&amp;"/6)",IF(T324&gt;=Settings!$S$8,"Hot",IF(T324&gt;=Settings!$S$9,"Warm","Cold")))))</f>
        <v/>
      </c>
      <c r="V324" s="44" t="str">
        <f aca="false">IF(D324="","",IF(AND(N324="No",P324="No"),"🚩 Budget  ·  🚩 No one on camera",IF(N324="No","🚩 Budget under AED 5k",IF(P324="No","🚩 No one on camera",""))))</f>
        <v/>
      </c>
      <c r="W324" s="17"/>
      <c r="X324" s="17"/>
      <c r="Y324" s="40"/>
      <c r="Z324" s="17"/>
      <c r="AA324" s="45" t="str">
        <f aca="false">IF(OR(D324="",Y324="",OR(X324="Contract signed + paid",X324="Closed – No response",X324="Lost"),N(Z324)&gt;=Settings!$S$3),"",Y324+Settings!$S$2)</f>
        <v/>
      </c>
      <c r="AB324" s="40"/>
      <c r="AC324" s="41"/>
      <c r="AD324" s="17"/>
      <c r="AE324" s="17"/>
      <c r="AF324" s="17"/>
      <c r="AG324" s="46" t="str">
        <f aca="true">IF(OR(D324="",B324=""),"",INT(TODAY()-B324))</f>
        <v/>
      </c>
      <c r="AH324" s="44" t="str">
        <f aca="true">IF(D324="","",IF(OR(COUNTIFS(Clients!$C$2:$C$501,D324,Clients!$S$2:$S$501,"Paid")&gt;0,AND(H324&lt;&gt;"",COUNTIFS(Clients!$E$2:$E$501,H324,Clients!$S$2:$S$501,"Paid")&gt;0)),"⚠ Refunded before – no free video",IF(OR(X324="Contract signed + paid",X324="Closed – No response",X324="Lost"),"",IF(X324="","Set a stage",IF(AND(X324="Proposal sent",COUNTA(N324:S324)&lt;6),"Score this lead – proposal sent unscored",IF(N(Z324)&gt;=Settings!$S$3,"Close – 4 follow-ups sent",IF(AA324="",IF(Y324="","Make first contact",""),IF(TODAY()&gt;AA324,"OVERDUE follow-up",IF(TODAY()=AA324,"Follow up today","")))))))))</f>
        <v/>
      </c>
    </row>
    <row r="325" customFormat="false" ht="15" hidden="false" customHeight="false" outlineLevel="0" collapsed="false">
      <c r="A325" s="17"/>
      <c r="B325" s="40"/>
      <c r="C325" s="17"/>
      <c r="D325" s="17"/>
      <c r="E325" s="17"/>
      <c r="F325" s="17"/>
      <c r="G325" s="17"/>
      <c r="H325" s="42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44" t="str">
        <f aca="false">IF(OR(D325="",COUNTA(N325:S325)=0),"",SUMIFS(Settings!$AA$2:$AA$21,Settings!$Y$2:$Y$21,"Budget AED 5k+/mo?",Settings!$Z$2:$Z$21,N325)+SUMIFS(Settings!$AA$2:$AA$21,Settings!$Y$2:$Y$21,"Decision-maker?",Settings!$Z$2:$Z$21,O325)+SUMIFS(Settings!$AA$2:$AA$21,Settings!$Y$2:$Y$21,"Someone on camera?",Settings!$Z$2:$Z$21,P325)+SUMIFS(Settings!$AA$2:$AA$21,Settings!$Y$2:$Y$21,"OK with 3-month term?",Settings!$Z$2:$Z$21,Q325)+SUMIFS(Settings!$AA$2:$AA$21,Settings!$Y$2:$Y$21,"Start timeline",Settings!$Z$2:$Z$21,R325)+SUMIFS(Settings!$AA$2:$AA$21,Settings!$Y$2:$Y$21,"Social media gap",Settings!$Z$2:$Z$21,S325)+IF(E325="",0,IF(COUNTIF(Settings!$AC$2:$AC$6,E325)&gt;0,Settings!$AA$20,Settings!$AA$21)))</f>
        <v/>
      </c>
      <c r="U325" s="44" t="str">
        <f aca="false">IF(D325="","",IF(COUNTA(N325:S325)=0,"Not scored",IF(COUNTA(N325:S325)&lt;6,"Partly scored ("&amp;COUNTA(N325:S325)&amp;"/6)",IF(T325&gt;=Settings!$S$8,"Hot",IF(T325&gt;=Settings!$S$9,"Warm","Cold")))))</f>
        <v/>
      </c>
      <c r="V325" s="44" t="str">
        <f aca="false">IF(D325="","",IF(AND(N325="No",P325="No"),"🚩 Budget  ·  🚩 No one on camera",IF(N325="No","🚩 Budget under AED 5k",IF(P325="No","🚩 No one on camera",""))))</f>
        <v/>
      </c>
      <c r="W325" s="17"/>
      <c r="X325" s="17"/>
      <c r="Y325" s="40"/>
      <c r="Z325" s="17"/>
      <c r="AA325" s="45" t="str">
        <f aca="false">IF(OR(D325="",Y325="",OR(X325="Contract signed + paid",X325="Closed – No response",X325="Lost"),N(Z325)&gt;=Settings!$S$3),"",Y325+Settings!$S$2)</f>
        <v/>
      </c>
      <c r="AB325" s="40"/>
      <c r="AC325" s="41"/>
      <c r="AD325" s="17"/>
      <c r="AE325" s="17"/>
      <c r="AF325" s="17"/>
      <c r="AG325" s="46" t="str">
        <f aca="true">IF(OR(D325="",B325=""),"",INT(TODAY()-B325))</f>
        <v/>
      </c>
      <c r="AH325" s="44" t="str">
        <f aca="true">IF(D325="","",IF(OR(COUNTIFS(Clients!$C$2:$C$501,D325,Clients!$S$2:$S$501,"Paid")&gt;0,AND(H325&lt;&gt;"",COUNTIFS(Clients!$E$2:$E$501,H325,Clients!$S$2:$S$501,"Paid")&gt;0)),"⚠ Refunded before – no free video",IF(OR(X325="Contract signed + paid",X325="Closed – No response",X325="Lost"),"",IF(X325="","Set a stage",IF(AND(X325="Proposal sent",COUNTA(N325:S325)&lt;6),"Score this lead – proposal sent unscored",IF(N(Z325)&gt;=Settings!$S$3,"Close – 4 follow-ups sent",IF(AA325="",IF(Y325="","Make first contact",""),IF(TODAY()&gt;AA325,"OVERDUE follow-up",IF(TODAY()=AA325,"Follow up today","")))))))))</f>
        <v/>
      </c>
    </row>
    <row r="326" customFormat="false" ht="15" hidden="false" customHeight="false" outlineLevel="0" collapsed="false">
      <c r="A326" s="17"/>
      <c r="B326" s="40"/>
      <c r="C326" s="17"/>
      <c r="D326" s="17"/>
      <c r="E326" s="17"/>
      <c r="F326" s="17"/>
      <c r="G326" s="17"/>
      <c r="H326" s="42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44" t="str">
        <f aca="false">IF(OR(D326="",COUNTA(N326:S326)=0),"",SUMIFS(Settings!$AA$2:$AA$21,Settings!$Y$2:$Y$21,"Budget AED 5k+/mo?",Settings!$Z$2:$Z$21,N326)+SUMIFS(Settings!$AA$2:$AA$21,Settings!$Y$2:$Y$21,"Decision-maker?",Settings!$Z$2:$Z$21,O326)+SUMIFS(Settings!$AA$2:$AA$21,Settings!$Y$2:$Y$21,"Someone on camera?",Settings!$Z$2:$Z$21,P326)+SUMIFS(Settings!$AA$2:$AA$21,Settings!$Y$2:$Y$21,"OK with 3-month term?",Settings!$Z$2:$Z$21,Q326)+SUMIFS(Settings!$AA$2:$AA$21,Settings!$Y$2:$Y$21,"Start timeline",Settings!$Z$2:$Z$21,R326)+SUMIFS(Settings!$AA$2:$AA$21,Settings!$Y$2:$Y$21,"Social media gap",Settings!$Z$2:$Z$21,S326)+IF(E326="",0,IF(COUNTIF(Settings!$AC$2:$AC$6,E326)&gt;0,Settings!$AA$20,Settings!$AA$21)))</f>
        <v/>
      </c>
      <c r="U326" s="44" t="str">
        <f aca="false">IF(D326="","",IF(COUNTA(N326:S326)=0,"Not scored",IF(COUNTA(N326:S326)&lt;6,"Partly scored ("&amp;COUNTA(N326:S326)&amp;"/6)",IF(T326&gt;=Settings!$S$8,"Hot",IF(T326&gt;=Settings!$S$9,"Warm","Cold")))))</f>
        <v/>
      </c>
      <c r="V326" s="44" t="str">
        <f aca="false">IF(D326="","",IF(AND(N326="No",P326="No"),"🚩 Budget  ·  🚩 No one on camera",IF(N326="No","🚩 Budget under AED 5k",IF(P326="No","🚩 No one on camera",""))))</f>
        <v/>
      </c>
      <c r="W326" s="17"/>
      <c r="X326" s="17"/>
      <c r="Y326" s="40"/>
      <c r="Z326" s="17"/>
      <c r="AA326" s="45" t="str">
        <f aca="false">IF(OR(D326="",Y326="",OR(X326="Contract signed + paid",X326="Closed – No response",X326="Lost"),N(Z326)&gt;=Settings!$S$3),"",Y326+Settings!$S$2)</f>
        <v/>
      </c>
      <c r="AB326" s="40"/>
      <c r="AC326" s="41"/>
      <c r="AD326" s="17"/>
      <c r="AE326" s="17"/>
      <c r="AF326" s="17"/>
      <c r="AG326" s="46" t="str">
        <f aca="true">IF(OR(D326="",B326=""),"",INT(TODAY()-B326))</f>
        <v/>
      </c>
      <c r="AH326" s="44" t="str">
        <f aca="true">IF(D326="","",IF(OR(COUNTIFS(Clients!$C$2:$C$501,D326,Clients!$S$2:$S$501,"Paid")&gt;0,AND(H326&lt;&gt;"",COUNTIFS(Clients!$E$2:$E$501,H326,Clients!$S$2:$S$501,"Paid")&gt;0)),"⚠ Refunded before – no free video",IF(OR(X326="Contract signed + paid",X326="Closed – No response",X326="Lost"),"",IF(X326="","Set a stage",IF(AND(X326="Proposal sent",COUNTA(N326:S326)&lt;6),"Score this lead – proposal sent unscored",IF(N(Z326)&gt;=Settings!$S$3,"Close – 4 follow-ups sent",IF(AA326="",IF(Y326="","Make first contact",""),IF(TODAY()&gt;AA326,"OVERDUE follow-up",IF(TODAY()=AA326,"Follow up today","")))))))))</f>
        <v/>
      </c>
    </row>
    <row r="327" customFormat="false" ht="15" hidden="false" customHeight="false" outlineLevel="0" collapsed="false">
      <c r="A327" s="17"/>
      <c r="B327" s="40"/>
      <c r="C327" s="17"/>
      <c r="D327" s="17"/>
      <c r="E327" s="17"/>
      <c r="F327" s="17"/>
      <c r="G327" s="17"/>
      <c r="H327" s="42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44" t="str">
        <f aca="false">IF(OR(D327="",COUNTA(N327:S327)=0),"",SUMIFS(Settings!$AA$2:$AA$21,Settings!$Y$2:$Y$21,"Budget AED 5k+/mo?",Settings!$Z$2:$Z$21,N327)+SUMIFS(Settings!$AA$2:$AA$21,Settings!$Y$2:$Y$21,"Decision-maker?",Settings!$Z$2:$Z$21,O327)+SUMIFS(Settings!$AA$2:$AA$21,Settings!$Y$2:$Y$21,"Someone on camera?",Settings!$Z$2:$Z$21,P327)+SUMIFS(Settings!$AA$2:$AA$21,Settings!$Y$2:$Y$21,"OK with 3-month term?",Settings!$Z$2:$Z$21,Q327)+SUMIFS(Settings!$AA$2:$AA$21,Settings!$Y$2:$Y$21,"Start timeline",Settings!$Z$2:$Z$21,R327)+SUMIFS(Settings!$AA$2:$AA$21,Settings!$Y$2:$Y$21,"Social media gap",Settings!$Z$2:$Z$21,S327)+IF(E327="",0,IF(COUNTIF(Settings!$AC$2:$AC$6,E327)&gt;0,Settings!$AA$20,Settings!$AA$21)))</f>
        <v/>
      </c>
      <c r="U327" s="44" t="str">
        <f aca="false">IF(D327="","",IF(COUNTA(N327:S327)=0,"Not scored",IF(COUNTA(N327:S327)&lt;6,"Partly scored ("&amp;COUNTA(N327:S327)&amp;"/6)",IF(T327&gt;=Settings!$S$8,"Hot",IF(T327&gt;=Settings!$S$9,"Warm","Cold")))))</f>
        <v/>
      </c>
      <c r="V327" s="44" t="str">
        <f aca="false">IF(D327="","",IF(AND(N327="No",P327="No"),"🚩 Budget  ·  🚩 No one on camera",IF(N327="No","🚩 Budget under AED 5k",IF(P327="No","🚩 No one on camera",""))))</f>
        <v/>
      </c>
      <c r="W327" s="17"/>
      <c r="X327" s="17"/>
      <c r="Y327" s="40"/>
      <c r="Z327" s="17"/>
      <c r="AA327" s="45" t="str">
        <f aca="false">IF(OR(D327="",Y327="",OR(X327="Contract signed + paid",X327="Closed – No response",X327="Lost"),N(Z327)&gt;=Settings!$S$3),"",Y327+Settings!$S$2)</f>
        <v/>
      </c>
      <c r="AB327" s="40"/>
      <c r="AC327" s="41"/>
      <c r="AD327" s="17"/>
      <c r="AE327" s="17"/>
      <c r="AF327" s="17"/>
      <c r="AG327" s="46" t="str">
        <f aca="true">IF(OR(D327="",B327=""),"",INT(TODAY()-B327))</f>
        <v/>
      </c>
      <c r="AH327" s="44" t="str">
        <f aca="true">IF(D327="","",IF(OR(COUNTIFS(Clients!$C$2:$C$501,D327,Clients!$S$2:$S$501,"Paid")&gt;0,AND(H327&lt;&gt;"",COUNTIFS(Clients!$E$2:$E$501,H327,Clients!$S$2:$S$501,"Paid")&gt;0)),"⚠ Refunded before – no free video",IF(OR(X327="Contract signed + paid",X327="Closed – No response",X327="Lost"),"",IF(X327="","Set a stage",IF(AND(X327="Proposal sent",COUNTA(N327:S327)&lt;6),"Score this lead – proposal sent unscored",IF(N(Z327)&gt;=Settings!$S$3,"Close – 4 follow-ups sent",IF(AA327="",IF(Y327="","Make first contact",""),IF(TODAY()&gt;AA327,"OVERDUE follow-up",IF(TODAY()=AA327,"Follow up today","")))))))))</f>
        <v/>
      </c>
    </row>
    <row r="328" customFormat="false" ht="15" hidden="false" customHeight="false" outlineLevel="0" collapsed="false">
      <c r="A328" s="17"/>
      <c r="B328" s="40"/>
      <c r="C328" s="17"/>
      <c r="D328" s="17"/>
      <c r="E328" s="17"/>
      <c r="F328" s="17"/>
      <c r="G328" s="17"/>
      <c r="H328" s="42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44" t="str">
        <f aca="false">IF(OR(D328="",COUNTA(N328:S328)=0),"",SUMIFS(Settings!$AA$2:$AA$21,Settings!$Y$2:$Y$21,"Budget AED 5k+/mo?",Settings!$Z$2:$Z$21,N328)+SUMIFS(Settings!$AA$2:$AA$21,Settings!$Y$2:$Y$21,"Decision-maker?",Settings!$Z$2:$Z$21,O328)+SUMIFS(Settings!$AA$2:$AA$21,Settings!$Y$2:$Y$21,"Someone on camera?",Settings!$Z$2:$Z$21,P328)+SUMIFS(Settings!$AA$2:$AA$21,Settings!$Y$2:$Y$21,"OK with 3-month term?",Settings!$Z$2:$Z$21,Q328)+SUMIFS(Settings!$AA$2:$AA$21,Settings!$Y$2:$Y$21,"Start timeline",Settings!$Z$2:$Z$21,R328)+SUMIFS(Settings!$AA$2:$AA$21,Settings!$Y$2:$Y$21,"Social media gap",Settings!$Z$2:$Z$21,S328)+IF(E328="",0,IF(COUNTIF(Settings!$AC$2:$AC$6,E328)&gt;0,Settings!$AA$20,Settings!$AA$21)))</f>
        <v/>
      </c>
      <c r="U328" s="44" t="str">
        <f aca="false">IF(D328="","",IF(COUNTA(N328:S328)=0,"Not scored",IF(COUNTA(N328:S328)&lt;6,"Partly scored ("&amp;COUNTA(N328:S328)&amp;"/6)",IF(T328&gt;=Settings!$S$8,"Hot",IF(T328&gt;=Settings!$S$9,"Warm","Cold")))))</f>
        <v/>
      </c>
      <c r="V328" s="44" t="str">
        <f aca="false">IF(D328="","",IF(AND(N328="No",P328="No"),"🚩 Budget  ·  🚩 No one on camera",IF(N328="No","🚩 Budget under AED 5k",IF(P328="No","🚩 No one on camera",""))))</f>
        <v/>
      </c>
      <c r="W328" s="17"/>
      <c r="X328" s="17"/>
      <c r="Y328" s="40"/>
      <c r="Z328" s="17"/>
      <c r="AA328" s="45" t="str">
        <f aca="false">IF(OR(D328="",Y328="",OR(X328="Contract signed + paid",X328="Closed – No response",X328="Lost"),N(Z328)&gt;=Settings!$S$3),"",Y328+Settings!$S$2)</f>
        <v/>
      </c>
      <c r="AB328" s="40"/>
      <c r="AC328" s="41"/>
      <c r="AD328" s="17"/>
      <c r="AE328" s="17"/>
      <c r="AF328" s="17"/>
      <c r="AG328" s="46" t="str">
        <f aca="true">IF(OR(D328="",B328=""),"",INT(TODAY()-B328))</f>
        <v/>
      </c>
      <c r="AH328" s="44" t="str">
        <f aca="true">IF(D328="","",IF(OR(COUNTIFS(Clients!$C$2:$C$501,D328,Clients!$S$2:$S$501,"Paid")&gt;0,AND(H328&lt;&gt;"",COUNTIFS(Clients!$E$2:$E$501,H328,Clients!$S$2:$S$501,"Paid")&gt;0)),"⚠ Refunded before – no free video",IF(OR(X328="Contract signed + paid",X328="Closed – No response",X328="Lost"),"",IF(X328="","Set a stage",IF(AND(X328="Proposal sent",COUNTA(N328:S328)&lt;6),"Score this lead – proposal sent unscored",IF(N(Z328)&gt;=Settings!$S$3,"Close – 4 follow-ups sent",IF(AA328="",IF(Y328="","Make first contact",""),IF(TODAY()&gt;AA328,"OVERDUE follow-up",IF(TODAY()=AA328,"Follow up today","")))))))))</f>
        <v/>
      </c>
    </row>
    <row r="329" customFormat="false" ht="15" hidden="false" customHeight="false" outlineLevel="0" collapsed="false">
      <c r="A329" s="17"/>
      <c r="B329" s="40"/>
      <c r="C329" s="17"/>
      <c r="D329" s="17"/>
      <c r="E329" s="17"/>
      <c r="F329" s="17"/>
      <c r="G329" s="17"/>
      <c r="H329" s="42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44" t="str">
        <f aca="false">IF(OR(D329="",COUNTA(N329:S329)=0),"",SUMIFS(Settings!$AA$2:$AA$21,Settings!$Y$2:$Y$21,"Budget AED 5k+/mo?",Settings!$Z$2:$Z$21,N329)+SUMIFS(Settings!$AA$2:$AA$21,Settings!$Y$2:$Y$21,"Decision-maker?",Settings!$Z$2:$Z$21,O329)+SUMIFS(Settings!$AA$2:$AA$21,Settings!$Y$2:$Y$21,"Someone on camera?",Settings!$Z$2:$Z$21,P329)+SUMIFS(Settings!$AA$2:$AA$21,Settings!$Y$2:$Y$21,"OK with 3-month term?",Settings!$Z$2:$Z$21,Q329)+SUMIFS(Settings!$AA$2:$AA$21,Settings!$Y$2:$Y$21,"Start timeline",Settings!$Z$2:$Z$21,R329)+SUMIFS(Settings!$AA$2:$AA$21,Settings!$Y$2:$Y$21,"Social media gap",Settings!$Z$2:$Z$21,S329)+IF(E329="",0,IF(COUNTIF(Settings!$AC$2:$AC$6,E329)&gt;0,Settings!$AA$20,Settings!$AA$21)))</f>
        <v/>
      </c>
      <c r="U329" s="44" t="str">
        <f aca="false">IF(D329="","",IF(COUNTA(N329:S329)=0,"Not scored",IF(COUNTA(N329:S329)&lt;6,"Partly scored ("&amp;COUNTA(N329:S329)&amp;"/6)",IF(T329&gt;=Settings!$S$8,"Hot",IF(T329&gt;=Settings!$S$9,"Warm","Cold")))))</f>
        <v/>
      </c>
      <c r="V329" s="44" t="str">
        <f aca="false">IF(D329="","",IF(AND(N329="No",P329="No"),"🚩 Budget  ·  🚩 No one on camera",IF(N329="No","🚩 Budget under AED 5k",IF(P329="No","🚩 No one on camera",""))))</f>
        <v/>
      </c>
      <c r="W329" s="17"/>
      <c r="X329" s="17"/>
      <c r="Y329" s="40"/>
      <c r="Z329" s="17"/>
      <c r="AA329" s="45" t="str">
        <f aca="false">IF(OR(D329="",Y329="",OR(X329="Contract signed + paid",X329="Closed – No response",X329="Lost"),N(Z329)&gt;=Settings!$S$3),"",Y329+Settings!$S$2)</f>
        <v/>
      </c>
      <c r="AB329" s="40"/>
      <c r="AC329" s="41"/>
      <c r="AD329" s="17"/>
      <c r="AE329" s="17"/>
      <c r="AF329" s="17"/>
      <c r="AG329" s="46" t="str">
        <f aca="true">IF(OR(D329="",B329=""),"",INT(TODAY()-B329))</f>
        <v/>
      </c>
      <c r="AH329" s="44" t="str">
        <f aca="true">IF(D329="","",IF(OR(COUNTIFS(Clients!$C$2:$C$501,D329,Clients!$S$2:$S$501,"Paid")&gt;0,AND(H329&lt;&gt;"",COUNTIFS(Clients!$E$2:$E$501,H329,Clients!$S$2:$S$501,"Paid")&gt;0)),"⚠ Refunded before – no free video",IF(OR(X329="Contract signed + paid",X329="Closed – No response",X329="Lost"),"",IF(X329="","Set a stage",IF(AND(X329="Proposal sent",COUNTA(N329:S329)&lt;6),"Score this lead – proposal sent unscored",IF(N(Z329)&gt;=Settings!$S$3,"Close – 4 follow-ups sent",IF(AA329="",IF(Y329="","Make first contact",""),IF(TODAY()&gt;AA329,"OVERDUE follow-up",IF(TODAY()=AA329,"Follow up today","")))))))))</f>
        <v/>
      </c>
    </row>
    <row r="330" customFormat="false" ht="15" hidden="false" customHeight="false" outlineLevel="0" collapsed="false">
      <c r="A330" s="17"/>
      <c r="B330" s="40"/>
      <c r="C330" s="17"/>
      <c r="D330" s="17"/>
      <c r="E330" s="17"/>
      <c r="F330" s="17"/>
      <c r="G330" s="17"/>
      <c r="H330" s="42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44" t="str">
        <f aca="false">IF(OR(D330="",COUNTA(N330:S330)=0),"",SUMIFS(Settings!$AA$2:$AA$21,Settings!$Y$2:$Y$21,"Budget AED 5k+/mo?",Settings!$Z$2:$Z$21,N330)+SUMIFS(Settings!$AA$2:$AA$21,Settings!$Y$2:$Y$21,"Decision-maker?",Settings!$Z$2:$Z$21,O330)+SUMIFS(Settings!$AA$2:$AA$21,Settings!$Y$2:$Y$21,"Someone on camera?",Settings!$Z$2:$Z$21,P330)+SUMIFS(Settings!$AA$2:$AA$21,Settings!$Y$2:$Y$21,"OK with 3-month term?",Settings!$Z$2:$Z$21,Q330)+SUMIFS(Settings!$AA$2:$AA$21,Settings!$Y$2:$Y$21,"Start timeline",Settings!$Z$2:$Z$21,R330)+SUMIFS(Settings!$AA$2:$AA$21,Settings!$Y$2:$Y$21,"Social media gap",Settings!$Z$2:$Z$21,S330)+IF(E330="",0,IF(COUNTIF(Settings!$AC$2:$AC$6,E330)&gt;0,Settings!$AA$20,Settings!$AA$21)))</f>
        <v/>
      </c>
      <c r="U330" s="44" t="str">
        <f aca="false">IF(D330="","",IF(COUNTA(N330:S330)=0,"Not scored",IF(COUNTA(N330:S330)&lt;6,"Partly scored ("&amp;COUNTA(N330:S330)&amp;"/6)",IF(T330&gt;=Settings!$S$8,"Hot",IF(T330&gt;=Settings!$S$9,"Warm","Cold")))))</f>
        <v/>
      </c>
      <c r="V330" s="44" t="str">
        <f aca="false">IF(D330="","",IF(AND(N330="No",P330="No"),"🚩 Budget  ·  🚩 No one on camera",IF(N330="No","🚩 Budget under AED 5k",IF(P330="No","🚩 No one on camera",""))))</f>
        <v/>
      </c>
      <c r="W330" s="17"/>
      <c r="X330" s="17"/>
      <c r="Y330" s="40"/>
      <c r="Z330" s="17"/>
      <c r="AA330" s="45" t="str">
        <f aca="false">IF(OR(D330="",Y330="",OR(X330="Contract signed + paid",X330="Closed – No response",X330="Lost"),N(Z330)&gt;=Settings!$S$3),"",Y330+Settings!$S$2)</f>
        <v/>
      </c>
      <c r="AB330" s="40"/>
      <c r="AC330" s="41"/>
      <c r="AD330" s="17"/>
      <c r="AE330" s="17"/>
      <c r="AF330" s="17"/>
      <c r="AG330" s="46" t="str">
        <f aca="true">IF(OR(D330="",B330=""),"",INT(TODAY()-B330))</f>
        <v/>
      </c>
      <c r="AH330" s="44" t="str">
        <f aca="true">IF(D330="","",IF(OR(COUNTIFS(Clients!$C$2:$C$501,D330,Clients!$S$2:$S$501,"Paid")&gt;0,AND(H330&lt;&gt;"",COUNTIFS(Clients!$E$2:$E$501,H330,Clients!$S$2:$S$501,"Paid")&gt;0)),"⚠ Refunded before – no free video",IF(OR(X330="Contract signed + paid",X330="Closed – No response",X330="Lost"),"",IF(X330="","Set a stage",IF(AND(X330="Proposal sent",COUNTA(N330:S330)&lt;6),"Score this lead – proposal sent unscored",IF(N(Z330)&gt;=Settings!$S$3,"Close – 4 follow-ups sent",IF(AA330="",IF(Y330="","Make first contact",""),IF(TODAY()&gt;AA330,"OVERDUE follow-up",IF(TODAY()=AA330,"Follow up today","")))))))))</f>
        <v/>
      </c>
    </row>
    <row r="331" customFormat="false" ht="15" hidden="false" customHeight="false" outlineLevel="0" collapsed="false">
      <c r="A331" s="17"/>
      <c r="B331" s="40"/>
      <c r="C331" s="17"/>
      <c r="D331" s="17"/>
      <c r="E331" s="17"/>
      <c r="F331" s="17"/>
      <c r="G331" s="17"/>
      <c r="H331" s="42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44" t="str">
        <f aca="false">IF(OR(D331="",COUNTA(N331:S331)=0),"",SUMIFS(Settings!$AA$2:$AA$21,Settings!$Y$2:$Y$21,"Budget AED 5k+/mo?",Settings!$Z$2:$Z$21,N331)+SUMIFS(Settings!$AA$2:$AA$21,Settings!$Y$2:$Y$21,"Decision-maker?",Settings!$Z$2:$Z$21,O331)+SUMIFS(Settings!$AA$2:$AA$21,Settings!$Y$2:$Y$21,"Someone on camera?",Settings!$Z$2:$Z$21,P331)+SUMIFS(Settings!$AA$2:$AA$21,Settings!$Y$2:$Y$21,"OK with 3-month term?",Settings!$Z$2:$Z$21,Q331)+SUMIFS(Settings!$AA$2:$AA$21,Settings!$Y$2:$Y$21,"Start timeline",Settings!$Z$2:$Z$21,R331)+SUMIFS(Settings!$AA$2:$AA$21,Settings!$Y$2:$Y$21,"Social media gap",Settings!$Z$2:$Z$21,S331)+IF(E331="",0,IF(COUNTIF(Settings!$AC$2:$AC$6,E331)&gt;0,Settings!$AA$20,Settings!$AA$21)))</f>
        <v/>
      </c>
      <c r="U331" s="44" t="str">
        <f aca="false">IF(D331="","",IF(COUNTA(N331:S331)=0,"Not scored",IF(COUNTA(N331:S331)&lt;6,"Partly scored ("&amp;COUNTA(N331:S331)&amp;"/6)",IF(T331&gt;=Settings!$S$8,"Hot",IF(T331&gt;=Settings!$S$9,"Warm","Cold")))))</f>
        <v/>
      </c>
      <c r="V331" s="44" t="str">
        <f aca="false">IF(D331="","",IF(AND(N331="No",P331="No"),"🚩 Budget  ·  🚩 No one on camera",IF(N331="No","🚩 Budget under AED 5k",IF(P331="No","🚩 No one on camera",""))))</f>
        <v/>
      </c>
      <c r="W331" s="17"/>
      <c r="X331" s="17"/>
      <c r="Y331" s="40"/>
      <c r="Z331" s="17"/>
      <c r="AA331" s="45" t="str">
        <f aca="false">IF(OR(D331="",Y331="",OR(X331="Contract signed + paid",X331="Closed – No response",X331="Lost"),N(Z331)&gt;=Settings!$S$3),"",Y331+Settings!$S$2)</f>
        <v/>
      </c>
      <c r="AB331" s="40"/>
      <c r="AC331" s="41"/>
      <c r="AD331" s="17"/>
      <c r="AE331" s="17"/>
      <c r="AF331" s="17"/>
      <c r="AG331" s="46" t="str">
        <f aca="true">IF(OR(D331="",B331=""),"",INT(TODAY()-B331))</f>
        <v/>
      </c>
      <c r="AH331" s="44" t="str">
        <f aca="true">IF(D331="","",IF(OR(COUNTIFS(Clients!$C$2:$C$501,D331,Clients!$S$2:$S$501,"Paid")&gt;0,AND(H331&lt;&gt;"",COUNTIFS(Clients!$E$2:$E$501,H331,Clients!$S$2:$S$501,"Paid")&gt;0)),"⚠ Refunded before – no free video",IF(OR(X331="Contract signed + paid",X331="Closed – No response",X331="Lost"),"",IF(X331="","Set a stage",IF(AND(X331="Proposal sent",COUNTA(N331:S331)&lt;6),"Score this lead – proposal sent unscored",IF(N(Z331)&gt;=Settings!$S$3,"Close – 4 follow-ups sent",IF(AA331="",IF(Y331="","Make first contact",""),IF(TODAY()&gt;AA331,"OVERDUE follow-up",IF(TODAY()=AA331,"Follow up today","")))))))))</f>
        <v/>
      </c>
    </row>
    <row r="332" customFormat="false" ht="15" hidden="false" customHeight="false" outlineLevel="0" collapsed="false">
      <c r="A332" s="17"/>
      <c r="B332" s="40"/>
      <c r="C332" s="17"/>
      <c r="D332" s="17"/>
      <c r="E332" s="17"/>
      <c r="F332" s="17"/>
      <c r="G332" s="17"/>
      <c r="H332" s="42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44" t="str">
        <f aca="false">IF(OR(D332="",COUNTA(N332:S332)=0),"",SUMIFS(Settings!$AA$2:$AA$21,Settings!$Y$2:$Y$21,"Budget AED 5k+/mo?",Settings!$Z$2:$Z$21,N332)+SUMIFS(Settings!$AA$2:$AA$21,Settings!$Y$2:$Y$21,"Decision-maker?",Settings!$Z$2:$Z$21,O332)+SUMIFS(Settings!$AA$2:$AA$21,Settings!$Y$2:$Y$21,"Someone on camera?",Settings!$Z$2:$Z$21,P332)+SUMIFS(Settings!$AA$2:$AA$21,Settings!$Y$2:$Y$21,"OK with 3-month term?",Settings!$Z$2:$Z$21,Q332)+SUMIFS(Settings!$AA$2:$AA$21,Settings!$Y$2:$Y$21,"Start timeline",Settings!$Z$2:$Z$21,R332)+SUMIFS(Settings!$AA$2:$AA$21,Settings!$Y$2:$Y$21,"Social media gap",Settings!$Z$2:$Z$21,S332)+IF(E332="",0,IF(COUNTIF(Settings!$AC$2:$AC$6,E332)&gt;0,Settings!$AA$20,Settings!$AA$21)))</f>
        <v/>
      </c>
      <c r="U332" s="44" t="str">
        <f aca="false">IF(D332="","",IF(COUNTA(N332:S332)=0,"Not scored",IF(COUNTA(N332:S332)&lt;6,"Partly scored ("&amp;COUNTA(N332:S332)&amp;"/6)",IF(T332&gt;=Settings!$S$8,"Hot",IF(T332&gt;=Settings!$S$9,"Warm","Cold")))))</f>
        <v/>
      </c>
      <c r="V332" s="44" t="str">
        <f aca="false">IF(D332="","",IF(AND(N332="No",P332="No"),"🚩 Budget  ·  🚩 No one on camera",IF(N332="No","🚩 Budget under AED 5k",IF(P332="No","🚩 No one on camera",""))))</f>
        <v/>
      </c>
      <c r="W332" s="17"/>
      <c r="X332" s="17"/>
      <c r="Y332" s="40"/>
      <c r="Z332" s="17"/>
      <c r="AA332" s="45" t="str">
        <f aca="false">IF(OR(D332="",Y332="",OR(X332="Contract signed + paid",X332="Closed – No response",X332="Lost"),N(Z332)&gt;=Settings!$S$3),"",Y332+Settings!$S$2)</f>
        <v/>
      </c>
      <c r="AB332" s="40"/>
      <c r="AC332" s="41"/>
      <c r="AD332" s="17"/>
      <c r="AE332" s="17"/>
      <c r="AF332" s="17"/>
      <c r="AG332" s="46" t="str">
        <f aca="true">IF(OR(D332="",B332=""),"",INT(TODAY()-B332))</f>
        <v/>
      </c>
      <c r="AH332" s="44" t="str">
        <f aca="true">IF(D332="","",IF(OR(COUNTIFS(Clients!$C$2:$C$501,D332,Clients!$S$2:$S$501,"Paid")&gt;0,AND(H332&lt;&gt;"",COUNTIFS(Clients!$E$2:$E$501,H332,Clients!$S$2:$S$501,"Paid")&gt;0)),"⚠ Refunded before – no free video",IF(OR(X332="Contract signed + paid",X332="Closed – No response",X332="Lost"),"",IF(X332="","Set a stage",IF(AND(X332="Proposal sent",COUNTA(N332:S332)&lt;6),"Score this lead – proposal sent unscored",IF(N(Z332)&gt;=Settings!$S$3,"Close – 4 follow-ups sent",IF(AA332="",IF(Y332="","Make first contact",""),IF(TODAY()&gt;AA332,"OVERDUE follow-up",IF(TODAY()=AA332,"Follow up today","")))))))))</f>
        <v/>
      </c>
    </row>
    <row r="333" customFormat="false" ht="15" hidden="false" customHeight="false" outlineLevel="0" collapsed="false">
      <c r="A333" s="17"/>
      <c r="B333" s="40"/>
      <c r="C333" s="17"/>
      <c r="D333" s="17"/>
      <c r="E333" s="17"/>
      <c r="F333" s="17"/>
      <c r="G333" s="17"/>
      <c r="H333" s="42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44" t="str">
        <f aca="false">IF(OR(D333="",COUNTA(N333:S333)=0),"",SUMIFS(Settings!$AA$2:$AA$21,Settings!$Y$2:$Y$21,"Budget AED 5k+/mo?",Settings!$Z$2:$Z$21,N333)+SUMIFS(Settings!$AA$2:$AA$21,Settings!$Y$2:$Y$21,"Decision-maker?",Settings!$Z$2:$Z$21,O333)+SUMIFS(Settings!$AA$2:$AA$21,Settings!$Y$2:$Y$21,"Someone on camera?",Settings!$Z$2:$Z$21,P333)+SUMIFS(Settings!$AA$2:$AA$21,Settings!$Y$2:$Y$21,"OK with 3-month term?",Settings!$Z$2:$Z$21,Q333)+SUMIFS(Settings!$AA$2:$AA$21,Settings!$Y$2:$Y$21,"Start timeline",Settings!$Z$2:$Z$21,R333)+SUMIFS(Settings!$AA$2:$AA$21,Settings!$Y$2:$Y$21,"Social media gap",Settings!$Z$2:$Z$21,S333)+IF(E333="",0,IF(COUNTIF(Settings!$AC$2:$AC$6,E333)&gt;0,Settings!$AA$20,Settings!$AA$21)))</f>
        <v/>
      </c>
      <c r="U333" s="44" t="str">
        <f aca="false">IF(D333="","",IF(COUNTA(N333:S333)=0,"Not scored",IF(COUNTA(N333:S333)&lt;6,"Partly scored ("&amp;COUNTA(N333:S333)&amp;"/6)",IF(T333&gt;=Settings!$S$8,"Hot",IF(T333&gt;=Settings!$S$9,"Warm","Cold")))))</f>
        <v/>
      </c>
      <c r="V333" s="44" t="str">
        <f aca="false">IF(D333="","",IF(AND(N333="No",P333="No"),"🚩 Budget  ·  🚩 No one on camera",IF(N333="No","🚩 Budget under AED 5k",IF(P333="No","🚩 No one on camera",""))))</f>
        <v/>
      </c>
      <c r="W333" s="17"/>
      <c r="X333" s="17"/>
      <c r="Y333" s="40"/>
      <c r="Z333" s="17"/>
      <c r="AA333" s="45" t="str">
        <f aca="false">IF(OR(D333="",Y333="",OR(X333="Contract signed + paid",X333="Closed – No response",X333="Lost"),N(Z333)&gt;=Settings!$S$3),"",Y333+Settings!$S$2)</f>
        <v/>
      </c>
      <c r="AB333" s="40"/>
      <c r="AC333" s="41"/>
      <c r="AD333" s="17"/>
      <c r="AE333" s="17"/>
      <c r="AF333" s="17"/>
      <c r="AG333" s="46" t="str">
        <f aca="true">IF(OR(D333="",B333=""),"",INT(TODAY()-B333))</f>
        <v/>
      </c>
      <c r="AH333" s="44" t="str">
        <f aca="true">IF(D333="","",IF(OR(COUNTIFS(Clients!$C$2:$C$501,D333,Clients!$S$2:$S$501,"Paid")&gt;0,AND(H333&lt;&gt;"",COUNTIFS(Clients!$E$2:$E$501,H333,Clients!$S$2:$S$501,"Paid")&gt;0)),"⚠ Refunded before – no free video",IF(OR(X333="Contract signed + paid",X333="Closed – No response",X333="Lost"),"",IF(X333="","Set a stage",IF(AND(X333="Proposal sent",COUNTA(N333:S333)&lt;6),"Score this lead – proposal sent unscored",IF(N(Z333)&gt;=Settings!$S$3,"Close – 4 follow-ups sent",IF(AA333="",IF(Y333="","Make first contact",""),IF(TODAY()&gt;AA333,"OVERDUE follow-up",IF(TODAY()=AA333,"Follow up today","")))))))))</f>
        <v/>
      </c>
    </row>
    <row r="334" customFormat="false" ht="15" hidden="false" customHeight="false" outlineLevel="0" collapsed="false">
      <c r="A334" s="17"/>
      <c r="B334" s="40"/>
      <c r="C334" s="17"/>
      <c r="D334" s="17"/>
      <c r="E334" s="17"/>
      <c r="F334" s="17"/>
      <c r="G334" s="17"/>
      <c r="H334" s="42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44" t="str">
        <f aca="false">IF(OR(D334="",COUNTA(N334:S334)=0),"",SUMIFS(Settings!$AA$2:$AA$21,Settings!$Y$2:$Y$21,"Budget AED 5k+/mo?",Settings!$Z$2:$Z$21,N334)+SUMIFS(Settings!$AA$2:$AA$21,Settings!$Y$2:$Y$21,"Decision-maker?",Settings!$Z$2:$Z$21,O334)+SUMIFS(Settings!$AA$2:$AA$21,Settings!$Y$2:$Y$21,"Someone on camera?",Settings!$Z$2:$Z$21,P334)+SUMIFS(Settings!$AA$2:$AA$21,Settings!$Y$2:$Y$21,"OK with 3-month term?",Settings!$Z$2:$Z$21,Q334)+SUMIFS(Settings!$AA$2:$AA$21,Settings!$Y$2:$Y$21,"Start timeline",Settings!$Z$2:$Z$21,R334)+SUMIFS(Settings!$AA$2:$AA$21,Settings!$Y$2:$Y$21,"Social media gap",Settings!$Z$2:$Z$21,S334)+IF(E334="",0,IF(COUNTIF(Settings!$AC$2:$AC$6,E334)&gt;0,Settings!$AA$20,Settings!$AA$21)))</f>
        <v/>
      </c>
      <c r="U334" s="44" t="str">
        <f aca="false">IF(D334="","",IF(COUNTA(N334:S334)=0,"Not scored",IF(COUNTA(N334:S334)&lt;6,"Partly scored ("&amp;COUNTA(N334:S334)&amp;"/6)",IF(T334&gt;=Settings!$S$8,"Hot",IF(T334&gt;=Settings!$S$9,"Warm","Cold")))))</f>
        <v/>
      </c>
      <c r="V334" s="44" t="str">
        <f aca="false">IF(D334="","",IF(AND(N334="No",P334="No"),"🚩 Budget  ·  🚩 No one on camera",IF(N334="No","🚩 Budget under AED 5k",IF(P334="No","🚩 No one on camera",""))))</f>
        <v/>
      </c>
      <c r="W334" s="17"/>
      <c r="X334" s="17"/>
      <c r="Y334" s="40"/>
      <c r="Z334" s="17"/>
      <c r="AA334" s="45" t="str">
        <f aca="false">IF(OR(D334="",Y334="",OR(X334="Contract signed + paid",X334="Closed – No response",X334="Lost"),N(Z334)&gt;=Settings!$S$3),"",Y334+Settings!$S$2)</f>
        <v/>
      </c>
      <c r="AB334" s="40"/>
      <c r="AC334" s="41"/>
      <c r="AD334" s="17"/>
      <c r="AE334" s="17"/>
      <c r="AF334" s="17"/>
      <c r="AG334" s="46" t="str">
        <f aca="true">IF(OR(D334="",B334=""),"",INT(TODAY()-B334))</f>
        <v/>
      </c>
      <c r="AH334" s="44" t="str">
        <f aca="true">IF(D334="","",IF(OR(COUNTIFS(Clients!$C$2:$C$501,D334,Clients!$S$2:$S$501,"Paid")&gt;0,AND(H334&lt;&gt;"",COUNTIFS(Clients!$E$2:$E$501,H334,Clients!$S$2:$S$501,"Paid")&gt;0)),"⚠ Refunded before – no free video",IF(OR(X334="Contract signed + paid",X334="Closed – No response",X334="Lost"),"",IF(X334="","Set a stage",IF(AND(X334="Proposal sent",COUNTA(N334:S334)&lt;6),"Score this lead – proposal sent unscored",IF(N(Z334)&gt;=Settings!$S$3,"Close – 4 follow-ups sent",IF(AA334="",IF(Y334="","Make first contact",""),IF(TODAY()&gt;AA334,"OVERDUE follow-up",IF(TODAY()=AA334,"Follow up today","")))))))))</f>
        <v/>
      </c>
    </row>
    <row r="335" customFormat="false" ht="15" hidden="false" customHeight="false" outlineLevel="0" collapsed="false">
      <c r="A335" s="17"/>
      <c r="B335" s="40"/>
      <c r="C335" s="17"/>
      <c r="D335" s="17"/>
      <c r="E335" s="17"/>
      <c r="F335" s="17"/>
      <c r="G335" s="17"/>
      <c r="H335" s="42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44" t="str">
        <f aca="false">IF(OR(D335="",COUNTA(N335:S335)=0),"",SUMIFS(Settings!$AA$2:$AA$21,Settings!$Y$2:$Y$21,"Budget AED 5k+/mo?",Settings!$Z$2:$Z$21,N335)+SUMIFS(Settings!$AA$2:$AA$21,Settings!$Y$2:$Y$21,"Decision-maker?",Settings!$Z$2:$Z$21,O335)+SUMIFS(Settings!$AA$2:$AA$21,Settings!$Y$2:$Y$21,"Someone on camera?",Settings!$Z$2:$Z$21,P335)+SUMIFS(Settings!$AA$2:$AA$21,Settings!$Y$2:$Y$21,"OK with 3-month term?",Settings!$Z$2:$Z$21,Q335)+SUMIFS(Settings!$AA$2:$AA$21,Settings!$Y$2:$Y$21,"Start timeline",Settings!$Z$2:$Z$21,R335)+SUMIFS(Settings!$AA$2:$AA$21,Settings!$Y$2:$Y$21,"Social media gap",Settings!$Z$2:$Z$21,S335)+IF(E335="",0,IF(COUNTIF(Settings!$AC$2:$AC$6,E335)&gt;0,Settings!$AA$20,Settings!$AA$21)))</f>
        <v/>
      </c>
      <c r="U335" s="44" t="str">
        <f aca="false">IF(D335="","",IF(COUNTA(N335:S335)=0,"Not scored",IF(COUNTA(N335:S335)&lt;6,"Partly scored ("&amp;COUNTA(N335:S335)&amp;"/6)",IF(T335&gt;=Settings!$S$8,"Hot",IF(T335&gt;=Settings!$S$9,"Warm","Cold")))))</f>
        <v/>
      </c>
      <c r="V335" s="44" t="str">
        <f aca="false">IF(D335="","",IF(AND(N335="No",P335="No"),"🚩 Budget  ·  🚩 No one on camera",IF(N335="No","🚩 Budget under AED 5k",IF(P335="No","🚩 No one on camera",""))))</f>
        <v/>
      </c>
      <c r="W335" s="17"/>
      <c r="X335" s="17"/>
      <c r="Y335" s="40"/>
      <c r="Z335" s="17"/>
      <c r="AA335" s="45" t="str">
        <f aca="false">IF(OR(D335="",Y335="",OR(X335="Contract signed + paid",X335="Closed – No response",X335="Lost"),N(Z335)&gt;=Settings!$S$3),"",Y335+Settings!$S$2)</f>
        <v/>
      </c>
      <c r="AB335" s="40"/>
      <c r="AC335" s="41"/>
      <c r="AD335" s="17"/>
      <c r="AE335" s="17"/>
      <c r="AF335" s="17"/>
      <c r="AG335" s="46" t="str">
        <f aca="true">IF(OR(D335="",B335=""),"",INT(TODAY()-B335))</f>
        <v/>
      </c>
      <c r="AH335" s="44" t="str">
        <f aca="true">IF(D335="","",IF(OR(COUNTIFS(Clients!$C$2:$C$501,D335,Clients!$S$2:$S$501,"Paid")&gt;0,AND(H335&lt;&gt;"",COUNTIFS(Clients!$E$2:$E$501,H335,Clients!$S$2:$S$501,"Paid")&gt;0)),"⚠ Refunded before – no free video",IF(OR(X335="Contract signed + paid",X335="Closed – No response",X335="Lost"),"",IF(X335="","Set a stage",IF(AND(X335="Proposal sent",COUNTA(N335:S335)&lt;6),"Score this lead – proposal sent unscored",IF(N(Z335)&gt;=Settings!$S$3,"Close – 4 follow-ups sent",IF(AA335="",IF(Y335="","Make first contact",""),IF(TODAY()&gt;AA335,"OVERDUE follow-up",IF(TODAY()=AA335,"Follow up today","")))))))))</f>
        <v/>
      </c>
    </row>
    <row r="336" customFormat="false" ht="15" hidden="false" customHeight="false" outlineLevel="0" collapsed="false">
      <c r="A336" s="17"/>
      <c r="B336" s="40"/>
      <c r="C336" s="17"/>
      <c r="D336" s="17"/>
      <c r="E336" s="17"/>
      <c r="F336" s="17"/>
      <c r="G336" s="17"/>
      <c r="H336" s="42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44" t="str">
        <f aca="false">IF(OR(D336="",COUNTA(N336:S336)=0),"",SUMIFS(Settings!$AA$2:$AA$21,Settings!$Y$2:$Y$21,"Budget AED 5k+/mo?",Settings!$Z$2:$Z$21,N336)+SUMIFS(Settings!$AA$2:$AA$21,Settings!$Y$2:$Y$21,"Decision-maker?",Settings!$Z$2:$Z$21,O336)+SUMIFS(Settings!$AA$2:$AA$21,Settings!$Y$2:$Y$21,"Someone on camera?",Settings!$Z$2:$Z$21,P336)+SUMIFS(Settings!$AA$2:$AA$21,Settings!$Y$2:$Y$21,"OK with 3-month term?",Settings!$Z$2:$Z$21,Q336)+SUMIFS(Settings!$AA$2:$AA$21,Settings!$Y$2:$Y$21,"Start timeline",Settings!$Z$2:$Z$21,R336)+SUMIFS(Settings!$AA$2:$AA$21,Settings!$Y$2:$Y$21,"Social media gap",Settings!$Z$2:$Z$21,S336)+IF(E336="",0,IF(COUNTIF(Settings!$AC$2:$AC$6,E336)&gt;0,Settings!$AA$20,Settings!$AA$21)))</f>
        <v/>
      </c>
      <c r="U336" s="44" t="str">
        <f aca="false">IF(D336="","",IF(COUNTA(N336:S336)=0,"Not scored",IF(COUNTA(N336:S336)&lt;6,"Partly scored ("&amp;COUNTA(N336:S336)&amp;"/6)",IF(T336&gt;=Settings!$S$8,"Hot",IF(T336&gt;=Settings!$S$9,"Warm","Cold")))))</f>
        <v/>
      </c>
      <c r="V336" s="44" t="str">
        <f aca="false">IF(D336="","",IF(AND(N336="No",P336="No"),"🚩 Budget  ·  🚩 No one on camera",IF(N336="No","🚩 Budget under AED 5k",IF(P336="No","🚩 No one on camera",""))))</f>
        <v/>
      </c>
      <c r="W336" s="17"/>
      <c r="X336" s="17"/>
      <c r="Y336" s="40"/>
      <c r="Z336" s="17"/>
      <c r="AA336" s="45" t="str">
        <f aca="false">IF(OR(D336="",Y336="",OR(X336="Contract signed + paid",X336="Closed – No response",X336="Lost"),N(Z336)&gt;=Settings!$S$3),"",Y336+Settings!$S$2)</f>
        <v/>
      </c>
      <c r="AB336" s="40"/>
      <c r="AC336" s="41"/>
      <c r="AD336" s="17"/>
      <c r="AE336" s="17"/>
      <c r="AF336" s="17"/>
      <c r="AG336" s="46" t="str">
        <f aca="true">IF(OR(D336="",B336=""),"",INT(TODAY()-B336))</f>
        <v/>
      </c>
      <c r="AH336" s="44" t="str">
        <f aca="true">IF(D336="","",IF(OR(COUNTIFS(Clients!$C$2:$C$501,D336,Clients!$S$2:$S$501,"Paid")&gt;0,AND(H336&lt;&gt;"",COUNTIFS(Clients!$E$2:$E$501,H336,Clients!$S$2:$S$501,"Paid")&gt;0)),"⚠ Refunded before – no free video",IF(OR(X336="Contract signed + paid",X336="Closed – No response",X336="Lost"),"",IF(X336="","Set a stage",IF(AND(X336="Proposal sent",COUNTA(N336:S336)&lt;6),"Score this lead – proposal sent unscored",IF(N(Z336)&gt;=Settings!$S$3,"Close – 4 follow-ups sent",IF(AA336="",IF(Y336="","Make first contact",""),IF(TODAY()&gt;AA336,"OVERDUE follow-up",IF(TODAY()=AA336,"Follow up today","")))))))))</f>
        <v/>
      </c>
    </row>
    <row r="337" customFormat="false" ht="15" hidden="false" customHeight="false" outlineLevel="0" collapsed="false">
      <c r="A337" s="17"/>
      <c r="B337" s="40"/>
      <c r="C337" s="17"/>
      <c r="D337" s="17"/>
      <c r="E337" s="17"/>
      <c r="F337" s="17"/>
      <c r="G337" s="17"/>
      <c r="H337" s="42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44" t="str">
        <f aca="false">IF(OR(D337="",COUNTA(N337:S337)=0),"",SUMIFS(Settings!$AA$2:$AA$21,Settings!$Y$2:$Y$21,"Budget AED 5k+/mo?",Settings!$Z$2:$Z$21,N337)+SUMIFS(Settings!$AA$2:$AA$21,Settings!$Y$2:$Y$21,"Decision-maker?",Settings!$Z$2:$Z$21,O337)+SUMIFS(Settings!$AA$2:$AA$21,Settings!$Y$2:$Y$21,"Someone on camera?",Settings!$Z$2:$Z$21,P337)+SUMIFS(Settings!$AA$2:$AA$21,Settings!$Y$2:$Y$21,"OK with 3-month term?",Settings!$Z$2:$Z$21,Q337)+SUMIFS(Settings!$AA$2:$AA$21,Settings!$Y$2:$Y$21,"Start timeline",Settings!$Z$2:$Z$21,R337)+SUMIFS(Settings!$AA$2:$AA$21,Settings!$Y$2:$Y$21,"Social media gap",Settings!$Z$2:$Z$21,S337)+IF(E337="",0,IF(COUNTIF(Settings!$AC$2:$AC$6,E337)&gt;0,Settings!$AA$20,Settings!$AA$21)))</f>
        <v/>
      </c>
      <c r="U337" s="44" t="str">
        <f aca="false">IF(D337="","",IF(COUNTA(N337:S337)=0,"Not scored",IF(COUNTA(N337:S337)&lt;6,"Partly scored ("&amp;COUNTA(N337:S337)&amp;"/6)",IF(T337&gt;=Settings!$S$8,"Hot",IF(T337&gt;=Settings!$S$9,"Warm","Cold")))))</f>
        <v/>
      </c>
      <c r="V337" s="44" t="str">
        <f aca="false">IF(D337="","",IF(AND(N337="No",P337="No"),"🚩 Budget  ·  🚩 No one on camera",IF(N337="No","🚩 Budget under AED 5k",IF(P337="No","🚩 No one on camera",""))))</f>
        <v/>
      </c>
      <c r="W337" s="17"/>
      <c r="X337" s="17"/>
      <c r="Y337" s="40"/>
      <c r="Z337" s="17"/>
      <c r="AA337" s="45" t="str">
        <f aca="false">IF(OR(D337="",Y337="",OR(X337="Contract signed + paid",X337="Closed – No response",X337="Lost"),N(Z337)&gt;=Settings!$S$3),"",Y337+Settings!$S$2)</f>
        <v/>
      </c>
      <c r="AB337" s="40"/>
      <c r="AC337" s="41"/>
      <c r="AD337" s="17"/>
      <c r="AE337" s="17"/>
      <c r="AF337" s="17"/>
      <c r="AG337" s="46" t="str">
        <f aca="true">IF(OR(D337="",B337=""),"",INT(TODAY()-B337))</f>
        <v/>
      </c>
      <c r="AH337" s="44" t="str">
        <f aca="true">IF(D337="","",IF(OR(COUNTIFS(Clients!$C$2:$C$501,D337,Clients!$S$2:$S$501,"Paid")&gt;0,AND(H337&lt;&gt;"",COUNTIFS(Clients!$E$2:$E$501,H337,Clients!$S$2:$S$501,"Paid")&gt;0)),"⚠ Refunded before – no free video",IF(OR(X337="Contract signed + paid",X337="Closed – No response",X337="Lost"),"",IF(X337="","Set a stage",IF(AND(X337="Proposal sent",COUNTA(N337:S337)&lt;6),"Score this lead – proposal sent unscored",IF(N(Z337)&gt;=Settings!$S$3,"Close – 4 follow-ups sent",IF(AA337="",IF(Y337="","Make first contact",""),IF(TODAY()&gt;AA337,"OVERDUE follow-up",IF(TODAY()=AA337,"Follow up today","")))))))))</f>
        <v/>
      </c>
    </row>
    <row r="338" customFormat="false" ht="15" hidden="false" customHeight="false" outlineLevel="0" collapsed="false">
      <c r="A338" s="17"/>
      <c r="B338" s="40"/>
      <c r="C338" s="17"/>
      <c r="D338" s="17"/>
      <c r="E338" s="17"/>
      <c r="F338" s="17"/>
      <c r="G338" s="17"/>
      <c r="H338" s="42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44" t="str">
        <f aca="false">IF(OR(D338="",COUNTA(N338:S338)=0),"",SUMIFS(Settings!$AA$2:$AA$21,Settings!$Y$2:$Y$21,"Budget AED 5k+/mo?",Settings!$Z$2:$Z$21,N338)+SUMIFS(Settings!$AA$2:$AA$21,Settings!$Y$2:$Y$21,"Decision-maker?",Settings!$Z$2:$Z$21,O338)+SUMIFS(Settings!$AA$2:$AA$21,Settings!$Y$2:$Y$21,"Someone on camera?",Settings!$Z$2:$Z$21,P338)+SUMIFS(Settings!$AA$2:$AA$21,Settings!$Y$2:$Y$21,"OK with 3-month term?",Settings!$Z$2:$Z$21,Q338)+SUMIFS(Settings!$AA$2:$AA$21,Settings!$Y$2:$Y$21,"Start timeline",Settings!$Z$2:$Z$21,R338)+SUMIFS(Settings!$AA$2:$AA$21,Settings!$Y$2:$Y$21,"Social media gap",Settings!$Z$2:$Z$21,S338)+IF(E338="",0,IF(COUNTIF(Settings!$AC$2:$AC$6,E338)&gt;0,Settings!$AA$20,Settings!$AA$21)))</f>
        <v/>
      </c>
      <c r="U338" s="44" t="str">
        <f aca="false">IF(D338="","",IF(COUNTA(N338:S338)=0,"Not scored",IF(COUNTA(N338:S338)&lt;6,"Partly scored ("&amp;COUNTA(N338:S338)&amp;"/6)",IF(T338&gt;=Settings!$S$8,"Hot",IF(T338&gt;=Settings!$S$9,"Warm","Cold")))))</f>
        <v/>
      </c>
      <c r="V338" s="44" t="str">
        <f aca="false">IF(D338="","",IF(AND(N338="No",P338="No"),"🚩 Budget  ·  🚩 No one on camera",IF(N338="No","🚩 Budget under AED 5k",IF(P338="No","🚩 No one on camera",""))))</f>
        <v/>
      </c>
      <c r="W338" s="17"/>
      <c r="X338" s="17"/>
      <c r="Y338" s="40"/>
      <c r="Z338" s="17"/>
      <c r="AA338" s="45" t="str">
        <f aca="false">IF(OR(D338="",Y338="",OR(X338="Contract signed + paid",X338="Closed – No response",X338="Lost"),N(Z338)&gt;=Settings!$S$3),"",Y338+Settings!$S$2)</f>
        <v/>
      </c>
      <c r="AB338" s="40"/>
      <c r="AC338" s="41"/>
      <c r="AD338" s="17"/>
      <c r="AE338" s="17"/>
      <c r="AF338" s="17"/>
      <c r="AG338" s="46" t="str">
        <f aca="true">IF(OR(D338="",B338=""),"",INT(TODAY()-B338))</f>
        <v/>
      </c>
      <c r="AH338" s="44" t="str">
        <f aca="true">IF(D338="","",IF(OR(COUNTIFS(Clients!$C$2:$C$501,D338,Clients!$S$2:$S$501,"Paid")&gt;0,AND(H338&lt;&gt;"",COUNTIFS(Clients!$E$2:$E$501,H338,Clients!$S$2:$S$501,"Paid")&gt;0)),"⚠ Refunded before – no free video",IF(OR(X338="Contract signed + paid",X338="Closed – No response",X338="Lost"),"",IF(X338="","Set a stage",IF(AND(X338="Proposal sent",COUNTA(N338:S338)&lt;6),"Score this lead – proposal sent unscored",IF(N(Z338)&gt;=Settings!$S$3,"Close – 4 follow-ups sent",IF(AA338="",IF(Y338="","Make first contact",""),IF(TODAY()&gt;AA338,"OVERDUE follow-up",IF(TODAY()=AA338,"Follow up today","")))))))))</f>
        <v/>
      </c>
    </row>
    <row r="339" customFormat="false" ht="15" hidden="false" customHeight="false" outlineLevel="0" collapsed="false">
      <c r="A339" s="17"/>
      <c r="B339" s="40"/>
      <c r="C339" s="17"/>
      <c r="D339" s="17"/>
      <c r="E339" s="17"/>
      <c r="F339" s="17"/>
      <c r="G339" s="17"/>
      <c r="H339" s="42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44" t="str">
        <f aca="false">IF(OR(D339="",COUNTA(N339:S339)=0),"",SUMIFS(Settings!$AA$2:$AA$21,Settings!$Y$2:$Y$21,"Budget AED 5k+/mo?",Settings!$Z$2:$Z$21,N339)+SUMIFS(Settings!$AA$2:$AA$21,Settings!$Y$2:$Y$21,"Decision-maker?",Settings!$Z$2:$Z$21,O339)+SUMIFS(Settings!$AA$2:$AA$21,Settings!$Y$2:$Y$21,"Someone on camera?",Settings!$Z$2:$Z$21,P339)+SUMIFS(Settings!$AA$2:$AA$21,Settings!$Y$2:$Y$21,"OK with 3-month term?",Settings!$Z$2:$Z$21,Q339)+SUMIFS(Settings!$AA$2:$AA$21,Settings!$Y$2:$Y$21,"Start timeline",Settings!$Z$2:$Z$21,R339)+SUMIFS(Settings!$AA$2:$AA$21,Settings!$Y$2:$Y$21,"Social media gap",Settings!$Z$2:$Z$21,S339)+IF(E339="",0,IF(COUNTIF(Settings!$AC$2:$AC$6,E339)&gt;0,Settings!$AA$20,Settings!$AA$21)))</f>
        <v/>
      </c>
      <c r="U339" s="44" t="str">
        <f aca="false">IF(D339="","",IF(COUNTA(N339:S339)=0,"Not scored",IF(COUNTA(N339:S339)&lt;6,"Partly scored ("&amp;COUNTA(N339:S339)&amp;"/6)",IF(T339&gt;=Settings!$S$8,"Hot",IF(T339&gt;=Settings!$S$9,"Warm","Cold")))))</f>
        <v/>
      </c>
      <c r="V339" s="44" t="str">
        <f aca="false">IF(D339="","",IF(AND(N339="No",P339="No"),"🚩 Budget  ·  🚩 No one on camera",IF(N339="No","🚩 Budget under AED 5k",IF(P339="No","🚩 No one on camera",""))))</f>
        <v/>
      </c>
      <c r="W339" s="17"/>
      <c r="X339" s="17"/>
      <c r="Y339" s="40"/>
      <c r="Z339" s="17"/>
      <c r="AA339" s="45" t="str">
        <f aca="false">IF(OR(D339="",Y339="",OR(X339="Contract signed + paid",X339="Closed – No response",X339="Lost"),N(Z339)&gt;=Settings!$S$3),"",Y339+Settings!$S$2)</f>
        <v/>
      </c>
      <c r="AB339" s="40"/>
      <c r="AC339" s="41"/>
      <c r="AD339" s="17"/>
      <c r="AE339" s="17"/>
      <c r="AF339" s="17"/>
      <c r="AG339" s="46" t="str">
        <f aca="true">IF(OR(D339="",B339=""),"",INT(TODAY()-B339))</f>
        <v/>
      </c>
      <c r="AH339" s="44" t="str">
        <f aca="true">IF(D339="","",IF(OR(COUNTIFS(Clients!$C$2:$C$501,D339,Clients!$S$2:$S$501,"Paid")&gt;0,AND(H339&lt;&gt;"",COUNTIFS(Clients!$E$2:$E$501,H339,Clients!$S$2:$S$501,"Paid")&gt;0)),"⚠ Refunded before – no free video",IF(OR(X339="Contract signed + paid",X339="Closed – No response",X339="Lost"),"",IF(X339="","Set a stage",IF(AND(X339="Proposal sent",COUNTA(N339:S339)&lt;6),"Score this lead – proposal sent unscored",IF(N(Z339)&gt;=Settings!$S$3,"Close – 4 follow-ups sent",IF(AA339="",IF(Y339="","Make first contact",""),IF(TODAY()&gt;AA339,"OVERDUE follow-up",IF(TODAY()=AA339,"Follow up today","")))))))))</f>
        <v/>
      </c>
    </row>
    <row r="340" customFormat="false" ht="15" hidden="false" customHeight="false" outlineLevel="0" collapsed="false">
      <c r="A340" s="17"/>
      <c r="B340" s="40"/>
      <c r="C340" s="17"/>
      <c r="D340" s="17"/>
      <c r="E340" s="17"/>
      <c r="F340" s="17"/>
      <c r="G340" s="17"/>
      <c r="H340" s="42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44" t="str">
        <f aca="false">IF(OR(D340="",COUNTA(N340:S340)=0),"",SUMIFS(Settings!$AA$2:$AA$21,Settings!$Y$2:$Y$21,"Budget AED 5k+/mo?",Settings!$Z$2:$Z$21,N340)+SUMIFS(Settings!$AA$2:$AA$21,Settings!$Y$2:$Y$21,"Decision-maker?",Settings!$Z$2:$Z$21,O340)+SUMIFS(Settings!$AA$2:$AA$21,Settings!$Y$2:$Y$21,"Someone on camera?",Settings!$Z$2:$Z$21,P340)+SUMIFS(Settings!$AA$2:$AA$21,Settings!$Y$2:$Y$21,"OK with 3-month term?",Settings!$Z$2:$Z$21,Q340)+SUMIFS(Settings!$AA$2:$AA$21,Settings!$Y$2:$Y$21,"Start timeline",Settings!$Z$2:$Z$21,R340)+SUMIFS(Settings!$AA$2:$AA$21,Settings!$Y$2:$Y$21,"Social media gap",Settings!$Z$2:$Z$21,S340)+IF(E340="",0,IF(COUNTIF(Settings!$AC$2:$AC$6,E340)&gt;0,Settings!$AA$20,Settings!$AA$21)))</f>
        <v/>
      </c>
      <c r="U340" s="44" t="str">
        <f aca="false">IF(D340="","",IF(COUNTA(N340:S340)=0,"Not scored",IF(COUNTA(N340:S340)&lt;6,"Partly scored ("&amp;COUNTA(N340:S340)&amp;"/6)",IF(T340&gt;=Settings!$S$8,"Hot",IF(T340&gt;=Settings!$S$9,"Warm","Cold")))))</f>
        <v/>
      </c>
      <c r="V340" s="44" t="str">
        <f aca="false">IF(D340="","",IF(AND(N340="No",P340="No"),"🚩 Budget  ·  🚩 No one on camera",IF(N340="No","🚩 Budget under AED 5k",IF(P340="No","🚩 No one on camera",""))))</f>
        <v/>
      </c>
      <c r="W340" s="17"/>
      <c r="X340" s="17"/>
      <c r="Y340" s="40"/>
      <c r="Z340" s="17"/>
      <c r="AA340" s="45" t="str">
        <f aca="false">IF(OR(D340="",Y340="",OR(X340="Contract signed + paid",X340="Closed – No response",X340="Lost"),N(Z340)&gt;=Settings!$S$3),"",Y340+Settings!$S$2)</f>
        <v/>
      </c>
      <c r="AB340" s="40"/>
      <c r="AC340" s="41"/>
      <c r="AD340" s="17"/>
      <c r="AE340" s="17"/>
      <c r="AF340" s="17"/>
      <c r="AG340" s="46" t="str">
        <f aca="true">IF(OR(D340="",B340=""),"",INT(TODAY()-B340))</f>
        <v/>
      </c>
      <c r="AH340" s="44" t="str">
        <f aca="true">IF(D340="","",IF(OR(COUNTIFS(Clients!$C$2:$C$501,D340,Clients!$S$2:$S$501,"Paid")&gt;0,AND(H340&lt;&gt;"",COUNTIFS(Clients!$E$2:$E$501,H340,Clients!$S$2:$S$501,"Paid")&gt;0)),"⚠ Refunded before – no free video",IF(OR(X340="Contract signed + paid",X340="Closed – No response",X340="Lost"),"",IF(X340="","Set a stage",IF(AND(X340="Proposal sent",COUNTA(N340:S340)&lt;6),"Score this lead – proposal sent unscored",IF(N(Z340)&gt;=Settings!$S$3,"Close – 4 follow-ups sent",IF(AA340="",IF(Y340="","Make first contact",""),IF(TODAY()&gt;AA340,"OVERDUE follow-up",IF(TODAY()=AA340,"Follow up today","")))))))))</f>
        <v/>
      </c>
    </row>
    <row r="341" customFormat="false" ht="15" hidden="false" customHeight="false" outlineLevel="0" collapsed="false">
      <c r="A341" s="17"/>
      <c r="B341" s="40"/>
      <c r="C341" s="17"/>
      <c r="D341" s="17"/>
      <c r="E341" s="17"/>
      <c r="F341" s="17"/>
      <c r="G341" s="17"/>
      <c r="H341" s="42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44" t="str">
        <f aca="false">IF(OR(D341="",COUNTA(N341:S341)=0),"",SUMIFS(Settings!$AA$2:$AA$21,Settings!$Y$2:$Y$21,"Budget AED 5k+/mo?",Settings!$Z$2:$Z$21,N341)+SUMIFS(Settings!$AA$2:$AA$21,Settings!$Y$2:$Y$21,"Decision-maker?",Settings!$Z$2:$Z$21,O341)+SUMIFS(Settings!$AA$2:$AA$21,Settings!$Y$2:$Y$21,"Someone on camera?",Settings!$Z$2:$Z$21,P341)+SUMIFS(Settings!$AA$2:$AA$21,Settings!$Y$2:$Y$21,"OK with 3-month term?",Settings!$Z$2:$Z$21,Q341)+SUMIFS(Settings!$AA$2:$AA$21,Settings!$Y$2:$Y$21,"Start timeline",Settings!$Z$2:$Z$21,R341)+SUMIFS(Settings!$AA$2:$AA$21,Settings!$Y$2:$Y$21,"Social media gap",Settings!$Z$2:$Z$21,S341)+IF(E341="",0,IF(COUNTIF(Settings!$AC$2:$AC$6,E341)&gt;0,Settings!$AA$20,Settings!$AA$21)))</f>
        <v/>
      </c>
      <c r="U341" s="44" t="str">
        <f aca="false">IF(D341="","",IF(COUNTA(N341:S341)=0,"Not scored",IF(COUNTA(N341:S341)&lt;6,"Partly scored ("&amp;COUNTA(N341:S341)&amp;"/6)",IF(T341&gt;=Settings!$S$8,"Hot",IF(T341&gt;=Settings!$S$9,"Warm","Cold")))))</f>
        <v/>
      </c>
      <c r="V341" s="44" t="str">
        <f aca="false">IF(D341="","",IF(AND(N341="No",P341="No"),"🚩 Budget  ·  🚩 No one on camera",IF(N341="No","🚩 Budget under AED 5k",IF(P341="No","🚩 No one on camera",""))))</f>
        <v/>
      </c>
      <c r="W341" s="17"/>
      <c r="X341" s="17"/>
      <c r="Y341" s="40"/>
      <c r="Z341" s="17"/>
      <c r="AA341" s="45" t="str">
        <f aca="false">IF(OR(D341="",Y341="",OR(X341="Contract signed + paid",X341="Closed – No response",X341="Lost"),N(Z341)&gt;=Settings!$S$3),"",Y341+Settings!$S$2)</f>
        <v/>
      </c>
      <c r="AB341" s="40"/>
      <c r="AC341" s="41"/>
      <c r="AD341" s="17"/>
      <c r="AE341" s="17"/>
      <c r="AF341" s="17"/>
      <c r="AG341" s="46" t="str">
        <f aca="true">IF(OR(D341="",B341=""),"",INT(TODAY()-B341))</f>
        <v/>
      </c>
      <c r="AH341" s="44" t="str">
        <f aca="true">IF(D341="","",IF(OR(COUNTIFS(Clients!$C$2:$C$501,D341,Clients!$S$2:$S$501,"Paid")&gt;0,AND(H341&lt;&gt;"",COUNTIFS(Clients!$E$2:$E$501,H341,Clients!$S$2:$S$501,"Paid")&gt;0)),"⚠ Refunded before – no free video",IF(OR(X341="Contract signed + paid",X341="Closed – No response",X341="Lost"),"",IF(X341="","Set a stage",IF(AND(X341="Proposal sent",COUNTA(N341:S341)&lt;6),"Score this lead – proposal sent unscored",IF(N(Z341)&gt;=Settings!$S$3,"Close – 4 follow-ups sent",IF(AA341="",IF(Y341="","Make first contact",""),IF(TODAY()&gt;AA341,"OVERDUE follow-up",IF(TODAY()=AA341,"Follow up today","")))))))))</f>
        <v/>
      </c>
    </row>
    <row r="342" customFormat="false" ht="15" hidden="false" customHeight="false" outlineLevel="0" collapsed="false">
      <c r="A342" s="17"/>
      <c r="B342" s="40"/>
      <c r="C342" s="17"/>
      <c r="D342" s="17"/>
      <c r="E342" s="17"/>
      <c r="F342" s="17"/>
      <c r="G342" s="17"/>
      <c r="H342" s="42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44" t="str">
        <f aca="false">IF(OR(D342="",COUNTA(N342:S342)=0),"",SUMIFS(Settings!$AA$2:$AA$21,Settings!$Y$2:$Y$21,"Budget AED 5k+/mo?",Settings!$Z$2:$Z$21,N342)+SUMIFS(Settings!$AA$2:$AA$21,Settings!$Y$2:$Y$21,"Decision-maker?",Settings!$Z$2:$Z$21,O342)+SUMIFS(Settings!$AA$2:$AA$21,Settings!$Y$2:$Y$21,"Someone on camera?",Settings!$Z$2:$Z$21,P342)+SUMIFS(Settings!$AA$2:$AA$21,Settings!$Y$2:$Y$21,"OK with 3-month term?",Settings!$Z$2:$Z$21,Q342)+SUMIFS(Settings!$AA$2:$AA$21,Settings!$Y$2:$Y$21,"Start timeline",Settings!$Z$2:$Z$21,R342)+SUMIFS(Settings!$AA$2:$AA$21,Settings!$Y$2:$Y$21,"Social media gap",Settings!$Z$2:$Z$21,S342)+IF(E342="",0,IF(COUNTIF(Settings!$AC$2:$AC$6,E342)&gt;0,Settings!$AA$20,Settings!$AA$21)))</f>
        <v/>
      </c>
      <c r="U342" s="44" t="str">
        <f aca="false">IF(D342="","",IF(COUNTA(N342:S342)=0,"Not scored",IF(COUNTA(N342:S342)&lt;6,"Partly scored ("&amp;COUNTA(N342:S342)&amp;"/6)",IF(T342&gt;=Settings!$S$8,"Hot",IF(T342&gt;=Settings!$S$9,"Warm","Cold")))))</f>
        <v/>
      </c>
      <c r="V342" s="44" t="str">
        <f aca="false">IF(D342="","",IF(AND(N342="No",P342="No"),"🚩 Budget  ·  🚩 No one on camera",IF(N342="No","🚩 Budget under AED 5k",IF(P342="No","🚩 No one on camera",""))))</f>
        <v/>
      </c>
      <c r="W342" s="17"/>
      <c r="X342" s="17"/>
      <c r="Y342" s="40"/>
      <c r="Z342" s="17"/>
      <c r="AA342" s="45" t="str">
        <f aca="false">IF(OR(D342="",Y342="",OR(X342="Contract signed + paid",X342="Closed – No response",X342="Lost"),N(Z342)&gt;=Settings!$S$3),"",Y342+Settings!$S$2)</f>
        <v/>
      </c>
      <c r="AB342" s="40"/>
      <c r="AC342" s="41"/>
      <c r="AD342" s="17"/>
      <c r="AE342" s="17"/>
      <c r="AF342" s="17"/>
      <c r="AG342" s="46" t="str">
        <f aca="true">IF(OR(D342="",B342=""),"",INT(TODAY()-B342))</f>
        <v/>
      </c>
      <c r="AH342" s="44" t="str">
        <f aca="true">IF(D342="","",IF(OR(COUNTIFS(Clients!$C$2:$C$501,D342,Clients!$S$2:$S$501,"Paid")&gt;0,AND(H342&lt;&gt;"",COUNTIFS(Clients!$E$2:$E$501,H342,Clients!$S$2:$S$501,"Paid")&gt;0)),"⚠ Refunded before – no free video",IF(OR(X342="Contract signed + paid",X342="Closed – No response",X342="Lost"),"",IF(X342="","Set a stage",IF(AND(X342="Proposal sent",COUNTA(N342:S342)&lt;6),"Score this lead – proposal sent unscored",IF(N(Z342)&gt;=Settings!$S$3,"Close – 4 follow-ups sent",IF(AA342="",IF(Y342="","Make first contact",""),IF(TODAY()&gt;AA342,"OVERDUE follow-up",IF(TODAY()=AA342,"Follow up today","")))))))))</f>
        <v/>
      </c>
    </row>
    <row r="343" customFormat="false" ht="15" hidden="false" customHeight="false" outlineLevel="0" collapsed="false">
      <c r="A343" s="17"/>
      <c r="B343" s="40"/>
      <c r="C343" s="17"/>
      <c r="D343" s="17"/>
      <c r="E343" s="17"/>
      <c r="F343" s="17"/>
      <c r="G343" s="17"/>
      <c r="H343" s="42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44" t="str">
        <f aca="false">IF(OR(D343="",COUNTA(N343:S343)=0),"",SUMIFS(Settings!$AA$2:$AA$21,Settings!$Y$2:$Y$21,"Budget AED 5k+/mo?",Settings!$Z$2:$Z$21,N343)+SUMIFS(Settings!$AA$2:$AA$21,Settings!$Y$2:$Y$21,"Decision-maker?",Settings!$Z$2:$Z$21,O343)+SUMIFS(Settings!$AA$2:$AA$21,Settings!$Y$2:$Y$21,"Someone on camera?",Settings!$Z$2:$Z$21,P343)+SUMIFS(Settings!$AA$2:$AA$21,Settings!$Y$2:$Y$21,"OK with 3-month term?",Settings!$Z$2:$Z$21,Q343)+SUMIFS(Settings!$AA$2:$AA$21,Settings!$Y$2:$Y$21,"Start timeline",Settings!$Z$2:$Z$21,R343)+SUMIFS(Settings!$AA$2:$AA$21,Settings!$Y$2:$Y$21,"Social media gap",Settings!$Z$2:$Z$21,S343)+IF(E343="",0,IF(COUNTIF(Settings!$AC$2:$AC$6,E343)&gt;0,Settings!$AA$20,Settings!$AA$21)))</f>
        <v/>
      </c>
      <c r="U343" s="44" t="str">
        <f aca="false">IF(D343="","",IF(COUNTA(N343:S343)=0,"Not scored",IF(COUNTA(N343:S343)&lt;6,"Partly scored ("&amp;COUNTA(N343:S343)&amp;"/6)",IF(T343&gt;=Settings!$S$8,"Hot",IF(T343&gt;=Settings!$S$9,"Warm","Cold")))))</f>
        <v/>
      </c>
      <c r="V343" s="44" t="str">
        <f aca="false">IF(D343="","",IF(AND(N343="No",P343="No"),"🚩 Budget  ·  🚩 No one on camera",IF(N343="No","🚩 Budget under AED 5k",IF(P343="No","🚩 No one on camera",""))))</f>
        <v/>
      </c>
      <c r="W343" s="17"/>
      <c r="X343" s="17"/>
      <c r="Y343" s="40"/>
      <c r="Z343" s="17"/>
      <c r="AA343" s="45" t="str">
        <f aca="false">IF(OR(D343="",Y343="",OR(X343="Contract signed + paid",X343="Closed – No response",X343="Lost"),N(Z343)&gt;=Settings!$S$3),"",Y343+Settings!$S$2)</f>
        <v/>
      </c>
      <c r="AB343" s="40"/>
      <c r="AC343" s="41"/>
      <c r="AD343" s="17"/>
      <c r="AE343" s="17"/>
      <c r="AF343" s="17"/>
      <c r="AG343" s="46" t="str">
        <f aca="true">IF(OR(D343="",B343=""),"",INT(TODAY()-B343))</f>
        <v/>
      </c>
      <c r="AH343" s="44" t="str">
        <f aca="true">IF(D343="","",IF(OR(COUNTIFS(Clients!$C$2:$C$501,D343,Clients!$S$2:$S$501,"Paid")&gt;0,AND(H343&lt;&gt;"",COUNTIFS(Clients!$E$2:$E$501,H343,Clients!$S$2:$S$501,"Paid")&gt;0)),"⚠ Refunded before – no free video",IF(OR(X343="Contract signed + paid",X343="Closed – No response",X343="Lost"),"",IF(X343="","Set a stage",IF(AND(X343="Proposal sent",COUNTA(N343:S343)&lt;6),"Score this lead – proposal sent unscored",IF(N(Z343)&gt;=Settings!$S$3,"Close – 4 follow-ups sent",IF(AA343="",IF(Y343="","Make first contact",""),IF(TODAY()&gt;AA343,"OVERDUE follow-up",IF(TODAY()=AA343,"Follow up today","")))))))))</f>
        <v/>
      </c>
    </row>
    <row r="344" customFormat="false" ht="15" hidden="false" customHeight="false" outlineLevel="0" collapsed="false">
      <c r="A344" s="17"/>
      <c r="B344" s="40"/>
      <c r="C344" s="17"/>
      <c r="D344" s="17"/>
      <c r="E344" s="17"/>
      <c r="F344" s="17"/>
      <c r="G344" s="17"/>
      <c r="H344" s="42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44" t="str">
        <f aca="false">IF(OR(D344="",COUNTA(N344:S344)=0),"",SUMIFS(Settings!$AA$2:$AA$21,Settings!$Y$2:$Y$21,"Budget AED 5k+/mo?",Settings!$Z$2:$Z$21,N344)+SUMIFS(Settings!$AA$2:$AA$21,Settings!$Y$2:$Y$21,"Decision-maker?",Settings!$Z$2:$Z$21,O344)+SUMIFS(Settings!$AA$2:$AA$21,Settings!$Y$2:$Y$21,"Someone on camera?",Settings!$Z$2:$Z$21,P344)+SUMIFS(Settings!$AA$2:$AA$21,Settings!$Y$2:$Y$21,"OK with 3-month term?",Settings!$Z$2:$Z$21,Q344)+SUMIFS(Settings!$AA$2:$AA$21,Settings!$Y$2:$Y$21,"Start timeline",Settings!$Z$2:$Z$21,R344)+SUMIFS(Settings!$AA$2:$AA$21,Settings!$Y$2:$Y$21,"Social media gap",Settings!$Z$2:$Z$21,S344)+IF(E344="",0,IF(COUNTIF(Settings!$AC$2:$AC$6,E344)&gt;0,Settings!$AA$20,Settings!$AA$21)))</f>
        <v/>
      </c>
      <c r="U344" s="44" t="str">
        <f aca="false">IF(D344="","",IF(COUNTA(N344:S344)=0,"Not scored",IF(COUNTA(N344:S344)&lt;6,"Partly scored ("&amp;COUNTA(N344:S344)&amp;"/6)",IF(T344&gt;=Settings!$S$8,"Hot",IF(T344&gt;=Settings!$S$9,"Warm","Cold")))))</f>
        <v/>
      </c>
      <c r="V344" s="44" t="str">
        <f aca="false">IF(D344="","",IF(AND(N344="No",P344="No"),"🚩 Budget  ·  🚩 No one on camera",IF(N344="No","🚩 Budget under AED 5k",IF(P344="No","🚩 No one on camera",""))))</f>
        <v/>
      </c>
      <c r="W344" s="17"/>
      <c r="X344" s="17"/>
      <c r="Y344" s="40"/>
      <c r="Z344" s="17"/>
      <c r="AA344" s="45" t="str">
        <f aca="false">IF(OR(D344="",Y344="",OR(X344="Contract signed + paid",X344="Closed – No response",X344="Lost"),N(Z344)&gt;=Settings!$S$3),"",Y344+Settings!$S$2)</f>
        <v/>
      </c>
      <c r="AB344" s="40"/>
      <c r="AC344" s="41"/>
      <c r="AD344" s="17"/>
      <c r="AE344" s="17"/>
      <c r="AF344" s="17"/>
      <c r="AG344" s="46" t="str">
        <f aca="true">IF(OR(D344="",B344=""),"",INT(TODAY()-B344))</f>
        <v/>
      </c>
      <c r="AH344" s="44" t="str">
        <f aca="true">IF(D344="","",IF(OR(COUNTIFS(Clients!$C$2:$C$501,D344,Clients!$S$2:$S$501,"Paid")&gt;0,AND(H344&lt;&gt;"",COUNTIFS(Clients!$E$2:$E$501,H344,Clients!$S$2:$S$501,"Paid")&gt;0)),"⚠ Refunded before – no free video",IF(OR(X344="Contract signed + paid",X344="Closed – No response",X344="Lost"),"",IF(X344="","Set a stage",IF(AND(X344="Proposal sent",COUNTA(N344:S344)&lt;6),"Score this lead – proposal sent unscored",IF(N(Z344)&gt;=Settings!$S$3,"Close – 4 follow-ups sent",IF(AA344="",IF(Y344="","Make first contact",""),IF(TODAY()&gt;AA344,"OVERDUE follow-up",IF(TODAY()=AA344,"Follow up today","")))))))))</f>
        <v/>
      </c>
    </row>
    <row r="345" customFormat="false" ht="15" hidden="false" customHeight="false" outlineLevel="0" collapsed="false">
      <c r="A345" s="17"/>
      <c r="B345" s="40"/>
      <c r="C345" s="17"/>
      <c r="D345" s="17"/>
      <c r="E345" s="17"/>
      <c r="F345" s="17"/>
      <c r="G345" s="17"/>
      <c r="H345" s="42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44" t="str">
        <f aca="false">IF(OR(D345="",COUNTA(N345:S345)=0),"",SUMIFS(Settings!$AA$2:$AA$21,Settings!$Y$2:$Y$21,"Budget AED 5k+/mo?",Settings!$Z$2:$Z$21,N345)+SUMIFS(Settings!$AA$2:$AA$21,Settings!$Y$2:$Y$21,"Decision-maker?",Settings!$Z$2:$Z$21,O345)+SUMIFS(Settings!$AA$2:$AA$21,Settings!$Y$2:$Y$21,"Someone on camera?",Settings!$Z$2:$Z$21,P345)+SUMIFS(Settings!$AA$2:$AA$21,Settings!$Y$2:$Y$21,"OK with 3-month term?",Settings!$Z$2:$Z$21,Q345)+SUMIFS(Settings!$AA$2:$AA$21,Settings!$Y$2:$Y$21,"Start timeline",Settings!$Z$2:$Z$21,R345)+SUMIFS(Settings!$AA$2:$AA$21,Settings!$Y$2:$Y$21,"Social media gap",Settings!$Z$2:$Z$21,S345)+IF(E345="",0,IF(COUNTIF(Settings!$AC$2:$AC$6,E345)&gt;0,Settings!$AA$20,Settings!$AA$21)))</f>
        <v/>
      </c>
      <c r="U345" s="44" t="str">
        <f aca="false">IF(D345="","",IF(COUNTA(N345:S345)=0,"Not scored",IF(COUNTA(N345:S345)&lt;6,"Partly scored ("&amp;COUNTA(N345:S345)&amp;"/6)",IF(T345&gt;=Settings!$S$8,"Hot",IF(T345&gt;=Settings!$S$9,"Warm","Cold")))))</f>
        <v/>
      </c>
      <c r="V345" s="44" t="str">
        <f aca="false">IF(D345="","",IF(AND(N345="No",P345="No"),"🚩 Budget  ·  🚩 No one on camera",IF(N345="No","🚩 Budget under AED 5k",IF(P345="No","🚩 No one on camera",""))))</f>
        <v/>
      </c>
      <c r="W345" s="17"/>
      <c r="X345" s="17"/>
      <c r="Y345" s="40"/>
      <c r="Z345" s="17"/>
      <c r="AA345" s="45" t="str">
        <f aca="false">IF(OR(D345="",Y345="",OR(X345="Contract signed + paid",X345="Closed – No response",X345="Lost"),N(Z345)&gt;=Settings!$S$3),"",Y345+Settings!$S$2)</f>
        <v/>
      </c>
      <c r="AB345" s="40"/>
      <c r="AC345" s="41"/>
      <c r="AD345" s="17"/>
      <c r="AE345" s="17"/>
      <c r="AF345" s="17"/>
      <c r="AG345" s="46" t="str">
        <f aca="true">IF(OR(D345="",B345=""),"",INT(TODAY()-B345))</f>
        <v/>
      </c>
      <c r="AH345" s="44" t="str">
        <f aca="true">IF(D345="","",IF(OR(COUNTIFS(Clients!$C$2:$C$501,D345,Clients!$S$2:$S$501,"Paid")&gt;0,AND(H345&lt;&gt;"",COUNTIFS(Clients!$E$2:$E$501,H345,Clients!$S$2:$S$501,"Paid")&gt;0)),"⚠ Refunded before – no free video",IF(OR(X345="Contract signed + paid",X345="Closed – No response",X345="Lost"),"",IF(X345="","Set a stage",IF(AND(X345="Proposal sent",COUNTA(N345:S345)&lt;6),"Score this lead – proposal sent unscored",IF(N(Z345)&gt;=Settings!$S$3,"Close – 4 follow-ups sent",IF(AA345="",IF(Y345="","Make first contact",""),IF(TODAY()&gt;AA345,"OVERDUE follow-up",IF(TODAY()=AA345,"Follow up today","")))))))))</f>
        <v/>
      </c>
    </row>
    <row r="346" customFormat="false" ht="15" hidden="false" customHeight="false" outlineLevel="0" collapsed="false">
      <c r="A346" s="17"/>
      <c r="B346" s="40"/>
      <c r="C346" s="17"/>
      <c r="D346" s="17"/>
      <c r="E346" s="17"/>
      <c r="F346" s="17"/>
      <c r="G346" s="17"/>
      <c r="H346" s="42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44" t="str">
        <f aca="false">IF(OR(D346="",COUNTA(N346:S346)=0),"",SUMIFS(Settings!$AA$2:$AA$21,Settings!$Y$2:$Y$21,"Budget AED 5k+/mo?",Settings!$Z$2:$Z$21,N346)+SUMIFS(Settings!$AA$2:$AA$21,Settings!$Y$2:$Y$21,"Decision-maker?",Settings!$Z$2:$Z$21,O346)+SUMIFS(Settings!$AA$2:$AA$21,Settings!$Y$2:$Y$21,"Someone on camera?",Settings!$Z$2:$Z$21,P346)+SUMIFS(Settings!$AA$2:$AA$21,Settings!$Y$2:$Y$21,"OK with 3-month term?",Settings!$Z$2:$Z$21,Q346)+SUMIFS(Settings!$AA$2:$AA$21,Settings!$Y$2:$Y$21,"Start timeline",Settings!$Z$2:$Z$21,R346)+SUMIFS(Settings!$AA$2:$AA$21,Settings!$Y$2:$Y$21,"Social media gap",Settings!$Z$2:$Z$21,S346)+IF(E346="",0,IF(COUNTIF(Settings!$AC$2:$AC$6,E346)&gt;0,Settings!$AA$20,Settings!$AA$21)))</f>
        <v/>
      </c>
      <c r="U346" s="44" t="str">
        <f aca="false">IF(D346="","",IF(COUNTA(N346:S346)=0,"Not scored",IF(COUNTA(N346:S346)&lt;6,"Partly scored ("&amp;COUNTA(N346:S346)&amp;"/6)",IF(T346&gt;=Settings!$S$8,"Hot",IF(T346&gt;=Settings!$S$9,"Warm","Cold")))))</f>
        <v/>
      </c>
      <c r="V346" s="44" t="str">
        <f aca="false">IF(D346="","",IF(AND(N346="No",P346="No"),"🚩 Budget  ·  🚩 No one on camera",IF(N346="No","🚩 Budget under AED 5k",IF(P346="No","🚩 No one on camera",""))))</f>
        <v/>
      </c>
      <c r="W346" s="17"/>
      <c r="X346" s="17"/>
      <c r="Y346" s="40"/>
      <c r="Z346" s="17"/>
      <c r="AA346" s="45" t="str">
        <f aca="false">IF(OR(D346="",Y346="",OR(X346="Contract signed + paid",X346="Closed – No response",X346="Lost"),N(Z346)&gt;=Settings!$S$3),"",Y346+Settings!$S$2)</f>
        <v/>
      </c>
      <c r="AB346" s="40"/>
      <c r="AC346" s="41"/>
      <c r="AD346" s="17"/>
      <c r="AE346" s="17"/>
      <c r="AF346" s="17"/>
      <c r="AG346" s="46" t="str">
        <f aca="true">IF(OR(D346="",B346=""),"",INT(TODAY()-B346))</f>
        <v/>
      </c>
      <c r="AH346" s="44" t="str">
        <f aca="true">IF(D346="","",IF(OR(COUNTIFS(Clients!$C$2:$C$501,D346,Clients!$S$2:$S$501,"Paid")&gt;0,AND(H346&lt;&gt;"",COUNTIFS(Clients!$E$2:$E$501,H346,Clients!$S$2:$S$501,"Paid")&gt;0)),"⚠ Refunded before – no free video",IF(OR(X346="Contract signed + paid",X346="Closed – No response",X346="Lost"),"",IF(X346="","Set a stage",IF(AND(X346="Proposal sent",COUNTA(N346:S346)&lt;6),"Score this lead – proposal sent unscored",IF(N(Z346)&gt;=Settings!$S$3,"Close – 4 follow-ups sent",IF(AA346="",IF(Y346="","Make first contact",""),IF(TODAY()&gt;AA346,"OVERDUE follow-up",IF(TODAY()=AA346,"Follow up today","")))))))))</f>
        <v/>
      </c>
    </row>
    <row r="347" customFormat="false" ht="15" hidden="false" customHeight="false" outlineLevel="0" collapsed="false">
      <c r="A347" s="17"/>
      <c r="B347" s="40"/>
      <c r="C347" s="17"/>
      <c r="D347" s="17"/>
      <c r="E347" s="17"/>
      <c r="F347" s="17"/>
      <c r="G347" s="17"/>
      <c r="H347" s="42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44" t="str">
        <f aca="false">IF(OR(D347="",COUNTA(N347:S347)=0),"",SUMIFS(Settings!$AA$2:$AA$21,Settings!$Y$2:$Y$21,"Budget AED 5k+/mo?",Settings!$Z$2:$Z$21,N347)+SUMIFS(Settings!$AA$2:$AA$21,Settings!$Y$2:$Y$21,"Decision-maker?",Settings!$Z$2:$Z$21,O347)+SUMIFS(Settings!$AA$2:$AA$21,Settings!$Y$2:$Y$21,"Someone on camera?",Settings!$Z$2:$Z$21,P347)+SUMIFS(Settings!$AA$2:$AA$21,Settings!$Y$2:$Y$21,"OK with 3-month term?",Settings!$Z$2:$Z$21,Q347)+SUMIFS(Settings!$AA$2:$AA$21,Settings!$Y$2:$Y$21,"Start timeline",Settings!$Z$2:$Z$21,R347)+SUMIFS(Settings!$AA$2:$AA$21,Settings!$Y$2:$Y$21,"Social media gap",Settings!$Z$2:$Z$21,S347)+IF(E347="",0,IF(COUNTIF(Settings!$AC$2:$AC$6,E347)&gt;0,Settings!$AA$20,Settings!$AA$21)))</f>
        <v/>
      </c>
      <c r="U347" s="44" t="str">
        <f aca="false">IF(D347="","",IF(COUNTA(N347:S347)=0,"Not scored",IF(COUNTA(N347:S347)&lt;6,"Partly scored ("&amp;COUNTA(N347:S347)&amp;"/6)",IF(T347&gt;=Settings!$S$8,"Hot",IF(T347&gt;=Settings!$S$9,"Warm","Cold")))))</f>
        <v/>
      </c>
      <c r="V347" s="44" t="str">
        <f aca="false">IF(D347="","",IF(AND(N347="No",P347="No"),"🚩 Budget  ·  🚩 No one on camera",IF(N347="No","🚩 Budget under AED 5k",IF(P347="No","🚩 No one on camera",""))))</f>
        <v/>
      </c>
      <c r="W347" s="17"/>
      <c r="X347" s="17"/>
      <c r="Y347" s="40"/>
      <c r="Z347" s="17"/>
      <c r="AA347" s="45" t="str">
        <f aca="false">IF(OR(D347="",Y347="",OR(X347="Contract signed + paid",X347="Closed – No response",X347="Lost"),N(Z347)&gt;=Settings!$S$3),"",Y347+Settings!$S$2)</f>
        <v/>
      </c>
      <c r="AB347" s="40"/>
      <c r="AC347" s="41"/>
      <c r="AD347" s="17"/>
      <c r="AE347" s="17"/>
      <c r="AF347" s="17"/>
      <c r="AG347" s="46" t="str">
        <f aca="true">IF(OR(D347="",B347=""),"",INT(TODAY()-B347))</f>
        <v/>
      </c>
      <c r="AH347" s="44" t="str">
        <f aca="true">IF(D347="","",IF(OR(COUNTIFS(Clients!$C$2:$C$501,D347,Clients!$S$2:$S$501,"Paid")&gt;0,AND(H347&lt;&gt;"",COUNTIFS(Clients!$E$2:$E$501,H347,Clients!$S$2:$S$501,"Paid")&gt;0)),"⚠ Refunded before – no free video",IF(OR(X347="Contract signed + paid",X347="Closed – No response",X347="Lost"),"",IF(X347="","Set a stage",IF(AND(X347="Proposal sent",COUNTA(N347:S347)&lt;6),"Score this lead – proposal sent unscored",IF(N(Z347)&gt;=Settings!$S$3,"Close – 4 follow-ups sent",IF(AA347="",IF(Y347="","Make first contact",""),IF(TODAY()&gt;AA347,"OVERDUE follow-up",IF(TODAY()=AA347,"Follow up today","")))))))))</f>
        <v/>
      </c>
    </row>
    <row r="348" customFormat="false" ht="15" hidden="false" customHeight="false" outlineLevel="0" collapsed="false">
      <c r="A348" s="17"/>
      <c r="B348" s="40"/>
      <c r="C348" s="17"/>
      <c r="D348" s="17"/>
      <c r="E348" s="17"/>
      <c r="F348" s="17"/>
      <c r="G348" s="17"/>
      <c r="H348" s="42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44" t="str">
        <f aca="false">IF(OR(D348="",COUNTA(N348:S348)=0),"",SUMIFS(Settings!$AA$2:$AA$21,Settings!$Y$2:$Y$21,"Budget AED 5k+/mo?",Settings!$Z$2:$Z$21,N348)+SUMIFS(Settings!$AA$2:$AA$21,Settings!$Y$2:$Y$21,"Decision-maker?",Settings!$Z$2:$Z$21,O348)+SUMIFS(Settings!$AA$2:$AA$21,Settings!$Y$2:$Y$21,"Someone on camera?",Settings!$Z$2:$Z$21,P348)+SUMIFS(Settings!$AA$2:$AA$21,Settings!$Y$2:$Y$21,"OK with 3-month term?",Settings!$Z$2:$Z$21,Q348)+SUMIFS(Settings!$AA$2:$AA$21,Settings!$Y$2:$Y$21,"Start timeline",Settings!$Z$2:$Z$21,R348)+SUMIFS(Settings!$AA$2:$AA$21,Settings!$Y$2:$Y$21,"Social media gap",Settings!$Z$2:$Z$21,S348)+IF(E348="",0,IF(COUNTIF(Settings!$AC$2:$AC$6,E348)&gt;0,Settings!$AA$20,Settings!$AA$21)))</f>
        <v/>
      </c>
      <c r="U348" s="44" t="str">
        <f aca="false">IF(D348="","",IF(COUNTA(N348:S348)=0,"Not scored",IF(COUNTA(N348:S348)&lt;6,"Partly scored ("&amp;COUNTA(N348:S348)&amp;"/6)",IF(T348&gt;=Settings!$S$8,"Hot",IF(T348&gt;=Settings!$S$9,"Warm","Cold")))))</f>
        <v/>
      </c>
      <c r="V348" s="44" t="str">
        <f aca="false">IF(D348="","",IF(AND(N348="No",P348="No"),"🚩 Budget  ·  🚩 No one on camera",IF(N348="No","🚩 Budget under AED 5k",IF(P348="No","🚩 No one on camera",""))))</f>
        <v/>
      </c>
      <c r="W348" s="17"/>
      <c r="X348" s="17"/>
      <c r="Y348" s="40"/>
      <c r="Z348" s="17"/>
      <c r="AA348" s="45" t="str">
        <f aca="false">IF(OR(D348="",Y348="",OR(X348="Contract signed + paid",X348="Closed – No response",X348="Lost"),N(Z348)&gt;=Settings!$S$3),"",Y348+Settings!$S$2)</f>
        <v/>
      </c>
      <c r="AB348" s="40"/>
      <c r="AC348" s="41"/>
      <c r="AD348" s="17"/>
      <c r="AE348" s="17"/>
      <c r="AF348" s="17"/>
      <c r="AG348" s="46" t="str">
        <f aca="true">IF(OR(D348="",B348=""),"",INT(TODAY()-B348))</f>
        <v/>
      </c>
      <c r="AH348" s="44" t="str">
        <f aca="true">IF(D348="","",IF(OR(COUNTIFS(Clients!$C$2:$C$501,D348,Clients!$S$2:$S$501,"Paid")&gt;0,AND(H348&lt;&gt;"",COUNTIFS(Clients!$E$2:$E$501,H348,Clients!$S$2:$S$501,"Paid")&gt;0)),"⚠ Refunded before – no free video",IF(OR(X348="Contract signed + paid",X348="Closed – No response",X348="Lost"),"",IF(X348="","Set a stage",IF(AND(X348="Proposal sent",COUNTA(N348:S348)&lt;6),"Score this lead – proposal sent unscored",IF(N(Z348)&gt;=Settings!$S$3,"Close – 4 follow-ups sent",IF(AA348="",IF(Y348="","Make first contact",""),IF(TODAY()&gt;AA348,"OVERDUE follow-up",IF(TODAY()=AA348,"Follow up today","")))))))))</f>
        <v/>
      </c>
    </row>
    <row r="349" customFormat="false" ht="15" hidden="false" customHeight="false" outlineLevel="0" collapsed="false">
      <c r="A349" s="17"/>
      <c r="B349" s="40"/>
      <c r="C349" s="17"/>
      <c r="D349" s="17"/>
      <c r="E349" s="17"/>
      <c r="F349" s="17"/>
      <c r="G349" s="17"/>
      <c r="H349" s="42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44" t="str">
        <f aca="false">IF(OR(D349="",COUNTA(N349:S349)=0),"",SUMIFS(Settings!$AA$2:$AA$21,Settings!$Y$2:$Y$21,"Budget AED 5k+/mo?",Settings!$Z$2:$Z$21,N349)+SUMIFS(Settings!$AA$2:$AA$21,Settings!$Y$2:$Y$21,"Decision-maker?",Settings!$Z$2:$Z$21,O349)+SUMIFS(Settings!$AA$2:$AA$21,Settings!$Y$2:$Y$21,"Someone on camera?",Settings!$Z$2:$Z$21,P349)+SUMIFS(Settings!$AA$2:$AA$21,Settings!$Y$2:$Y$21,"OK with 3-month term?",Settings!$Z$2:$Z$21,Q349)+SUMIFS(Settings!$AA$2:$AA$21,Settings!$Y$2:$Y$21,"Start timeline",Settings!$Z$2:$Z$21,R349)+SUMIFS(Settings!$AA$2:$AA$21,Settings!$Y$2:$Y$21,"Social media gap",Settings!$Z$2:$Z$21,S349)+IF(E349="",0,IF(COUNTIF(Settings!$AC$2:$AC$6,E349)&gt;0,Settings!$AA$20,Settings!$AA$21)))</f>
        <v/>
      </c>
      <c r="U349" s="44" t="str">
        <f aca="false">IF(D349="","",IF(COUNTA(N349:S349)=0,"Not scored",IF(COUNTA(N349:S349)&lt;6,"Partly scored ("&amp;COUNTA(N349:S349)&amp;"/6)",IF(T349&gt;=Settings!$S$8,"Hot",IF(T349&gt;=Settings!$S$9,"Warm","Cold")))))</f>
        <v/>
      </c>
      <c r="V349" s="44" t="str">
        <f aca="false">IF(D349="","",IF(AND(N349="No",P349="No"),"🚩 Budget  ·  🚩 No one on camera",IF(N349="No","🚩 Budget under AED 5k",IF(P349="No","🚩 No one on camera",""))))</f>
        <v/>
      </c>
      <c r="W349" s="17"/>
      <c r="X349" s="17"/>
      <c r="Y349" s="40"/>
      <c r="Z349" s="17"/>
      <c r="AA349" s="45" t="str">
        <f aca="false">IF(OR(D349="",Y349="",OR(X349="Contract signed + paid",X349="Closed – No response",X349="Lost"),N(Z349)&gt;=Settings!$S$3),"",Y349+Settings!$S$2)</f>
        <v/>
      </c>
      <c r="AB349" s="40"/>
      <c r="AC349" s="41"/>
      <c r="AD349" s="17"/>
      <c r="AE349" s="17"/>
      <c r="AF349" s="17"/>
      <c r="AG349" s="46" t="str">
        <f aca="true">IF(OR(D349="",B349=""),"",INT(TODAY()-B349))</f>
        <v/>
      </c>
      <c r="AH349" s="44" t="str">
        <f aca="true">IF(D349="","",IF(OR(COUNTIFS(Clients!$C$2:$C$501,D349,Clients!$S$2:$S$501,"Paid")&gt;0,AND(H349&lt;&gt;"",COUNTIFS(Clients!$E$2:$E$501,H349,Clients!$S$2:$S$501,"Paid")&gt;0)),"⚠ Refunded before – no free video",IF(OR(X349="Contract signed + paid",X349="Closed – No response",X349="Lost"),"",IF(X349="","Set a stage",IF(AND(X349="Proposal sent",COUNTA(N349:S349)&lt;6),"Score this lead – proposal sent unscored",IF(N(Z349)&gt;=Settings!$S$3,"Close – 4 follow-ups sent",IF(AA349="",IF(Y349="","Make first contact",""),IF(TODAY()&gt;AA349,"OVERDUE follow-up",IF(TODAY()=AA349,"Follow up today","")))))))))</f>
        <v/>
      </c>
    </row>
    <row r="350" customFormat="false" ht="15" hidden="false" customHeight="false" outlineLevel="0" collapsed="false">
      <c r="A350" s="17"/>
      <c r="B350" s="40"/>
      <c r="C350" s="17"/>
      <c r="D350" s="17"/>
      <c r="E350" s="17"/>
      <c r="F350" s="17"/>
      <c r="G350" s="17"/>
      <c r="H350" s="42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44" t="str">
        <f aca="false">IF(OR(D350="",COUNTA(N350:S350)=0),"",SUMIFS(Settings!$AA$2:$AA$21,Settings!$Y$2:$Y$21,"Budget AED 5k+/mo?",Settings!$Z$2:$Z$21,N350)+SUMIFS(Settings!$AA$2:$AA$21,Settings!$Y$2:$Y$21,"Decision-maker?",Settings!$Z$2:$Z$21,O350)+SUMIFS(Settings!$AA$2:$AA$21,Settings!$Y$2:$Y$21,"Someone on camera?",Settings!$Z$2:$Z$21,P350)+SUMIFS(Settings!$AA$2:$AA$21,Settings!$Y$2:$Y$21,"OK with 3-month term?",Settings!$Z$2:$Z$21,Q350)+SUMIFS(Settings!$AA$2:$AA$21,Settings!$Y$2:$Y$21,"Start timeline",Settings!$Z$2:$Z$21,R350)+SUMIFS(Settings!$AA$2:$AA$21,Settings!$Y$2:$Y$21,"Social media gap",Settings!$Z$2:$Z$21,S350)+IF(E350="",0,IF(COUNTIF(Settings!$AC$2:$AC$6,E350)&gt;0,Settings!$AA$20,Settings!$AA$21)))</f>
        <v/>
      </c>
      <c r="U350" s="44" t="str">
        <f aca="false">IF(D350="","",IF(COUNTA(N350:S350)=0,"Not scored",IF(COUNTA(N350:S350)&lt;6,"Partly scored ("&amp;COUNTA(N350:S350)&amp;"/6)",IF(T350&gt;=Settings!$S$8,"Hot",IF(T350&gt;=Settings!$S$9,"Warm","Cold")))))</f>
        <v/>
      </c>
      <c r="V350" s="44" t="str">
        <f aca="false">IF(D350="","",IF(AND(N350="No",P350="No"),"🚩 Budget  ·  🚩 No one on camera",IF(N350="No","🚩 Budget under AED 5k",IF(P350="No","🚩 No one on camera",""))))</f>
        <v/>
      </c>
      <c r="W350" s="17"/>
      <c r="X350" s="17"/>
      <c r="Y350" s="40"/>
      <c r="Z350" s="17"/>
      <c r="AA350" s="45" t="str">
        <f aca="false">IF(OR(D350="",Y350="",OR(X350="Contract signed + paid",X350="Closed – No response",X350="Lost"),N(Z350)&gt;=Settings!$S$3),"",Y350+Settings!$S$2)</f>
        <v/>
      </c>
      <c r="AB350" s="40"/>
      <c r="AC350" s="41"/>
      <c r="AD350" s="17"/>
      <c r="AE350" s="17"/>
      <c r="AF350" s="17"/>
      <c r="AG350" s="46" t="str">
        <f aca="true">IF(OR(D350="",B350=""),"",INT(TODAY()-B350))</f>
        <v/>
      </c>
      <c r="AH350" s="44" t="str">
        <f aca="true">IF(D350="","",IF(OR(COUNTIFS(Clients!$C$2:$C$501,D350,Clients!$S$2:$S$501,"Paid")&gt;0,AND(H350&lt;&gt;"",COUNTIFS(Clients!$E$2:$E$501,H350,Clients!$S$2:$S$501,"Paid")&gt;0)),"⚠ Refunded before – no free video",IF(OR(X350="Contract signed + paid",X350="Closed – No response",X350="Lost"),"",IF(X350="","Set a stage",IF(AND(X350="Proposal sent",COUNTA(N350:S350)&lt;6),"Score this lead – proposal sent unscored",IF(N(Z350)&gt;=Settings!$S$3,"Close – 4 follow-ups sent",IF(AA350="",IF(Y350="","Make first contact",""),IF(TODAY()&gt;AA350,"OVERDUE follow-up",IF(TODAY()=AA350,"Follow up today","")))))))))</f>
        <v/>
      </c>
    </row>
    <row r="351" customFormat="false" ht="15" hidden="false" customHeight="false" outlineLevel="0" collapsed="false">
      <c r="A351" s="17"/>
      <c r="B351" s="40"/>
      <c r="C351" s="17"/>
      <c r="D351" s="17"/>
      <c r="E351" s="17"/>
      <c r="F351" s="17"/>
      <c r="G351" s="17"/>
      <c r="H351" s="42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44" t="str">
        <f aca="false">IF(OR(D351="",COUNTA(N351:S351)=0),"",SUMIFS(Settings!$AA$2:$AA$21,Settings!$Y$2:$Y$21,"Budget AED 5k+/mo?",Settings!$Z$2:$Z$21,N351)+SUMIFS(Settings!$AA$2:$AA$21,Settings!$Y$2:$Y$21,"Decision-maker?",Settings!$Z$2:$Z$21,O351)+SUMIFS(Settings!$AA$2:$AA$21,Settings!$Y$2:$Y$21,"Someone on camera?",Settings!$Z$2:$Z$21,P351)+SUMIFS(Settings!$AA$2:$AA$21,Settings!$Y$2:$Y$21,"OK with 3-month term?",Settings!$Z$2:$Z$21,Q351)+SUMIFS(Settings!$AA$2:$AA$21,Settings!$Y$2:$Y$21,"Start timeline",Settings!$Z$2:$Z$21,R351)+SUMIFS(Settings!$AA$2:$AA$21,Settings!$Y$2:$Y$21,"Social media gap",Settings!$Z$2:$Z$21,S351)+IF(E351="",0,IF(COUNTIF(Settings!$AC$2:$AC$6,E351)&gt;0,Settings!$AA$20,Settings!$AA$21)))</f>
        <v/>
      </c>
      <c r="U351" s="44" t="str">
        <f aca="false">IF(D351="","",IF(COUNTA(N351:S351)=0,"Not scored",IF(COUNTA(N351:S351)&lt;6,"Partly scored ("&amp;COUNTA(N351:S351)&amp;"/6)",IF(T351&gt;=Settings!$S$8,"Hot",IF(T351&gt;=Settings!$S$9,"Warm","Cold")))))</f>
        <v/>
      </c>
      <c r="V351" s="44" t="str">
        <f aca="false">IF(D351="","",IF(AND(N351="No",P351="No"),"🚩 Budget  ·  🚩 No one on camera",IF(N351="No","🚩 Budget under AED 5k",IF(P351="No","🚩 No one on camera",""))))</f>
        <v/>
      </c>
      <c r="W351" s="17"/>
      <c r="X351" s="17"/>
      <c r="Y351" s="40"/>
      <c r="Z351" s="17"/>
      <c r="AA351" s="45" t="str">
        <f aca="false">IF(OR(D351="",Y351="",OR(X351="Contract signed + paid",X351="Closed – No response",X351="Lost"),N(Z351)&gt;=Settings!$S$3),"",Y351+Settings!$S$2)</f>
        <v/>
      </c>
      <c r="AB351" s="40"/>
      <c r="AC351" s="41"/>
      <c r="AD351" s="17"/>
      <c r="AE351" s="17"/>
      <c r="AF351" s="17"/>
      <c r="AG351" s="46" t="str">
        <f aca="true">IF(OR(D351="",B351=""),"",INT(TODAY()-B351))</f>
        <v/>
      </c>
      <c r="AH351" s="44" t="str">
        <f aca="true">IF(D351="","",IF(OR(COUNTIFS(Clients!$C$2:$C$501,D351,Clients!$S$2:$S$501,"Paid")&gt;0,AND(H351&lt;&gt;"",COUNTIFS(Clients!$E$2:$E$501,H351,Clients!$S$2:$S$501,"Paid")&gt;0)),"⚠ Refunded before – no free video",IF(OR(X351="Contract signed + paid",X351="Closed – No response",X351="Lost"),"",IF(X351="","Set a stage",IF(AND(X351="Proposal sent",COUNTA(N351:S351)&lt;6),"Score this lead – proposal sent unscored",IF(N(Z351)&gt;=Settings!$S$3,"Close – 4 follow-ups sent",IF(AA351="",IF(Y351="","Make first contact",""),IF(TODAY()&gt;AA351,"OVERDUE follow-up",IF(TODAY()=AA351,"Follow up today","")))))))))</f>
        <v/>
      </c>
    </row>
    <row r="352" customFormat="false" ht="15" hidden="false" customHeight="false" outlineLevel="0" collapsed="false">
      <c r="A352" s="17"/>
      <c r="B352" s="40"/>
      <c r="C352" s="17"/>
      <c r="D352" s="17"/>
      <c r="E352" s="17"/>
      <c r="F352" s="17"/>
      <c r="G352" s="17"/>
      <c r="H352" s="42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44" t="str">
        <f aca="false">IF(OR(D352="",COUNTA(N352:S352)=0),"",SUMIFS(Settings!$AA$2:$AA$21,Settings!$Y$2:$Y$21,"Budget AED 5k+/mo?",Settings!$Z$2:$Z$21,N352)+SUMIFS(Settings!$AA$2:$AA$21,Settings!$Y$2:$Y$21,"Decision-maker?",Settings!$Z$2:$Z$21,O352)+SUMIFS(Settings!$AA$2:$AA$21,Settings!$Y$2:$Y$21,"Someone on camera?",Settings!$Z$2:$Z$21,P352)+SUMIFS(Settings!$AA$2:$AA$21,Settings!$Y$2:$Y$21,"OK with 3-month term?",Settings!$Z$2:$Z$21,Q352)+SUMIFS(Settings!$AA$2:$AA$21,Settings!$Y$2:$Y$21,"Start timeline",Settings!$Z$2:$Z$21,R352)+SUMIFS(Settings!$AA$2:$AA$21,Settings!$Y$2:$Y$21,"Social media gap",Settings!$Z$2:$Z$21,S352)+IF(E352="",0,IF(COUNTIF(Settings!$AC$2:$AC$6,E352)&gt;0,Settings!$AA$20,Settings!$AA$21)))</f>
        <v/>
      </c>
      <c r="U352" s="44" t="str">
        <f aca="false">IF(D352="","",IF(COUNTA(N352:S352)=0,"Not scored",IF(COUNTA(N352:S352)&lt;6,"Partly scored ("&amp;COUNTA(N352:S352)&amp;"/6)",IF(T352&gt;=Settings!$S$8,"Hot",IF(T352&gt;=Settings!$S$9,"Warm","Cold")))))</f>
        <v/>
      </c>
      <c r="V352" s="44" t="str">
        <f aca="false">IF(D352="","",IF(AND(N352="No",P352="No"),"🚩 Budget  ·  🚩 No one on camera",IF(N352="No","🚩 Budget under AED 5k",IF(P352="No","🚩 No one on camera",""))))</f>
        <v/>
      </c>
      <c r="W352" s="17"/>
      <c r="X352" s="17"/>
      <c r="Y352" s="40"/>
      <c r="Z352" s="17"/>
      <c r="AA352" s="45" t="str">
        <f aca="false">IF(OR(D352="",Y352="",OR(X352="Contract signed + paid",X352="Closed – No response",X352="Lost"),N(Z352)&gt;=Settings!$S$3),"",Y352+Settings!$S$2)</f>
        <v/>
      </c>
      <c r="AB352" s="40"/>
      <c r="AC352" s="41"/>
      <c r="AD352" s="17"/>
      <c r="AE352" s="17"/>
      <c r="AF352" s="17"/>
      <c r="AG352" s="46" t="str">
        <f aca="true">IF(OR(D352="",B352=""),"",INT(TODAY()-B352))</f>
        <v/>
      </c>
      <c r="AH352" s="44" t="str">
        <f aca="true">IF(D352="","",IF(OR(COUNTIFS(Clients!$C$2:$C$501,D352,Clients!$S$2:$S$501,"Paid")&gt;0,AND(H352&lt;&gt;"",COUNTIFS(Clients!$E$2:$E$501,H352,Clients!$S$2:$S$501,"Paid")&gt;0)),"⚠ Refunded before – no free video",IF(OR(X352="Contract signed + paid",X352="Closed – No response",X352="Lost"),"",IF(X352="","Set a stage",IF(AND(X352="Proposal sent",COUNTA(N352:S352)&lt;6),"Score this lead – proposal sent unscored",IF(N(Z352)&gt;=Settings!$S$3,"Close – 4 follow-ups sent",IF(AA352="",IF(Y352="","Make first contact",""),IF(TODAY()&gt;AA352,"OVERDUE follow-up",IF(TODAY()=AA352,"Follow up today","")))))))))</f>
        <v/>
      </c>
    </row>
    <row r="353" customFormat="false" ht="15" hidden="false" customHeight="false" outlineLevel="0" collapsed="false">
      <c r="A353" s="17"/>
      <c r="B353" s="40"/>
      <c r="C353" s="17"/>
      <c r="D353" s="17"/>
      <c r="E353" s="17"/>
      <c r="F353" s="17"/>
      <c r="G353" s="17"/>
      <c r="H353" s="42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44" t="str">
        <f aca="false">IF(OR(D353="",COUNTA(N353:S353)=0),"",SUMIFS(Settings!$AA$2:$AA$21,Settings!$Y$2:$Y$21,"Budget AED 5k+/mo?",Settings!$Z$2:$Z$21,N353)+SUMIFS(Settings!$AA$2:$AA$21,Settings!$Y$2:$Y$21,"Decision-maker?",Settings!$Z$2:$Z$21,O353)+SUMIFS(Settings!$AA$2:$AA$21,Settings!$Y$2:$Y$21,"Someone on camera?",Settings!$Z$2:$Z$21,P353)+SUMIFS(Settings!$AA$2:$AA$21,Settings!$Y$2:$Y$21,"OK with 3-month term?",Settings!$Z$2:$Z$21,Q353)+SUMIFS(Settings!$AA$2:$AA$21,Settings!$Y$2:$Y$21,"Start timeline",Settings!$Z$2:$Z$21,R353)+SUMIFS(Settings!$AA$2:$AA$21,Settings!$Y$2:$Y$21,"Social media gap",Settings!$Z$2:$Z$21,S353)+IF(E353="",0,IF(COUNTIF(Settings!$AC$2:$AC$6,E353)&gt;0,Settings!$AA$20,Settings!$AA$21)))</f>
        <v/>
      </c>
      <c r="U353" s="44" t="str">
        <f aca="false">IF(D353="","",IF(COUNTA(N353:S353)=0,"Not scored",IF(COUNTA(N353:S353)&lt;6,"Partly scored ("&amp;COUNTA(N353:S353)&amp;"/6)",IF(T353&gt;=Settings!$S$8,"Hot",IF(T353&gt;=Settings!$S$9,"Warm","Cold")))))</f>
        <v/>
      </c>
      <c r="V353" s="44" t="str">
        <f aca="false">IF(D353="","",IF(AND(N353="No",P353="No"),"🚩 Budget  ·  🚩 No one on camera",IF(N353="No","🚩 Budget under AED 5k",IF(P353="No","🚩 No one on camera",""))))</f>
        <v/>
      </c>
      <c r="W353" s="17"/>
      <c r="X353" s="17"/>
      <c r="Y353" s="40"/>
      <c r="Z353" s="17"/>
      <c r="AA353" s="45" t="str">
        <f aca="false">IF(OR(D353="",Y353="",OR(X353="Contract signed + paid",X353="Closed – No response",X353="Lost"),N(Z353)&gt;=Settings!$S$3),"",Y353+Settings!$S$2)</f>
        <v/>
      </c>
      <c r="AB353" s="40"/>
      <c r="AC353" s="41"/>
      <c r="AD353" s="17"/>
      <c r="AE353" s="17"/>
      <c r="AF353" s="17"/>
      <c r="AG353" s="46" t="str">
        <f aca="true">IF(OR(D353="",B353=""),"",INT(TODAY()-B353))</f>
        <v/>
      </c>
      <c r="AH353" s="44" t="str">
        <f aca="true">IF(D353="","",IF(OR(COUNTIFS(Clients!$C$2:$C$501,D353,Clients!$S$2:$S$501,"Paid")&gt;0,AND(H353&lt;&gt;"",COUNTIFS(Clients!$E$2:$E$501,H353,Clients!$S$2:$S$501,"Paid")&gt;0)),"⚠ Refunded before – no free video",IF(OR(X353="Contract signed + paid",X353="Closed – No response",X353="Lost"),"",IF(X353="","Set a stage",IF(AND(X353="Proposal sent",COUNTA(N353:S353)&lt;6),"Score this lead – proposal sent unscored",IF(N(Z353)&gt;=Settings!$S$3,"Close – 4 follow-ups sent",IF(AA353="",IF(Y353="","Make first contact",""),IF(TODAY()&gt;AA353,"OVERDUE follow-up",IF(TODAY()=AA353,"Follow up today","")))))))))</f>
        <v/>
      </c>
    </row>
    <row r="354" customFormat="false" ht="15" hidden="false" customHeight="false" outlineLevel="0" collapsed="false">
      <c r="A354" s="17"/>
      <c r="B354" s="40"/>
      <c r="C354" s="17"/>
      <c r="D354" s="17"/>
      <c r="E354" s="17"/>
      <c r="F354" s="17"/>
      <c r="G354" s="17"/>
      <c r="H354" s="42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44" t="str">
        <f aca="false">IF(OR(D354="",COUNTA(N354:S354)=0),"",SUMIFS(Settings!$AA$2:$AA$21,Settings!$Y$2:$Y$21,"Budget AED 5k+/mo?",Settings!$Z$2:$Z$21,N354)+SUMIFS(Settings!$AA$2:$AA$21,Settings!$Y$2:$Y$21,"Decision-maker?",Settings!$Z$2:$Z$21,O354)+SUMIFS(Settings!$AA$2:$AA$21,Settings!$Y$2:$Y$21,"Someone on camera?",Settings!$Z$2:$Z$21,P354)+SUMIFS(Settings!$AA$2:$AA$21,Settings!$Y$2:$Y$21,"OK with 3-month term?",Settings!$Z$2:$Z$21,Q354)+SUMIFS(Settings!$AA$2:$AA$21,Settings!$Y$2:$Y$21,"Start timeline",Settings!$Z$2:$Z$21,R354)+SUMIFS(Settings!$AA$2:$AA$21,Settings!$Y$2:$Y$21,"Social media gap",Settings!$Z$2:$Z$21,S354)+IF(E354="",0,IF(COUNTIF(Settings!$AC$2:$AC$6,E354)&gt;0,Settings!$AA$20,Settings!$AA$21)))</f>
        <v/>
      </c>
      <c r="U354" s="44" t="str">
        <f aca="false">IF(D354="","",IF(COUNTA(N354:S354)=0,"Not scored",IF(COUNTA(N354:S354)&lt;6,"Partly scored ("&amp;COUNTA(N354:S354)&amp;"/6)",IF(T354&gt;=Settings!$S$8,"Hot",IF(T354&gt;=Settings!$S$9,"Warm","Cold")))))</f>
        <v/>
      </c>
      <c r="V354" s="44" t="str">
        <f aca="false">IF(D354="","",IF(AND(N354="No",P354="No"),"🚩 Budget  ·  🚩 No one on camera",IF(N354="No","🚩 Budget under AED 5k",IF(P354="No","🚩 No one on camera",""))))</f>
        <v/>
      </c>
      <c r="W354" s="17"/>
      <c r="X354" s="17"/>
      <c r="Y354" s="40"/>
      <c r="Z354" s="17"/>
      <c r="AA354" s="45" t="str">
        <f aca="false">IF(OR(D354="",Y354="",OR(X354="Contract signed + paid",X354="Closed – No response",X354="Lost"),N(Z354)&gt;=Settings!$S$3),"",Y354+Settings!$S$2)</f>
        <v/>
      </c>
      <c r="AB354" s="40"/>
      <c r="AC354" s="41"/>
      <c r="AD354" s="17"/>
      <c r="AE354" s="17"/>
      <c r="AF354" s="17"/>
      <c r="AG354" s="46" t="str">
        <f aca="true">IF(OR(D354="",B354=""),"",INT(TODAY()-B354))</f>
        <v/>
      </c>
      <c r="AH354" s="44" t="str">
        <f aca="true">IF(D354="","",IF(OR(COUNTIFS(Clients!$C$2:$C$501,D354,Clients!$S$2:$S$501,"Paid")&gt;0,AND(H354&lt;&gt;"",COUNTIFS(Clients!$E$2:$E$501,H354,Clients!$S$2:$S$501,"Paid")&gt;0)),"⚠ Refunded before – no free video",IF(OR(X354="Contract signed + paid",X354="Closed – No response",X354="Lost"),"",IF(X354="","Set a stage",IF(AND(X354="Proposal sent",COUNTA(N354:S354)&lt;6),"Score this lead – proposal sent unscored",IF(N(Z354)&gt;=Settings!$S$3,"Close – 4 follow-ups sent",IF(AA354="",IF(Y354="","Make first contact",""),IF(TODAY()&gt;AA354,"OVERDUE follow-up",IF(TODAY()=AA354,"Follow up today","")))))))))</f>
        <v/>
      </c>
    </row>
    <row r="355" customFormat="false" ht="15" hidden="false" customHeight="false" outlineLevel="0" collapsed="false">
      <c r="A355" s="17"/>
      <c r="B355" s="40"/>
      <c r="C355" s="17"/>
      <c r="D355" s="17"/>
      <c r="E355" s="17"/>
      <c r="F355" s="17"/>
      <c r="G355" s="17"/>
      <c r="H355" s="42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44" t="str">
        <f aca="false">IF(OR(D355="",COUNTA(N355:S355)=0),"",SUMIFS(Settings!$AA$2:$AA$21,Settings!$Y$2:$Y$21,"Budget AED 5k+/mo?",Settings!$Z$2:$Z$21,N355)+SUMIFS(Settings!$AA$2:$AA$21,Settings!$Y$2:$Y$21,"Decision-maker?",Settings!$Z$2:$Z$21,O355)+SUMIFS(Settings!$AA$2:$AA$21,Settings!$Y$2:$Y$21,"Someone on camera?",Settings!$Z$2:$Z$21,P355)+SUMIFS(Settings!$AA$2:$AA$21,Settings!$Y$2:$Y$21,"OK with 3-month term?",Settings!$Z$2:$Z$21,Q355)+SUMIFS(Settings!$AA$2:$AA$21,Settings!$Y$2:$Y$21,"Start timeline",Settings!$Z$2:$Z$21,R355)+SUMIFS(Settings!$AA$2:$AA$21,Settings!$Y$2:$Y$21,"Social media gap",Settings!$Z$2:$Z$21,S355)+IF(E355="",0,IF(COUNTIF(Settings!$AC$2:$AC$6,E355)&gt;0,Settings!$AA$20,Settings!$AA$21)))</f>
        <v/>
      </c>
      <c r="U355" s="44" t="str">
        <f aca="false">IF(D355="","",IF(COUNTA(N355:S355)=0,"Not scored",IF(COUNTA(N355:S355)&lt;6,"Partly scored ("&amp;COUNTA(N355:S355)&amp;"/6)",IF(T355&gt;=Settings!$S$8,"Hot",IF(T355&gt;=Settings!$S$9,"Warm","Cold")))))</f>
        <v/>
      </c>
      <c r="V355" s="44" t="str">
        <f aca="false">IF(D355="","",IF(AND(N355="No",P355="No"),"🚩 Budget  ·  🚩 No one on camera",IF(N355="No","🚩 Budget under AED 5k",IF(P355="No","🚩 No one on camera",""))))</f>
        <v/>
      </c>
      <c r="W355" s="17"/>
      <c r="X355" s="17"/>
      <c r="Y355" s="40"/>
      <c r="Z355" s="17"/>
      <c r="AA355" s="45" t="str">
        <f aca="false">IF(OR(D355="",Y355="",OR(X355="Contract signed + paid",X355="Closed – No response",X355="Lost"),N(Z355)&gt;=Settings!$S$3),"",Y355+Settings!$S$2)</f>
        <v/>
      </c>
      <c r="AB355" s="40"/>
      <c r="AC355" s="41"/>
      <c r="AD355" s="17"/>
      <c r="AE355" s="17"/>
      <c r="AF355" s="17"/>
      <c r="AG355" s="46" t="str">
        <f aca="true">IF(OR(D355="",B355=""),"",INT(TODAY()-B355))</f>
        <v/>
      </c>
      <c r="AH355" s="44" t="str">
        <f aca="true">IF(D355="","",IF(OR(COUNTIFS(Clients!$C$2:$C$501,D355,Clients!$S$2:$S$501,"Paid")&gt;0,AND(H355&lt;&gt;"",COUNTIFS(Clients!$E$2:$E$501,H355,Clients!$S$2:$S$501,"Paid")&gt;0)),"⚠ Refunded before – no free video",IF(OR(X355="Contract signed + paid",X355="Closed – No response",X355="Lost"),"",IF(X355="","Set a stage",IF(AND(X355="Proposal sent",COUNTA(N355:S355)&lt;6),"Score this lead – proposal sent unscored",IF(N(Z355)&gt;=Settings!$S$3,"Close – 4 follow-ups sent",IF(AA355="",IF(Y355="","Make first contact",""),IF(TODAY()&gt;AA355,"OVERDUE follow-up",IF(TODAY()=AA355,"Follow up today","")))))))))</f>
        <v/>
      </c>
    </row>
    <row r="356" customFormat="false" ht="15" hidden="false" customHeight="false" outlineLevel="0" collapsed="false">
      <c r="A356" s="17"/>
      <c r="B356" s="40"/>
      <c r="C356" s="17"/>
      <c r="D356" s="17"/>
      <c r="E356" s="17"/>
      <c r="F356" s="17"/>
      <c r="G356" s="17"/>
      <c r="H356" s="42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44" t="str">
        <f aca="false">IF(OR(D356="",COUNTA(N356:S356)=0),"",SUMIFS(Settings!$AA$2:$AA$21,Settings!$Y$2:$Y$21,"Budget AED 5k+/mo?",Settings!$Z$2:$Z$21,N356)+SUMIFS(Settings!$AA$2:$AA$21,Settings!$Y$2:$Y$21,"Decision-maker?",Settings!$Z$2:$Z$21,O356)+SUMIFS(Settings!$AA$2:$AA$21,Settings!$Y$2:$Y$21,"Someone on camera?",Settings!$Z$2:$Z$21,P356)+SUMIFS(Settings!$AA$2:$AA$21,Settings!$Y$2:$Y$21,"OK with 3-month term?",Settings!$Z$2:$Z$21,Q356)+SUMIFS(Settings!$AA$2:$AA$21,Settings!$Y$2:$Y$21,"Start timeline",Settings!$Z$2:$Z$21,R356)+SUMIFS(Settings!$AA$2:$AA$21,Settings!$Y$2:$Y$21,"Social media gap",Settings!$Z$2:$Z$21,S356)+IF(E356="",0,IF(COUNTIF(Settings!$AC$2:$AC$6,E356)&gt;0,Settings!$AA$20,Settings!$AA$21)))</f>
        <v/>
      </c>
      <c r="U356" s="44" t="str">
        <f aca="false">IF(D356="","",IF(COUNTA(N356:S356)=0,"Not scored",IF(COUNTA(N356:S356)&lt;6,"Partly scored ("&amp;COUNTA(N356:S356)&amp;"/6)",IF(T356&gt;=Settings!$S$8,"Hot",IF(T356&gt;=Settings!$S$9,"Warm","Cold")))))</f>
        <v/>
      </c>
      <c r="V356" s="44" t="str">
        <f aca="false">IF(D356="","",IF(AND(N356="No",P356="No"),"🚩 Budget  ·  🚩 No one on camera",IF(N356="No","🚩 Budget under AED 5k",IF(P356="No","🚩 No one on camera",""))))</f>
        <v/>
      </c>
      <c r="W356" s="17"/>
      <c r="X356" s="17"/>
      <c r="Y356" s="40"/>
      <c r="Z356" s="17"/>
      <c r="AA356" s="45" t="str">
        <f aca="false">IF(OR(D356="",Y356="",OR(X356="Contract signed + paid",X356="Closed – No response",X356="Lost"),N(Z356)&gt;=Settings!$S$3),"",Y356+Settings!$S$2)</f>
        <v/>
      </c>
      <c r="AB356" s="40"/>
      <c r="AC356" s="41"/>
      <c r="AD356" s="17"/>
      <c r="AE356" s="17"/>
      <c r="AF356" s="17"/>
      <c r="AG356" s="46" t="str">
        <f aca="true">IF(OR(D356="",B356=""),"",INT(TODAY()-B356))</f>
        <v/>
      </c>
      <c r="AH356" s="44" t="str">
        <f aca="true">IF(D356="","",IF(OR(COUNTIFS(Clients!$C$2:$C$501,D356,Clients!$S$2:$S$501,"Paid")&gt;0,AND(H356&lt;&gt;"",COUNTIFS(Clients!$E$2:$E$501,H356,Clients!$S$2:$S$501,"Paid")&gt;0)),"⚠ Refunded before – no free video",IF(OR(X356="Contract signed + paid",X356="Closed – No response",X356="Lost"),"",IF(X356="","Set a stage",IF(AND(X356="Proposal sent",COUNTA(N356:S356)&lt;6),"Score this lead – proposal sent unscored",IF(N(Z356)&gt;=Settings!$S$3,"Close – 4 follow-ups sent",IF(AA356="",IF(Y356="","Make first contact",""),IF(TODAY()&gt;AA356,"OVERDUE follow-up",IF(TODAY()=AA356,"Follow up today","")))))))))</f>
        <v/>
      </c>
    </row>
    <row r="357" customFormat="false" ht="15" hidden="false" customHeight="false" outlineLevel="0" collapsed="false">
      <c r="A357" s="17"/>
      <c r="B357" s="40"/>
      <c r="C357" s="17"/>
      <c r="D357" s="17"/>
      <c r="E357" s="17"/>
      <c r="F357" s="17"/>
      <c r="G357" s="17"/>
      <c r="H357" s="42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44" t="str">
        <f aca="false">IF(OR(D357="",COUNTA(N357:S357)=0),"",SUMIFS(Settings!$AA$2:$AA$21,Settings!$Y$2:$Y$21,"Budget AED 5k+/mo?",Settings!$Z$2:$Z$21,N357)+SUMIFS(Settings!$AA$2:$AA$21,Settings!$Y$2:$Y$21,"Decision-maker?",Settings!$Z$2:$Z$21,O357)+SUMIFS(Settings!$AA$2:$AA$21,Settings!$Y$2:$Y$21,"Someone on camera?",Settings!$Z$2:$Z$21,P357)+SUMIFS(Settings!$AA$2:$AA$21,Settings!$Y$2:$Y$21,"OK with 3-month term?",Settings!$Z$2:$Z$21,Q357)+SUMIFS(Settings!$AA$2:$AA$21,Settings!$Y$2:$Y$21,"Start timeline",Settings!$Z$2:$Z$21,R357)+SUMIFS(Settings!$AA$2:$AA$21,Settings!$Y$2:$Y$21,"Social media gap",Settings!$Z$2:$Z$21,S357)+IF(E357="",0,IF(COUNTIF(Settings!$AC$2:$AC$6,E357)&gt;0,Settings!$AA$20,Settings!$AA$21)))</f>
        <v/>
      </c>
      <c r="U357" s="44" t="str">
        <f aca="false">IF(D357="","",IF(COUNTA(N357:S357)=0,"Not scored",IF(COUNTA(N357:S357)&lt;6,"Partly scored ("&amp;COUNTA(N357:S357)&amp;"/6)",IF(T357&gt;=Settings!$S$8,"Hot",IF(T357&gt;=Settings!$S$9,"Warm","Cold")))))</f>
        <v/>
      </c>
      <c r="V357" s="44" t="str">
        <f aca="false">IF(D357="","",IF(AND(N357="No",P357="No"),"🚩 Budget  ·  🚩 No one on camera",IF(N357="No","🚩 Budget under AED 5k",IF(P357="No","🚩 No one on camera",""))))</f>
        <v/>
      </c>
      <c r="W357" s="17"/>
      <c r="X357" s="17"/>
      <c r="Y357" s="40"/>
      <c r="Z357" s="17"/>
      <c r="AA357" s="45" t="str">
        <f aca="false">IF(OR(D357="",Y357="",OR(X357="Contract signed + paid",X357="Closed – No response",X357="Lost"),N(Z357)&gt;=Settings!$S$3),"",Y357+Settings!$S$2)</f>
        <v/>
      </c>
      <c r="AB357" s="40"/>
      <c r="AC357" s="41"/>
      <c r="AD357" s="17"/>
      <c r="AE357" s="17"/>
      <c r="AF357" s="17"/>
      <c r="AG357" s="46" t="str">
        <f aca="true">IF(OR(D357="",B357=""),"",INT(TODAY()-B357))</f>
        <v/>
      </c>
      <c r="AH357" s="44" t="str">
        <f aca="true">IF(D357="","",IF(OR(COUNTIFS(Clients!$C$2:$C$501,D357,Clients!$S$2:$S$501,"Paid")&gt;0,AND(H357&lt;&gt;"",COUNTIFS(Clients!$E$2:$E$501,H357,Clients!$S$2:$S$501,"Paid")&gt;0)),"⚠ Refunded before – no free video",IF(OR(X357="Contract signed + paid",X357="Closed – No response",X357="Lost"),"",IF(X357="","Set a stage",IF(AND(X357="Proposal sent",COUNTA(N357:S357)&lt;6),"Score this lead – proposal sent unscored",IF(N(Z357)&gt;=Settings!$S$3,"Close – 4 follow-ups sent",IF(AA357="",IF(Y357="","Make first contact",""),IF(TODAY()&gt;AA357,"OVERDUE follow-up",IF(TODAY()=AA357,"Follow up today","")))))))))</f>
        <v/>
      </c>
    </row>
    <row r="358" customFormat="false" ht="15" hidden="false" customHeight="false" outlineLevel="0" collapsed="false">
      <c r="A358" s="17"/>
      <c r="B358" s="40"/>
      <c r="C358" s="17"/>
      <c r="D358" s="17"/>
      <c r="E358" s="17"/>
      <c r="F358" s="17"/>
      <c r="G358" s="17"/>
      <c r="H358" s="42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44" t="str">
        <f aca="false">IF(OR(D358="",COUNTA(N358:S358)=0),"",SUMIFS(Settings!$AA$2:$AA$21,Settings!$Y$2:$Y$21,"Budget AED 5k+/mo?",Settings!$Z$2:$Z$21,N358)+SUMIFS(Settings!$AA$2:$AA$21,Settings!$Y$2:$Y$21,"Decision-maker?",Settings!$Z$2:$Z$21,O358)+SUMIFS(Settings!$AA$2:$AA$21,Settings!$Y$2:$Y$21,"Someone on camera?",Settings!$Z$2:$Z$21,P358)+SUMIFS(Settings!$AA$2:$AA$21,Settings!$Y$2:$Y$21,"OK with 3-month term?",Settings!$Z$2:$Z$21,Q358)+SUMIFS(Settings!$AA$2:$AA$21,Settings!$Y$2:$Y$21,"Start timeline",Settings!$Z$2:$Z$21,R358)+SUMIFS(Settings!$AA$2:$AA$21,Settings!$Y$2:$Y$21,"Social media gap",Settings!$Z$2:$Z$21,S358)+IF(E358="",0,IF(COUNTIF(Settings!$AC$2:$AC$6,E358)&gt;0,Settings!$AA$20,Settings!$AA$21)))</f>
        <v/>
      </c>
      <c r="U358" s="44" t="str">
        <f aca="false">IF(D358="","",IF(COUNTA(N358:S358)=0,"Not scored",IF(COUNTA(N358:S358)&lt;6,"Partly scored ("&amp;COUNTA(N358:S358)&amp;"/6)",IF(T358&gt;=Settings!$S$8,"Hot",IF(T358&gt;=Settings!$S$9,"Warm","Cold")))))</f>
        <v/>
      </c>
      <c r="V358" s="44" t="str">
        <f aca="false">IF(D358="","",IF(AND(N358="No",P358="No"),"🚩 Budget  ·  🚩 No one on camera",IF(N358="No","🚩 Budget under AED 5k",IF(P358="No","🚩 No one on camera",""))))</f>
        <v/>
      </c>
      <c r="W358" s="17"/>
      <c r="X358" s="17"/>
      <c r="Y358" s="40"/>
      <c r="Z358" s="17"/>
      <c r="AA358" s="45" t="str">
        <f aca="false">IF(OR(D358="",Y358="",OR(X358="Contract signed + paid",X358="Closed – No response",X358="Lost"),N(Z358)&gt;=Settings!$S$3),"",Y358+Settings!$S$2)</f>
        <v/>
      </c>
      <c r="AB358" s="40"/>
      <c r="AC358" s="41"/>
      <c r="AD358" s="17"/>
      <c r="AE358" s="17"/>
      <c r="AF358" s="17"/>
      <c r="AG358" s="46" t="str">
        <f aca="true">IF(OR(D358="",B358=""),"",INT(TODAY()-B358))</f>
        <v/>
      </c>
      <c r="AH358" s="44" t="str">
        <f aca="true">IF(D358="","",IF(OR(COUNTIFS(Clients!$C$2:$C$501,D358,Clients!$S$2:$S$501,"Paid")&gt;0,AND(H358&lt;&gt;"",COUNTIFS(Clients!$E$2:$E$501,H358,Clients!$S$2:$S$501,"Paid")&gt;0)),"⚠ Refunded before – no free video",IF(OR(X358="Contract signed + paid",X358="Closed – No response",X358="Lost"),"",IF(X358="","Set a stage",IF(AND(X358="Proposal sent",COUNTA(N358:S358)&lt;6),"Score this lead – proposal sent unscored",IF(N(Z358)&gt;=Settings!$S$3,"Close – 4 follow-ups sent",IF(AA358="",IF(Y358="","Make first contact",""),IF(TODAY()&gt;AA358,"OVERDUE follow-up",IF(TODAY()=AA358,"Follow up today","")))))))))</f>
        <v/>
      </c>
    </row>
    <row r="359" customFormat="false" ht="15" hidden="false" customHeight="false" outlineLevel="0" collapsed="false">
      <c r="A359" s="17"/>
      <c r="B359" s="40"/>
      <c r="C359" s="17"/>
      <c r="D359" s="17"/>
      <c r="E359" s="17"/>
      <c r="F359" s="17"/>
      <c r="G359" s="17"/>
      <c r="H359" s="42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44" t="str">
        <f aca="false">IF(OR(D359="",COUNTA(N359:S359)=0),"",SUMIFS(Settings!$AA$2:$AA$21,Settings!$Y$2:$Y$21,"Budget AED 5k+/mo?",Settings!$Z$2:$Z$21,N359)+SUMIFS(Settings!$AA$2:$AA$21,Settings!$Y$2:$Y$21,"Decision-maker?",Settings!$Z$2:$Z$21,O359)+SUMIFS(Settings!$AA$2:$AA$21,Settings!$Y$2:$Y$21,"Someone on camera?",Settings!$Z$2:$Z$21,P359)+SUMIFS(Settings!$AA$2:$AA$21,Settings!$Y$2:$Y$21,"OK with 3-month term?",Settings!$Z$2:$Z$21,Q359)+SUMIFS(Settings!$AA$2:$AA$21,Settings!$Y$2:$Y$21,"Start timeline",Settings!$Z$2:$Z$21,R359)+SUMIFS(Settings!$AA$2:$AA$21,Settings!$Y$2:$Y$21,"Social media gap",Settings!$Z$2:$Z$21,S359)+IF(E359="",0,IF(COUNTIF(Settings!$AC$2:$AC$6,E359)&gt;0,Settings!$AA$20,Settings!$AA$21)))</f>
        <v/>
      </c>
      <c r="U359" s="44" t="str">
        <f aca="false">IF(D359="","",IF(COUNTA(N359:S359)=0,"Not scored",IF(COUNTA(N359:S359)&lt;6,"Partly scored ("&amp;COUNTA(N359:S359)&amp;"/6)",IF(T359&gt;=Settings!$S$8,"Hot",IF(T359&gt;=Settings!$S$9,"Warm","Cold")))))</f>
        <v/>
      </c>
      <c r="V359" s="44" t="str">
        <f aca="false">IF(D359="","",IF(AND(N359="No",P359="No"),"🚩 Budget  ·  🚩 No one on camera",IF(N359="No","🚩 Budget under AED 5k",IF(P359="No","🚩 No one on camera",""))))</f>
        <v/>
      </c>
      <c r="W359" s="17"/>
      <c r="X359" s="17"/>
      <c r="Y359" s="40"/>
      <c r="Z359" s="17"/>
      <c r="AA359" s="45" t="str">
        <f aca="false">IF(OR(D359="",Y359="",OR(X359="Contract signed + paid",X359="Closed – No response",X359="Lost"),N(Z359)&gt;=Settings!$S$3),"",Y359+Settings!$S$2)</f>
        <v/>
      </c>
      <c r="AB359" s="40"/>
      <c r="AC359" s="41"/>
      <c r="AD359" s="17"/>
      <c r="AE359" s="17"/>
      <c r="AF359" s="17"/>
      <c r="AG359" s="46" t="str">
        <f aca="true">IF(OR(D359="",B359=""),"",INT(TODAY()-B359))</f>
        <v/>
      </c>
      <c r="AH359" s="44" t="str">
        <f aca="true">IF(D359="","",IF(OR(COUNTIFS(Clients!$C$2:$C$501,D359,Clients!$S$2:$S$501,"Paid")&gt;0,AND(H359&lt;&gt;"",COUNTIFS(Clients!$E$2:$E$501,H359,Clients!$S$2:$S$501,"Paid")&gt;0)),"⚠ Refunded before – no free video",IF(OR(X359="Contract signed + paid",X359="Closed – No response",X359="Lost"),"",IF(X359="","Set a stage",IF(AND(X359="Proposal sent",COUNTA(N359:S359)&lt;6),"Score this lead – proposal sent unscored",IF(N(Z359)&gt;=Settings!$S$3,"Close – 4 follow-ups sent",IF(AA359="",IF(Y359="","Make first contact",""),IF(TODAY()&gt;AA359,"OVERDUE follow-up",IF(TODAY()=AA359,"Follow up today","")))))))))</f>
        <v/>
      </c>
    </row>
    <row r="360" customFormat="false" ht="15" hidden="false" customHeight="false" outlineLevel="0" collapsed="false">
      <c r="A360" s="17"/>
      <c r="B360" s="40"/>
      <c r="C360" s="17"/>
      <c r="D360" s="17"/>
      <c r="E360" s="17"/>
      <c r="F360" s="17"/>
      <c r="G360" s="17"/>
      <c r="H360" s="42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44" t="str">
        <f aca="false">IF(OR(D360="",COUNTA(N360:S360)=0),"",SUMIFS(Settings!$AA$2:$AA$21,Settings!$Y$2:$Y$21,"Budget AED 5k+/mo?",Settings!$Z$2:$Z$21,N360)+SUMIFS(Settings!$AA$2:$AA$21,Settings!$Y$2:$Y$21,"Decision-maker?",Settings!$Z$2:$Z$21,O360)+SUMIFS(Settings!$AA$2:$AA$21,Settings!$Y$2:$Y$21,"Someone on camera?",Settings!$Z$2:$Z$21,P360)+SUMIFS(Settings!$AA$2:$AA$21,Settings!$Y$2:$Y$21,"OK with 3-month term?",Settings!$Z$2:$Z$21,Q360)+SUMIFS(Settings!$AA$2:$AA$21,Settings!$Y$2:$Y$21,"Start timeline",Settings!$Z$2:$Z$21,R360)+SUMIFS(Settings!$AA$2:$AA$21,Settings!$Y$2:$Y$21,"Social media gap",Settings!$Z$2:$Z$21,S360)+IF(E360="",0,IF(COUNTIF(Settings!$AC$2:$AC$6,E360)&gt;0,Settings!$AA$20,Settings!$AA$21)))</f>
        <v/>
      </c>
      <c r="U360" s="44" t="str">
        <f aca="false">IF(D360="","",IF(COUNTA(N360:S360)=0,"Not scored",IF(COUNTA(N360:S360)&lt;6,"Partly scored ("&amp;COUNTA(N360:S360)&amp;"/6)",IF(T360&gt;=Settings!$S$8,"Hot",IF(T360&gt;=Settings!$S$9,"Warm","Cold")))))</f>
        <v/>
      </c>
      <c r="V360" s="44" t="str">
        <f aca="false">IF(D360="","",IF(AND(N360="No",P360="No"),"🚩 Budget  ·  🚩 No one on camera",IF(N360="No","🚩 Budget under AED 5k",IF(P360="No","🚩 No one on camera",""))))</f>
        <v/>
      </c>
      <c r="W360" s="17"/>
      <c r="X360" s="17"/>
      <c r="Y360" s="40"/>
      <c r="Z360" s="17"/>
      <c r="AA360" s="45" t="str">
        <f aca="false">IF(OR(D360="",Y360="",OR(X360="Contract signed + paid",X360="Closed – No response",X360="Lost"),N(Z360)&gt;=Settings!$S$3),"",Y360+Settings!$S$2)</f>
        <v/>
      </c>
      <c r="AB360" s="40"/>
      <c r="AC360" s="41"/>
      <c r="AD360" s="17"/>
      <c r="AE360" s="17"/>
      <c r="AF360" s="17"/>
      <c r="AG360" s="46" t="str">
        <f aca="true">IF(OR(D360="",B360=""),"",INT(TODAY()-B360))</f>
        <v/>
      </c>
      <c r="AH360" s="44" t="str">
        <f aca="true">IF(D360="","",IF(OR(COUNTIFS(Clients!$C$2:$C$501,D360,Clients!$S$2:$S$501,"Paid")&gt;0,AND(H360&lt;&gt;"",COUNTIFS(Clients!$E$2:$E$501,H360,Clients!$S$2:$S$501,"Paid")&gt;0)),"⚠ Refunded before – no free video",IF(OR(X360="Contract signed + paid",X360="Closed – No response",X360="Lost"),"",IF(X360="","Set a stage",IF(AND(X360="Proposal sent",COUNTA(N360:S360)&lt;6),"Score this lead – proposal sent unscored",IF(N(Z360)&gt;=Settings!$S$3,"Close – 4 follow-ups sent",IF(AA360="",IF(Y360="","Make first contact",""),IF(TODAY()&gt;AA360,"OVERDUE follow-up",IF(TODAY()=AA360,"Follow up today","")))))))))</f>
        <v/>
      </c>
    </row>
    <row r="361" customFormat="false" ht="15" hidden="false" customHeight="false" outlineLevel="0" collapsed="false">
      <c r="A361" s="17"/>
      <c r="B361" s="40"/>
      <c r="C361" s="17"/>
      <c r="D361" s="17"/>
      <c r="E361" s="17"/>
      <c r="F361" s="17"/>
      <c r="G361" s="17"/>
      <c r="H361" s="42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44" t="str">
        <f aca="false">IF(OR(D361="",COUNTA(N361:S361)=0),"",SUMIFS(Settings!$AA$2:$AA$21,Settings!$Y$2:$Y$21,"Budget AED 5k+/mo?",Settings!$Z$2:$Z$21,N361)+SUMIFS(Settings!$AA$2:$AA$21,Settings!$Y$2:$Y$21,"Decision-maker?",Settings!$Z$2:$Z$21,O361)+SUMIFS(Settings!$AA$2:$AA$21,Settings!$Y$2:$Y$21,"Someone on camera?",Settings!$Z$2:$Z$21,P361)+SUMIFS(Settings!$AA$2:$AA$21,Settings!$Y$2:$Y$21,"OK with 3-month term?",Settings!$Z$2:$Z$21,Q361)+SUMIFS(Settings!$AA$2:$AA$21,Settings!$Y$2:$Y$21,"Start timeline",Settings!$Z$2:$Z$21,R361)+SUMIFS(Settings!$AA$2:$AA$21,Settings!$Y$2:$Y$21,"Social media gap",Settings!$Z$2:$Z$21,S361)+IF(E361="",0,IF(COUNTIF(Settings!$AC$2:$AC$6,E361)&gt;0,Settings!$AA$20,Settings!$AA$21)))</f>
        <v/>
      </c>
      <c r="U361" s="44" t="str">
        <f aca="false">IF(D361="","",IF(COUNTA(N361:S361)=0,"Not scored",IF(COUNTA(N361:S361)&lt;6,"Partly scored ("&amp;COUNTA(N361:S361)&amp;"/6)",IF(T361&gt;=Settings!$S$8,"Hot",IF(T361&gt;=Settings!$S$9,"Warm","Cold")))))</f>
        <v/>
      </c>
      <c r="V361" s="44" t="str">
        <f aca="false">IF(D361="","",IF(AND(N361="No",P361="No"),"🚩 Budget  ·  🚩 No one on camera",IF(N361="No","🚩 Budget under AED 5k",IF(P361="No","🚩 No one on camera",""))))</f>
        <v/>
      </c>
      <c r="W361" s="17"/>
      <c r="X361" s="17"/>
      <c r="Y361" s="40"/>
      <c r="Z361" s="17"/>
      <c r="AA361" s="45" t="str">
        <f aca="false">IF(OR(D361="",Y361="",OR(X361="Contract signed + paid",X361="Closed – No response",X361="Lost"),N(Z361)&gt;=Settings!$S$3),"",Y361+Settings!$S$2)</f>
        <v/>
      </c>
      <c r="AB361" s="40"/>
      <c r="AC361" s="41"/>
      <c r="AD361" s="17"/>
      <c r="AE361" s="17"/>
      <c r="AF361" s="17"/>
      <c r="AG361" s="46" t="str">
        <f aca="true">IF(OR(D361="",B361=""),"",INT(TODAY()-B361))</f>
        <v/>
      </c>
      <c r="AH361" s="44" t="str">
        <f aca="true">IF(D361="","",IF(OR(COUNTIFS(Clients!$C$2:$C$501,D361,Clients!$S$2:$S$501,"Paid")&gt;0,AND(H361&lt;&gt;"",COUNTIFS(Clients!$E$2:$E$501,H361,Clients!$S$2:$S$501,"Paid")&gt;0)),"⚠ Refunded before – no free video",IF(OR(X361="Contract signed + paid",X361="Closed – No response",X361="Lost"),"",IF(X361="","Set a stage",IF(AND(X361="Proposal sent",COUNTA(N361:S361)&lt;6),"Score this lead – proposal sent unscored",IF(N(Z361)&gt;=Settings!$S$3,"Close – 4 follow-ups sent",IF(AA361="",IF(Y361="","Make first contact",""),IF(TODAY()&gt;AA361,"OVERDUE follow-up",IF(TODAY()=AA361,"Follow up today","")))))))))</f>
        <v/>
      </c>
    </row>
    <row r="362" customFormat="false" ht="15" hidden="false" customHeight="false" outlineLevel="0" collapsed="false">
      <c r="A362" s="17"/>
      <c r="B362" s="40"/>
      <c r="C362" s="17"/>
      <c r="D362" s="17"/>
      <c r="E362" s="17"/>
      <c r="F362" s="17"/>
      <c r="G362" s="17"/>
      <c r="H362" s="42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44" t="str">
        <f aca="false">IF(OR(D362="",COUNTA(N362:S362)=0),"",SUMIFS(Settings!$AA$2:$AA$21,Settings!$Y$2:$Y$21,"Budget AED 5k+/mo?",Settings!$Z$2:$Z$21,N362)+SUMIFS(Settings!$AA$2:$AA$21,Settings!$Y$2:$Y$21,"Decision-maker?",Settings!$Z$2:$Z$21,O362)+SUMIFS(Settings!$AA$2:$AA$21,Settings!$Y$2:$Y$21,"Someone on camera?",Settings!$Z$2:$Z$21,P362)+SUMIFS(Settings!$AA$2:$AA$21,Settings!$Y$2:$Y$21,"OK with 3-month term?",Settings!$Z$2:$Z$21,Q362)+SUMIFS(Settings!$AA$2:$AA$21,Settings!$Y$2:$Y$21,"Start timeline",Settings!$Z$2:$Z$21,R362)+SUMIFS(Settings!$AA$2:$AA$21,Settings!$Y$2:$Y$21,"Social media gap",Settings!$Z$2:$Z$21,S362)+IF(E362="",0,IF(COUNTIF(Settings!$AC$2:$AC$6,E362)&gt;0,Settings!$AA$20,Settings!$AA$21)))</f>
        <v/>
      </c>
      <c r="U362" s="44" t="str">
        <f aca="false">IF(D362="","",IF(COUNTA(N362:S362)=0,"Not scored",IF(COUNTA(N362:S362)&lt;6,"Partly scored ("&amp;COUNTA(N362:S362)&amp;"/6)",IF(T362&gt;=Settings!$S$8,"Hot",IF(T362&gt;=Settings!$S$9,"Warm","Cold")))))</f>
        <v/>
      </c>
      <c r="V362" s="44" t="str">
        <f aca="false">IF(D362="","",IF(AND(N362="No",P362="No"),"🚩 Budget  ·  🚩 No one on camera",IF(N362="No","🚩 Budget under AED 5k",IF(P362="No","🚩 No one on camera",""))))</f>
        <v/>
      </c>
      <c r="W362" s="17"/>
      <c r="X362" s="17"/>
      <c r="Y362" s="40"/>
      <c r="Z362" s="17"/>
      <c r="AA362" s="45" t="str">
        <f aca="false">IF(OR(D362="",Y362="",OR(X362="Contract signed + paid",X362="Closed – No response",X362="Lost"),N(Z362)&gt;=Settings!$S$3),"",Y362+Settings!$S$2)</f>
        <v/>
      </c>
      <c r="AB362" s="40"/>
      <c r="AC362" s="41"/>
      <c r="AD362" s="17"/>
      <c r="AE362" s="17"/>
      <c r="AF362" s="17"/>
      <c r="AG362" s="46" t="str">
        <f aca="true">IF(OR(D362="",B362=""),"",INT(TODAY()-B362))</f>
        <v/>
      </c>
      <c r="AH362" s="44" t="str">
        <f aca="true">IF(D362="","",IF(OR(COUNTIFS(Clients!$C$2:$C$501,D362,Clients!$S$2:$S$501,"Paid")&gt;0,AND(H362&lt;&gt;"",COUNTIFS(Clients!$E$2:$E$501,H362,Clients!$S$2:$S$501,"Paid")&gt;0)),"⚠ Refunded before – no free video",IF(OR(X362="Contract signed + paid",X362="Closed – No response",X362="Lost"),"",IF(X362="","Set a stage",IF(AND(X362="Proposal sent",COUNTA(N362:S362)&lt;6),"Score this lead – proposal sent unscored",IF(N(Z362)&gt;=Settings!$S$3,"Close – 4 follow-ups sent",IF(AA362="",IF(Y362="","Make first contact",""),IF(TODAY()&gt;AA362,"OVERDUE follow-up",IF(TODAY()=AA362,"Follow up today","")))))))))</f>
        <v/>
      </c>
    </row>
    <row r="363" customFormat="false" ht="15" hidden="false" customHeight="false" outlineLevel="0" collapsed="false">
      <c r="A363" s="17"/>
      <c r="B363" s="40"/>
      <c r="C363" s="17"/>
      <c r="D363" s="17"/>
      <c r="E363" s="17"/>
      <c r="F363" s="17"/>
      <c r="G363" s="17"/>
      <c r="H363" s="42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44" t="str">
        <f aca="false">IF(OR(D363="",COUNTA(N363:S363)=0),"",SUMIFS(Settings!$AA$2:$AA$21,Settings!$Y$2:$Y$21,"Budget AED 5k+/mo?",Settings!$Z$2:$Z$21,N363)+SUMIFS(Settings!$AA$2:$AA$21,Settings!$Y$2:$Y$21,"Decision-maker?",Settings!$Z$2:$Z$21,O363)+SUMIFS(Settings!$AA$2:$AA$21,Settings!$Y$2:$Y$21,"Someone on camera?",Settings!$Z$2:$Z$21,P363)+SUMIFS(Settings!$AA$2:$AA$21,Settings!$Y$2:$Y$21,"OK with 3-month term?",Settings!$Z$2:$Z$21,Q363)+SUMIFS(Settings!$AA$2:$AA$21,Settings!$Y$2:$Y$21,"Start timeline",Settings!$Z$2:$Z$21,R363)+SUMIFS(Settings!$AA$2:$AA$21,Settings!$Y$2:$Y$21,"Social media gap",Settings!$Z$2:$Z$21,S363)+IF(E363="",0,IF(COUNTIF(Settings!$AC$2:$AC$6,E363)&gt;0,Settings!$AA$20,Settings!$AA$21)))</f>
        <v/>
      </c>
      <c r="U363" s="44" t="str">
        <f aca="false">IF(D363="","",IF(COUNTA(N363:S363)=0,"Not scored",IF(COUNTA(N363:S363)&lt;6,"Partly scored ("&amp;COUNTA(N363:S363)&amp;"/6)",IF(T363&gt;=Settings!$S$8,"Hot",IF(T363&gt;=Settings!$S$9,"Warm","Cold")))))</f>
        <v/>
      </c>
      <c r="V363" s="44" t="str">
        <f aca="false">IF(D363="","",IF(AND(N363="No",P363="No"),"🚩 Budget  ·  🚩 No one on camera",IF(N363="No","🚩 Budget under AED 5k",IF(P363="No","🚩 No one on camera",""))))</f>
        <v/>
      </c>
      <c r="W363" s="17"/>
      <c r="X363" s="17"/>
      <c r="Y363" s="40"/>
      <c r="Z363" s="17"/>
      <c r="AA363" s="45" t="str">
        <f aca="false">IF(OR(D363="",Y363="",OR(X363="Contract signed + paid",X363="Closed – No response",X363="Lost"),N(Z363)&gt;=Settings!$S$3),"",Y363+Settings!$S$2)</f>
        <v/>
      </c>
      <c r="AB363" s="40"/>
      <c r="AC363" s="41"/>
      <c r="AD363" s="17"/>
      <c r="AE363" s="17"/>
      <c r="AF363" s="17"/>
      <c r="AG363" s="46" t="str">
        <f aca="true">IF(OR(D363="",B363=""),"",INT(TODAY()-B363))</f>
        <v/>
      </c>
      <c r="AH363" s="44" t="str">
        <f aca="true">IF(D363="","",IF(OR(COUNTIFS(Clients!$C$2:$C$501,D363,Clients!$S$2:$S$501,"Paid")&gt;0,AND(H363&lt;&gt;"",COUNTIFS(Clients!$E$2:$E$501,H363,Clients!$S$2:$S$501,"Paid")&gt;0)),"⚠ Refunded before – no free video",IF(OR(X363="Contract signed + paid",X363="Closed – No response",X363="Lost"),"",IF(X363="","Set a stage",IF(AND(X363="Proposal sent",COUNTA(N363:S363)&lt;6),"Score this lead – proposal sent unscored",IF(N(Z363)&gt;=Settings!$S$3,"Close – 4 follow-ups sent",IF(AA363="",IF(Y363="","Make first contact",""),IF(TODAY()&gt;AA363,"OVERDUE follow-up",IF(TODAY()=AA363,"Follow up today","")))))))))</f>
        <v/>
      </c>
    </row>
    <row r="364" customFormat="false" ht="15" hidden="false" customHeight="false" outlineLevel="0" collapsed="false">
      <c r="A364" s="17"/>
      <c r="B364" s="40"/>
      <c r="C364" s="17"/>
      <c r="D364" s="17"/>
      <c r="E364" s="17"/>
      <c r="F364" s="17"/>
      <c r="G364" s="17"/>
      <c r="H364" s="42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44" t="str">
        <f aca="false">IF(OR(D364="",COUNTA(N364:S364)=0),"",SUMIFS(Settings!$AA$2:$AA$21,Settings!$Y$2:$Y$21,"Budget AED 5k+/mo?",Settings!$Z$2:$Z$21,N364)+SUMIFS(Settings!$AA$2:$AA$21,Settings!$Y$2:$Y$21,"Decision-maker?",Settings!$Z$2:$Z$21,O364)+SUMIFS(Settings!$AA$2:$AA$21,Settings!$Y$2:$Y$21,"Someone on camera?",Settings!$Z$2:$Z$21,P364)+SUMIFS(Settings!$AA$2:$AA$21,Settings!$Y$2:$Y$21,"OK with 3-month term?",Settings!$Z$2:$Z$21,Q364)+SUMIFS(Settings!$AA$2:$AA$21,Settings!$Y$2:$Y$21,"Start timeline",Settings!$Z$2:$Z$21,R364)+SUMIFS(Settings!$AA$2:$AA$21,Settings!$Y$2:$Y$21,"Social media gap",Settings!$Z$2:$Z$21,S364)+IF(E364="",0,IF(COUNTIF(Settings!$AC$2:$AC$6,E364)&gt;0,Settings!$AA$20,Settings!$AA$21)))</f>
        <v/>
      </c>
      <c r="U364" s="44" t="str">
        <f aca="false">IF(D364="","",IF(COUNTA(N364:S364)=0,"Not scored",IF(COUNTA(N364:S364)&lt;6,"Partly scored ("&amp;COUNTA(N364:S364)&amp;"/6)",IF(T364&gt;=Settings!$S$8,"Hot",IF(T364&gt;=Settings!$S$9,"Warm","Cold")))))</f>
        <v/>
      </c>
      <c r="V364" s="44" t="str">
        <f aca="false">IF(D364="","",IF(AND(N364="No",P364="No"),"🚩 Budget  ·  🚩 No one on camera",IF(N364="No","🚩 Budget under AED 5k",IF(P364="No","🚩 No one on camera",""))))</f>
        <v/>
      </c>
      <c r="W364" s="17"/>
      <c r="X364" s="17"/>
      <c r="Y364" s="40"/>
      <c r="Z364" s="17"/>
      <c r="AA364" s="45" t="str">
        <f aca="false">IF(OR(D364="",Y364="",OR(X364="Contract signed + paid",X364="Closed – No response",X364="Lost"),N(Z364)&gt;=Settings!$S$3),"",Y364+Settings!$S$2)</f>
        <v/>
      </c>
      <c r="AB364" s="40"/>
      <c r="AC364" s="41"/>
      <c r="AD364" s="17"/>
      <c r="AE364" s="17"/>
      <c r="AF364" s="17"/>
      <c r="AG364" s="46" t="str">
        <f aca="true">IF(OR(D364="",B364=""),"",INT(TODAY()-B364))</f>
        <v/>
      </c>
      <c r="AH364" s="44" t="str">
        <f aca="true">IF(D364="","",IF(OR(COUNTIFS(Clients!$C$2:$C$501,D364,Clients!$S$2:$S$501,"Paid")&gt;0,AND(H364&lt;&gt;"",COUNTIFS(Clients!$E$2:$E$501,H364,Clients!$S$2:$S$501,"Paid")&gt;0)),"⚠ Refunded before – no free video",IF(OR(X364="Contract signed + paid",X364="Closed – No response",X364="Lost"),"",IF(X364="","Set a stage",IF(AND(X364="Proposal sent",COUNTA(N364:S364)&lt;6),"Score this lead – proposal sent unscored",IF(N(Z364)&gt;=Settings!$S$3,"Close – 4 follow-ups sent",IF(AA364="",IF(Y364="","Make first contact",""),IF(TODAY()&gt;AA364,"OVERDUE follow-up",IF(TODAY()=AA364,"Follow up today","")))))))))</f>
        <v/>
      </c>
    </row>
    <row r="365" customFormat="false" ht="15" hidden="false" customHeight="false" outlineLevel="0" collapsed="false">
      <c r="A365" s="17"/>
      <c r="B365" s="40"/>
      <c r="C365" s="17"/>
      <c r="D365" s="17"/>
      <c r="E365" s="17"/>
      <c r="F365" s="17"/>
      <c r="G365" s="17"/>
      <c r="H365" s="42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44" t="str">
        <f aca="false">IF(OR(D365="",COUNTA(N365:S365)=0),"",SUMIFS(Settings!$AA$2:$AA$21,Settings!$Y$2:$Y$21,"Budget AED 5k+/mo?",Settings!$Z$2:$Z$21,N365)+SUMIFS(Settings!$AA$2:$AA$21,Settings!$Y$2:$Y$21,"Decision-maker?",Settings!$Z$2:$Z$21,O365)+SUMIFS(Settings!$AA$2:$AA$21,Settings!$Y$2:$Y$21,"Someone on camera?",Settings!$Z$2:$Z$21,P365)+SUMIFS(Settings!$AA$2:$AA$21,Settings!$Y$2:$Y$21,"OK with 3-month term?",Settings!$Z$2:$Z$21,Q365)+SUMIFS(Settings!$AA$2:$AA$21,Settings!$Y$2:$Y$21,"Start timeline",Settings!$Z$2:$Z$21,R365)+SUMIFS(Settings!$AA$2:$AA$21,Settings!$Y$2:$Y$21,"Social media gap",Settings!$Z$2:$Z$21,S365)+IF(E365="",0,IF(COUNTIF(Settings!$AC$2:$AC$6,E365)&gt;0,Settings!$AA$20,Settings!$AA$21)))</f>
        <v/>
      </c>
      <c r="U365" s="44" t="str">
        <f aca="false">IF(D365="","",IF(COUNTA(N365:S365)=0,"Not scored",IF(COUNTA(N365:S365)&lt;6,"Partly scored ("&amp;COUNTA(N365:S365)&amp;"/6)",IF(T365&gt;=Settings!$S$8,"Hot",IF(T365&gt;=Settings!$S$9,"Warm","Cold")))))</f>
        <v/>
      </c>
      <c r="V365" s="44" t="str">
        <f aca="false">IF(D365="","",IF(AND(N365="No",P365="No"),"🚩 Budget  ·  🚩 No one on camera",IF(N365="No","🚩 Budget under AED 5k",IF(P365="No","🚩 No one on camera",""))))</f>
        <v/>
      </c>
      <c r="W365" s="17"/>
      <c r="X365" s="17"/>
      <c r="Y365" s="40"/>
      <c r="Z365" s="17"/>
      <c r="AA365" s="45" t="str">
        <f aca="false">IF(OR(D365="",Y365="",OR(X365="Contract signed + paid",X365="Closed – No response",X365="Lost"),N(Z365)&gt;=Settings!$S$3),"",Y365+Settings!$S$2)</f>
        <v/>
      </c>
      <c r="AB365" s="40"/>
      <c r="AC365" s="41"/>
      <c r="AD365" s="17"/>
      <c r="AE365" s="17"/>
      <c r="AF365" s="17"/>
      <c r="AG365" s="46" t="str">
        <f aca="true">IF(OR(D365="",B365=""),"",INT(TODAY()-B365))</f>
        <v/>
      </c>
      <c r="AH365" s="44" t="str">
        <f aca="true">IF(D365="","",IF(OR(COUNTIFS(Clients!$C$2:$C$501,D365,Clients!$S$2:$S$501,"Paid")&gt;0,AND(H365&lt;&gt;"",COUNTIFS(Clients!$E$2:$E$501,H365,Clients!$S$2:$S$501,"Paid")&gt;0)),"⚠ Refunded before – no free video",IF(OR(X365="Contract signed + paid",X365="Closed – No response",X365="Lost"),"",IF(X365="","Set a stage",IF(AND(X365="Proposal sent",COUNTA(N365:S365)&lt;6),"Score this lead – proposal sent unscored",IF(N(Z365)&gt;=Settings!$S$3,"Close – 4 follow-ups sent",IF(AA365="",IF(Y365="","Make first contact",""),IF(TODAY()&gt;AA365,"OVERDUE follow-up",IF(TODAY()=AA365,"Follow up today","")))))))))</f>
        <v/>
      </c>
    </row>
    <row r="366" customFormat="false" ht="15" hidden="false" customHeight="false" outlineLevel="0" collapsed="false">
      <c r="A366" s="17"/>
      <c r="B366" s="40"/>
      <c r="C366" s="17"/>
      <c r="D366" s="17"/>
      <c r="E366" s="17"/>
      <c r="F366" s="17"/>
      <c r="G366" s="17"/>
      <c r="H366" s="42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44" t="str">
        <f aca="false">IF(OR(D366="",COUNTA(N366:S366)=0),"",SUMIFS(Settings!$AA$2:$AA$21,Settings!$Y$2:$Y$21,"Budget AED 5k+/mo?",Settings!$Z$2:$Z$21,N366)+SUMIFS(Settings!$AA$2:$AA$21,Settings!$Y$2:$Y$21,"Decision-maker?",Settings!$Z$2:$Z$21,O366)+SUMIFS(Settings!$AA$2:$AA$21,Settings!$Y$2:$Y$21,"Someone on camera?",Settings!$Z$2:$Z$21,P366)+SUMIFS(Settings!$AA$2:$AA$21,Settings!$Y$2:$Y$21,"OK with 3-month term?",Settings!$Z$2:$Z$21,Q366)+SUMIFS(Settings!$AA$2:$AA$21,Settings!$Y$2:$Y$21,"Start timeline",Settings!$Z$2:$Z$21,R366)+SUMIFS(Settings!$AA$2:$AA$21,Settings!$Y$2:$Y$21,"Social media gap",Settings!$Z$2:$Z$21,S366)+IF(E366="",0,IF(COUNTIF(Settings!$AC$2:$AC$6,E366)&gt;0,Settings!$AA$20,Settings!$AA$21)))</f>
        <v/>
      </c>
      <c r="U366" s="44" t="str">
        <f aca="false">IF(D366="","",IF(COUNTA(N366:S366)=0,"Not scored",IF(COUNTA(N366:S366)&lt;6,"Partly scored ("&amp;COUNTA(N366:S366)&amp;"/6)",IF(T366&gt;=Settings!$S$8,"Hot",IF(T366&gt;=Settings!$S$9,"Warm","Cold")))))</f>
        <v/>
      </c>
      <c r="V366" s="44" t="str">
        <f aca="false">IF(D366="","",IF(AND(N366="No",P366="No"),"🚩 Budget  ·  🚩 No one on camera",IF(N366="No","🚩 Budget under AED 5k",IF(P366="No","🚩 No one on camera",""))))</f>
        <v/>
      </c>
      <c r="W366" s="17"/>
      <c r="X366" s="17"/>
      <c r="Y366" s="40"/>
      <c r="Z366" s="17"/>
      <c r="AA366" s="45" t="str">
        <f aca="false">IF(OR(D366="",Y366="",OR(X366="Contract signed + paid",X366="Closed – No response",X366="Lost"),N(Z366)&gt;=Settings!$S$3),"",Y366+Settings!$S$2)</f>
        <v/>
      </c>
      <c r="AB366" s="40"/>
      <c r="AC366" s="41"/>
      <c r="AD366" s="17"/>
      <c r="AE366" s="17"/>
      <c r="AF366" s="17"/>
      <c r="AG366" s="46" t="str">
        <f aca="true">IF(OR(D366="",B366=""),"",INT(TODAY()-B366))</f>
        <v/>
      </c>
      <c r="AH366" s="44" t="str">
        <f aca="true">IF(D366="","",IF(OR(COUNTIFS(Clients!$C$2:$C$501,D366,Clients!$S$2:$S$501,"Paid")&gt;0,AND(H366&lt;&gt;"",COUNTIFS(Clients!$E$2:$E$501,H366,Clients!$S$2:$S$501,"Paid")&gt;0)),"⚠ Refunded before – no free video",IF(OR(X366="Contract signed + paid",X366="Closed – No response",X366="Lost"),"",IF(X366="","Set a stage",IF(AND(X366="Proposal sent",COUNTA(N366:S366)&lt;6),"Score this lead – proposal sent unscored",IF(N(Z366)&gt;=Settings!$S$3,"Close – 4 follow-ups sent",IF(AA366="",IF(Y366="","Make first contact",""),IF(TODAY()&gt;AA366,"OVERDUE follow-up",IF(TODAY()=AA366,"Follow up today","")))))))))</f>
        <v/>
      </c>
    </row>
    <row r="367" customFormat="false" ht="15" hidden="false" customHeight="false" outlineLevel="0" collapsed="false">
      <c r="A367" s="17"/>
      <c r="B367" s="40"/>
      <c r="C367" s="17"/>
      <c r="D367" s="17"/>
      <c r="E367" s="17"/>
      <c r="F367" s="17"/>
      <c r="G367" s="17"/>
      <c r="H367" s="42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44" t="str">
        <f aca="false">IF(OR(D367="",COUNTA(N367:S367)=0),"",SUMIFS(Settings!$AA$2:$AA$21,Settings!$Y$2:$Y$21,"Budget AED 5k+/mo?",Settings!$Z$2:$Z$21,N367)+SUMIFS(Settings!$AA$2:$AA$21,Settings!$Y$2:$Y$21,"Decision-maker?",Settings!$Z$2:$Z$21,O367)+SUMIFS(Settings!$AA$2:$AA$21,Settings!$Y$2:$Y$21,"Someone on camera?",Settings!$Z$2:$Z$21,P367)+SUMIFS(Settings!$AA$2:$AA$21,Settings!$Y$2:$Y$21,"OK with 3-month term?",Settings!$Z$2:$Z$21,Q367)+SUMIFS(Settings!$AA$2:$AA$21,Settings!$Y$2:$Y$21,"Start timeline",Settings!$Z$2:$Z$21,R367)+SUMIFS(Settings!$AA$2:$AA$21,Settings!$Y$2:$Y$21,"Social media gap",Settings!$Z$2:$Z$21,S367)+IF(E367="",0,IF(COUNTIF(Settings!$AC$2:$AC$6,E367)&gt;0,Settings!$AA$20,Settings!$AA$21)))</f>
        <v/>
      </c>
      <c r="U367" s="44" t="str">
        <f aca="false">IF(D367="","",IF(COUNTA(N367:S367)=0,"Not scored",IF(COUNTA(N367:S367)&lt;6,"Partly scored ("&amp;COUNTA(N367:S367)&amp;"/6)",IF(T367&gt;=Settings!$S$8,"Hot",IF(T367&gt;=Settings!$S$9,"Warm","Cold")))))</f>
        <v/>
      </c>
      <c r="V367" s="44" t="str">
        <f aca="false">IF(D367="","",IF(AND(N367="No",P367="No"),"🚩 Budget  ·  🚩 No one on camera",IF(N367="No","🚩 Budget under AED 5k",IF(P367="No","🚩 No one on camera",""))))</f>
        <v/>
      </c>
      <c r="W367" s="17"/>
      <c r="X367" s="17"/>
      <c r="Y367" s="40"/>
      <c r="Z367" s="17"/>
      <c r="AA367" s="45" t="str">
        <f aca="false">IF(OR(D367="",Y367="",OR(X367="Contract signed + paid",X367="Closed – No response",X367="Lost"),N(Z367)&gt;=Settings!$S$3),"",Y367+Settings!$S$2)</f>
        <v/>
      </c>
      <c r="AB367" s="40"/>
      <c r="AC367" s="41"/>
      <c r="AD367" s="17"/>
      <c r="AE367" s="17"/>
      <c r="AF367" s="17"/>
      <c r="AG367" s="46" t="str">
        <f aca="true">IF(OR(D367="",B367=""),"",INT(TODAY()-B367))</f>
        <v/>
      </c>
      <c r="AH367" s="44" t="str">
        <f aca="true">IF(D367="","",IF(OR(COUNTIFS(Clients!$C$2:$C$501,D367,Clients!$S$2:$S$501,"Paid")&gt;0,AND(H367&lt;&gt;"",COUNTIFS(Clients!$E$2:$E$501,H367,Clients!$S$2:$S$501,"Paid")&gt;0)),"⚠ Refunded before – no free video",IF(OR(X367="Contract signed + paid",X367="Closed – No response",X367="Lost"),"",IF(X367="","Set a stage",IF(AND(X367="Proposal sent",COUNTA(N367:S367)&lt;6),"Score this lead – proposal sent unscored",IF(N(Z367)&gt;=Settings!$S$3,"Close – 4 follow-ups sent",IF(AA367="",IF(Y367="","Make first contact",""),IF(TODAY()&gt;AA367,"OVERDUE follow-up",IF(TODAY()=AA367,"Follow up today","")))))))))</f>
        <v/>
      </c>
    </row>
    <row r="368" customFormat="false" ht="15" hidden="false" customHeight="false" outlineLevel="0" collapsed="false">
      <c r="A368" s="17"/>
      <c r="B368" s="40"/>
      <c r="C368" s="17"/>
      <c r="D368" s="17"/>
      <c r="E368" s="17"/>
      <c r="F368" s="17"/>
      <c r="G368" s="17"/>
      <c r="H368" s="42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44" t="str">
        <f aca="false">IF(OR(D368="",COUNTA(N368:S368)=0),"",SUMIFS(Settings!$AA$2:$AA$21,Settings!$Y$2:$Y$21,"Budget AED 5k+/mo?",Settings!$Z$2:$Z$21,N368)+SUMIFS(Settings!$AA$2:$AA$21,Settings!$Y$2:$Y$21,"Decision-maker?",Settings!$Z$2:$Z$21,O368)+SUMIFS(Settings!$AA$2:$AA$21,Settings!$Y$2:$Y$21,"Someone on camera?",Settings!$Z$2:$Z$21,P368)+SUMIFS(Settings!$AA$2:$AA$21,Settings!$Y$2:$Y$21,"OK with 3-month term?",Settings!$Z$2:$Z$21,Q368)+SUMIFS(Settings!$AA$2:$AA$21,Settings!$Y$2:$Y$21,"Start timeline",Settings!$Z$2:$Z$21,R368)+SUMIFS(Settings!$AA$2:$AA$21,Settings!$Y$2:$Y$21,"Social media gap",Settings!$Z$2:$Z$21,S368)+IF(E368="",0,IF(COUNTIF(Settings!$AC$2:$AC$6,E368)&gt;0,Settings!$AA$20,Settings!$AA$21)))</f>
        <v/>
      </c>
      <c r="U368" s="44" t="str">
        <f aca="false">IF(D368="","",IF(COUNTA(N368:S368)=0,"Not scored",IF(COUNTA(N368:S368)&lt;6,"Partly scored ("&amp;COUNTA(N368:S368)&amp;"/6)",IF(T368&gt;=Settings!$S$8,"Hot",IF(T368&gt;=Settings!$S$9,"Warm","Cold")))))</f>
        <v/>
      </c>
      <c r="V368" s="44" t="str">
        <f aca="false">IF(D368="","",IF(AND(N368="No",P368="No"),"🚩 Budget  ·  🚩 No one on camera",IF(N368="No","🚩 Budget under AED 5k",IF(P368="No","🚩 No one on camera",""))))</f>
        <v/>
      </c>
      <c r="W368" s="17"/>
      <c r="X368" s="17"/>
      <c r="Y368" s="40"/>
      <c r="Z368" s="17"/>
      <c r="AA368" s="45" t="str">
        <f aca="false">IF(OR(D368="",Y368="",OR(X368="Contract signed + paid",X368="Closed – No response",X368="Lost"),N(Z368)&gt;=Settings!$S$3),"",Y368+Settings!$S$2)</f>
        <v/>
      </c>
      <c r="AB368" s="40"/>
      <c r="AC368" s="41"/>
      <c r="AD368" s="17"/>
      <c r="AE368" s="17"/>
      <c r="AF368" s="17"/>
      <c r="AG368" s="46" t="str">
        <f aca="true">IF(OR(D368="",B368=""),"",INT(TODAY()-B368))</f>
        <v/>
      </c>
      <c r="AH368" s="44" t="str">
        <f aca="true">IF(D368="","",IF(OR(COUNTIFS(Clients!$C$2:$C$501,D368,Clients!$S$2:$S$501,"Paid")&gt;0,AND(H368&lt;&gt;"",COUNTIFS(Clients!$E$2:$E$501,H368,Clients!$S$2:$S$501,"Paid")&gt;0)),"⚠ Refunded before – no free video",IF(OR(X368="Contract signed + paid",X368="Closed – No response",X368="Lost"),"",IF(X368="","Set a stage",IF(AND(X368="Proposal sent",COUNTA(N368:S368)&lt;6),"Score this lead – proposal sent unscored",IF(N(Z368)&gt;=Settings!$S$3,"Close – 4 follow-ups sent",IF(AA368="",IF(Y368="","Make first contact",""),IF(TODAY()&gt;AA368,"OVERDUE follow-up",IF(TODAY()=AA368,"Follow up today","")))))))))</f>
        <v/>
      </c>
    </row>
    <row r="369" customFormat="false" ht="15" hidden="false" customHeight="false" outlineLevel="0" collapsed="false">
      <c r="A369" s="17"/>
      <c r="B369" s="40"/>
      <c r="C369" s="17"/>
      <c r="D369" s="17"/>
      <c r="E369" s="17"/>
      <c r="F369" s="17"/>
      <c r="G369" s="17"/>
      <c r="H369" s="42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44" t="str">
        <f aca="false">IF(OR(D369="",COUNTA(N369:S369)=0),"",SUMIFS(Settings!$AA$2:$AA$21,Settings!$Y$2:$Y$21,"Budget AED 5k+/mo?",Settings!$Z$2:$Z$21,N369)+SUMIFS(Settings!$AA$2:$AA$21,Settings!$Y$2:$Y$21,"Decision-maker?",Settings!$Z$2:$Z$21,O369)+SUMIFS(Settings!$AA$2:$AA$21,Settings!$Y$2:$Y$21,"Someone on camera?",Settings!$Z$2:$Z$21,P369)+SUMIFS(Settings!$AA$2:$AA$21,Settings!$Y$2:$Y$21,"OK with 3-month term?",Settings!$Z$2:$Z$21,Q369)+SUMIFS(Settings!$AA$2:$AA$21,Settings!$Y$2:$Y$21,"Start timeline",Settings!$Z$2:$Z$21,R369)+SUMIFS(Settings!$AA$2:$AA$21,Settings!$Y$2:$Y$21,"Social media gap",Settings!$Z$2:$Z$21,S369)+IF(E369="",0,IF(COUNTIF(Settings!$AC$2:$AC$6,E369)&gt;0,Settings!$AA$20,Settings!$AA$21)))</f>
        <v/>
      </c>
      <c r="U369" s="44" t="str">
        <f aca="false">IF(D369="","",IF(COUNTA(N369:S369)=0,"Not scored",IF(COUNTA(N369:S369)&lt;6,"Partly scored ("&amp;COUNTA(N369:S369)&amp;"/6)",IF(T369&gt;=Settings!$S$8,"Hot",IF(T369&gt;=Settings!$S$9,"Warm","Cold")))))</f>
        <v/>
      </c>
      <c r="V369" s="44" t="str">
        <f aca="false">IF(D369="","",IF(AND(N369="No",P369="No"),"🚩 Budget  ·  🚩 No one on camera",IF(N369="No","🚩 Budget under AED 5k",IF(P369="No","🚩 No one on camera",""))))</f>
        <v/>
      </c>
      <c r="W369" s="17"/>
      <c r="X369" s="17"/>
      <c r="Y369" s="40"/>
      <c r="Z369" s="17"/>
      <c r="AA369" s="45" t="str">
        <f aca="false">IF(OR(D369="",Y369="",OR(X369="Contract signed + paid",X369="Closed – No response",X369="Lost"),N(Z369)&gt;=Settings!$S$3),"",Y369+Settings!$S$2)</f>
        <v/>
      </c>
      <c r="AB369" s="40"/>
      <c r="AC369" s="41"/>
      <c r="AD369" s="17"/>
      <c r="AE369" s="17"/>
      <c r="AF369" s="17"/>
      <c r="AG369" s="46" t="str">
        <f aca="true">IF(OR(D369="",B369=""),"",INT(TODAY()-B369))</f>
        <v/>
      </c>
      <c r="AH369" s="44" t="str">
        <f aca="true">IF(D369="","",IF(OR(COUNTIFS(Clients!$C$2:$C$501,D369,Clients!$S$2:$S$501,"Paid")&gt;0,AND(H369&lt;&gt;"",COUNTIFS(Clients!$E$2:$E$501,H369,Clients!$S$2:$S$501,"Paid")&gt;0)),"⚠ Refunded before – no free video",IF(OR(X369="Contract signed + paid",X369="Closed – No response",X369="Lost"),"",IF(X369="","Set a stage",IF(AND(X369="Proposal sent",COUNTA(N369:S369)&lt;6),"Score this lead – proposal sent unscored",IF(N(Z369)&gt;=Settings!$S$3,"Close – 4 follow-ups sent",IF(AA369="",IF(Y369="","Make first contact",""),IF(TODAY()&gt;AA369,"OVERDUE follow-up",IF(TODAY()=AA369,"Follow up today","")))))))))</f>
        <v/>
      </c>
    </row>
    <row r="370" customFormat="false" ht="15" hidden="false" customHeight="false" outlineLevel="0" collapsed="false">
      <c r="A370" s="17"/>
      <c r="B370" s="40"/>
      <c r="C370" s="17"/>
      <c r="D370" s="17"/>
      <c r="E370" s="17"/>
      <c r="F370" s="17"/>
      <c r="G370" s="17"/>
      <c r="H370" s="42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44" t="str">
        <f aca="false">IF(OR(D370="",COUNTA(N370:S370)=0),"",SUMIFS(Settings!$AA$2:$AA$21,Settings!$Y$2:$Y$21,"Budget AED 5k+/mo?",Settings!$Z$2:$Z$21,N370)+SUMIFS(Settings!$AA$2:$AA$21,Settings!$Y$2:$Y$21,"Decision-maker?",Settings!$Z$2:$Z$21,O370)+SUMIFS(Settings!$AA$2:$AA$21,Settings!$Y$2:$Y$21,"Someone on camera?",Settings!$Z$2:$Z$21,P370)+SUMIFS(Settings!$AA$2:$AA$21,Settings!$Y$2:$Y$21,"OK with 3-month term?",Settings!$Z$2:$Z$21,Q370)+SUMIFS(Settings!$AA$2:$AA$21,Settings!$Y$2:$Y$21,"Start timeline",Settings!$Z$2:$Z$21,R370)+SUMIFS(Settings!$AA$2:$AA$21,Settings!$Y$2:$Y$21,"Social media gap",Settings!$Z$2:$Z$21,S370)+IF(E370="",0,IF(COUNTIF(Settings!$AC$2:$AC$6,E370)&gt;0,Settings!$AA$20,Settings!$AA$21)))</f>
        <v/>
      </c>
      <c r="U370" s="44" t="str">
        <f aca="false">IF(D370="","",IF(COUNTA(N370:S370)=0,"Not scored",IF(COUNTA(N370:S370)&lt;6,"Partly scored ("&amp;COUNTA(N370:S370)&amp;"/6)",IF(T370&gt;=Settings!$S$8,"Hot",IF(T370&gt;=Settings!$S$9,"Warm","Cold")))))</f>
        <v/>
      </c>
      <c r="V370" s="44" t="str">
        <f aca="false">IF(D370="","",IF(AND(N370="No",P370="No"),"🚩 Budget  ·  🚩 No one on camera",IF(N370="No","🚩 Budget under AED 5k",IF(P370="No","🚩 No one on camera",""))))</f>
        <v/>
      </c>
      <c r="W370" s="17"/>
      <c r="X370" s="17"/>
      <c r="Y370" s="40"/>
      <c r="Z370" s="17"/>
      <c r="AA370" s="45" t="str">
        <f aca="false">IF(OR(D370="",Y370="",OR(X370="Contract signed + paid",X370="Closed – No response",X370="Lost"),N(Z370)&gt;=Settings!$S$3),"",Y370+Settings!$S$2)</f>
        <v/>
      </c>
      <c r="AB370" s="40"/>
      <c r="AC370" s="41"/>
      <c r="AD370" s="17"/>
      <c r="AE370" s="17"/>
      <c r="AF370" s="17"/>
      <c r="AG370" s="46" t="str">
        <f aca="true">IF(OR(D370="",B370=""),"",INT(TODAY()-B370))</f>
        <v/>
      </c>
      <c r="AH370" s="44" t="str">
        <f aca="true">IF(D370="","",IF(OR(COUNTIFS(Clients!$C$2:$C$501,D370,Clients!$S$2:$S$501,"Paid")&gt;0,AND(H370&lt;&gt;"",COUNTIFS(Clients!$E$2:$E$501,H370,Clients!$S$2:$S$501,"Paid")&gt;0)),"⚠ Refunded before – no free video",IF(OR(X370="Contract signed + paid",X370="Closed – No response",X370="Lost"),"",IF(X370="","Set a stage",IF(AND(X370="Proposal sent",COUNTA(N370:S370)&lt;6),"Score this lead – proposal sent unscored",IF(N(Z370)&gt;=Settings!$S$3,"Close – 4 follow-ups sent",IF(AA370="",IF(Y370="","Make first contact",""),IF(TODAY()&gt;AA370,"OVERDUE follow-up",IF(TODAY()=AA370,"Follow up today","")))))))))</f>
        <v/>
      </c>
    </row>
    <row r="371" customFormat="false" ht="15" hidden="false" customHeight="false" outlineLevel="0" collapsed="false">
      <c r="A371" s="17"/>
      <c r="B371" s="40"/>
      <c r="C371" s="17"/>
      <c r="D371" s="17"/>
      <c r="E371" s="17"/>
      <c r="F371" s="17"/>
      <c r="G371" s="17"/>
      <c r="H371" s="42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44" t="str">
        <f aca="false">IF(OR(D371="",COUNTA(N371:S371)=0),"",SUMIFS(Settings!$AA$2:$AA$21,Settings!$Y$2:$Y$21,"Budget AED 5k+/mo?",Settings!$Z$2:$Z$21,N371)+SUMIFS(Settings!$AA$2:$AA$21,Settings!$Y$2:$Y$21,"Decision-maker?",Settings!$Z$2:$Z$21,O371)+SUMIFS(Settings!$AA$2:$AA$21,Settings!$Y$2:$Y$21,"Someone on camera?",Settings!$Z$2:$Z$21,P371)+SUMIFS(Settings!$AA$2:$AA$21,Settings!$Y$2:$Y$21,"OK with 3-month term?",Settings!$Z$2:$Z$21,Q371)+SUMIFS(Settings!$AA$2:$AA$21,Settings!$Y$2:$Y$21,"Start timeline",Settings!$Z$2:$Z$21,R371)+SUMIFS(Settings!$AA$2:$AA$21,Settings!$Y$2:$Y$21,"Social media gap",Settings!$Z$2:$Z$21,S371)+IF(E371="",0,IF(COUNTIF(Settings!$AC$2:$AC$6,E371)&gt;0,Settings!$AA$20,Settings!$AA$21)))</f>
        <v/>
      </c>
      <c r="U371" s="44" t="str">
        <f aca="false">IF(D371="","",IF(COUNTA(N371:S371)=0,"Not scored",IF(COUNTA(N371:S371)&lt;6,"Partly scored ("&amp;COUNTA(N371:S371)&amp;"/6)",IF(T371&gt;=Settings!$S$8,"Hot",IF(T371&gt;=Settings!$S$9,"Warm","Cold")))))</f>
        <v/>
      </c>
      <c r="V371" s="44" t="str">
        <f aca="false">IF(D371="","",IF(AND(N371="No",P371="No"),"🚩 Budget  ·  🚩 No one on camera",IF(N371="No","🚩 Budget under AED 5k",IF(P371="No","🚩 No one on camera",""))))</f>
        <v/>
      </c>
      <c r="W371" s="17"/>
      <c r="X371" s="17"/>
      <c r="Y371" s="40"/>
      <c r="Z371" s="17"/>
      <c r="AA371" s="45" t="str">
        <f aca="false">IF(OR(D371="",Y371="",OR(X371="Contract signed + paid",X371="Closed – No response",X371="Lost"),N(Z371)&gt;=Settings!$S$3),"",Y371+Settings!$S$2)</f>
        <v/>
      </c>
      <c r="AB371" s="40"/>
      <c r="AC371" s="41"/>
      <c r="AD371" s="17"/>
      <c r="AE371" s="17"/>
      <c r="AF371" s="17"/>
      <c r="AG371" s="46" t="str">
        <f aca="true">IF(OR(D371="",B371=""),"",INT(TODAY()-B371))</f>
        <v/>
      </c>
      <c r="AH371" s="44" t="str">
        <f aca="true">IF(D371="","",IF(OR(COUNTIFS(Clients!$C$2:$C$501,D371,Clients!$S$2:$S$501,"Paid")&gt;0,AND(H371&lt;&gt;"",COUNTIFS(Clients!$E$2:$E$501,H371,Clients!$S$2:$S$501,"Paid")&gt;0)),"⚠ Refunded before – no free video",IF(OR(X371="Contract signed + paid",X371="Closed – No response",X371="Lost"),"",IF(X371="","Set a stage",IF(AND(X371="Proposal sent",COUNTA(N371:S371)&lt;6),"Score this lead – proposal sent unscored",IF(N(Z371)&gt;=Settings!$S$3,"Close – 4 follow-ups sent",IF(AA371="",IF(Y371="","Make first contact",""),IF(TODAY()&gt;AA371,"OVERDUE follow-up",IF(TODAY()=AA371,"Follow up today","")))))))))</f>
        <v/>
      </c>
    </row>
    <row r="372" customFormat="false" ht="15" hidden="false" customHeight="false" outlineLevel="0" collapsed="false">
      <c r="A372" s="17"/>
      <c r="B372" s="40"/>
      <c r="C372" s="17"/>
      <c r="D372" s="17"/>
      <c r="E372" s="17"/>
      <c r="F372" s="17"/>
      <c r="G372" s="17"/>
      <c r="H372" s="42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44" t="str">
        <f aca="false">IF(OR(D372="",COUNTA(N372:S372)=0),"",SUMIFS(Settings!$AA$2:$AA$21,Settings!$Y$2:$Y$21,"Budget AED 5k+/mo?",Settings!$Z$2:$Z$21,N372)+SUMIFS(Settings!$AA$2:$AA$21,Settings!$Y$2:$Y$21,"Decision-maker?",Settings!$Z$2:$Z$21,O372)+SUMIFS(Settings!$AA$2:$AA$21,Settings!$Y$2:$Y$21,"Someone on camera?",Settings!$Z$2:$Z$21,P372)+SUMIFS(Settings!$AA$2:$AA$21,Settings!$Y$2:$Y$21,"OK with 3-month term?",Settings!$Z$2:$Z$21,Q372)+SUMIFS(Settings!$AA$2:$AA$21,Settings!$Y$2:$Y$21,"Start timeline",Settings!$Z$2:$Z$21,R372)+SUMIFS(Settings!$AA$2:$AA$21,Settings!$Y$2:$Y$21,"Social media gap",Settings!$Z$2:$Z$21,S372)+IF(E372="",0,IF(COUNTIF(Settings!$AC$2:$AC$6,E372)&gt;0,Settings!$AA$20,Settings!$AA$21)))</f>
        <v/>
      </c>
      <c r="U372" s="44" t="str">
        <f aca="false">IF(D372="","",IF(COUNTA(N372:S372)=0,"Not scored",IF(COUNTA(N372:S372)&lt;6,"Partly scored ("&amp;COUNTA(N372:S372)&amp;"/6)",IF(T372&gt;=Settings!$S$8,"Hot",IF(T372&gt;=Settings!$S$9,"Warm","Cold")))))</f>
        <v/>
      </c>
      <c r="V372" s="44" t="str">
        <f aca="false">IF(D372="","",IF(AND(N372="No",P372="No"),"🚩 Budget  ·  🚩 No one on camera",IF(N372="No","🚩 Budget under AED 5k",IF(P372="No","🚩 No one on camera",""))))</f>
        <v/>
      </c>
      <c r="W372" s="17"/>
      <c r="X372" s="17"/>
      <c r="Y372" s="40"/>
      <c r="Z372" s="17"/>
      <c r="AA372" s="45" t="str">
        <f aca="false">IF(OR(D372="",Y372="",OR(X372="Contract signed + paid",X372="Closed – No response",X372="Lost"),N(Z372)&gt;=Settings!$S$3),"",Y372+Settings!$S$2)</f>
        <v/>
      </c>
      <c r="AB372" s="40"/>
      <c r="AC372" s="41"/>
      <c r="AD372" s="17"/>
      <c r="AE372" s="17"/>
      <c r="AF372" s="17"/>
      <c r="AG372" s="46" t="str">
        <f aca="true">IF(OR(D372="",B372=""),"",INT(TODAY()-B372))</f>
        <v/>
      </c>
      <c r="AH372" s="44" t="str">
        <f aca="true">IF(D372="","",IF(OR(COUNTIFS(Clients!$C$2:$C$501,D372,Clients!$S$2:$S$501,"Paid")&gt;0,AND(H372&lt;&gt;"",COUNTIFS(Clients!$E$2:$E$501,H372,Clients!$S$2:$S$501,"Paid")&gt;0)),"⚠ Refunded before – no free video",IF(OR(X372="Contract signed + paid",X372="Closed – No response",X372="Lost"),"",IF(X372="","Set a stage",IF(AND(X372="Proposal sent",COUNTA(N372:S372)&lt;6),"Score this lead – proposal sent unscored",IF(N(Z372)&gt;=Settings!$S$3,"Close – 4 follow-ups sent",IF(AA372="",IF(Y372="","Make first contact",""),IF(TODAY()&gt;AA372,"OVERDUE follow-up",IF(TODAY()=AA372,"Follow up today","")))))))))</f>
        <v/>
      </c>
    </row>
    <row r="373" customFormat="false" ht="15" hidden="false" customHeight="false" outlineLevel="0" collapsed="false">
      <c r="A373" s="17"/>
      <c r="B373" s="40"/>
      <c r="C373" s="17"/>
      <c r="D373" s="17"/>
      <c r="E373" s="17"/>
      <c r="F373" s="17"/>
      <c r="G373" s="17"/>
      <c r="H373" s="42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44" t="str">
        <f aca="false">IF(OR(D373="",COUNTA(N373:S373)=0),"",SUMIFS(Settings!$AA$2:$AA$21,Settings!$Y$2:$Y$21,"Budget AED 5k+/mo?",Settings!$Z$2:$Z$21,N373)+SUMIFS(Settings!$AA$2:$AA$21,Settings!$Y$2:$Y$21,"Decision-maker?",Settings!$Z$2:$Z$21,O373)+SUMIFS(Settings!$AA$2:$AA$21,Settings!$Y$2:$Y$21,"Someone on camera?",Settings!$Z$2:$Z$21,P373)+SUMIFS(Settings!$AA$2:$AA$21,Settings!$Y$2:$Y$21,"OK with 3-month term?",Settings!$Z$2:$Z$21,Q373)+SUMIFS(Settings!$AA$2:$AA$21,Settings!$Y$2:$Y$21,"Start timeline",Settings!$Z$2:$Z$21,R373)+SUMIFS(Settings!$AA$2:$AA$21,Settings!$Y$2:$Y$21,"Social media gap",Settings!$Z$2:$Z$21,S373)+IF(E373="",0,IF(COUNTIF(Settings!$AC$2:$AC$6,E373)&gt;0,Settings!$AA$20,Settings!$AA$21)))</f>
        <v/>
      </c>
      <c r="U373" s="44" t="str">
        <f aca="false">IF(D373="","",IF(COUNTA(N373:S373)=0,"Not scored",IF(COUNTA(N373:S373)&lt;6,"Partly scored ("&amp;COUNTA(N373:S373)&amp;"/6)",IF(T373&gt;=Settings!$S$8,"Hot",IF(T373&gt;=Settings!$S$9,"Warm","Cold")))))</f>
        <v/>
      </c>
      <c r="V373" s="44" t="str">
        <f aca="false">IF(D373="","",IF(AND(N373="No",P373="No"),"🚩 Budget  ·  🚩 No one on camera",IF(N373="No","🚩 Budget under AED 5k",IF(P373="No","🚩 No one on camera",""))))</f>
        <v/>
      </c>
      <c r="W373" s="17"/>
      <c r="X373" s="17"/>
      <c r="Y373" s="40"/>
      <c r="Z373" s="17"/>
      <c r="AA373" s="45" t="str">
        <f aca="false">IF(OR(D373="",Y373="",OR(X373="Contract signed + paid",X373="Closed – No response",X373="Lost"),N(Z373)&gt;=Settings!$S$3),"",Y373+Settings!$S$2)</f>
        <v/>
      </c>
      <c r="AB373" s="40"/>
      <c r="AC373" s="41"/>
      <c r="AD373" s="17"/>
      <c r="AE373" s="17"/>
      <c r="AF373" s="17"/>
      <c r="AG373" s="46" t="str">
        <f aca="true">IF(OR(D373="",B373=""),"",INT(TODAY()-B373))</f>
        <v/>
      </c>
      <c r="AH373" s="44" t="str">
        <f aca="true">IF(D373="","",IF(OR(COUNTIFS(Clients!$C$2:$C$501,D373,Clients!$S$2:$S$501,"Paid")&gt;0,AND(H373&lt;&gt;"",COUNTIFS(Clients!$E$2:$E$501,H373,Clients!$S$2:$S$501,"Paid")&gt;0)),"⚠ Refunded before – no free video",IF(OR(X373="Contract signed + paid",X373="Closed – No response",X373="Lost"),"",IF(X373="","Set a stage",IF(AND(X373="Proposal sent",COUNTA(N373:S373)&lt;6),"Score this lead – proposal sent unscored",IF(N(Z373)&gt;=Settings!$S$3,"Close – 4 follow-ups sent",IF(AA373="",IF(Y373="","Make first contact",""),IF(TODAY()&gt;AA373,"OVERDUE follow-up",IF(TODAY()=AA373,"Follow up today","")))))))))</f>
        <v/>
      </c>
    </row>
    <row r="374" customFormat="false" ht="15" hidden="false" customHeight="false" outlineLevel="0" collapsed="false">
      <c r="A374" s="17"/>
      <c r="B374" s="40"/>
      <c r="C374" s="17"/>
      <c r="D374" s="17"/>
      <c r="E374" s="17"/>
      <c r="F374" s="17"/>
      <c r="G374" s="17"/>
      <c r="H374" s="42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44" t="str">
        <f aca="false">IF(OR(D374="",COUNTA(N374:S374)=0),"",SUMIFS(Settings!$AA$2:$AA$21,Settings!$Y$2:$Y$21,"Budget AED 5k+/mo?",Settings!$Z$2:$Z$21,N374)+SUMIFS(Settings!$AA$2:$AA$21,Settings!$Y$2:$Y$21,"Decision-maker?",Settings!$Z$2:$Z$21,O374)+SUMIFS(Settings!$AA$2:$AA$21,Settings!$Y$2:$Y$21,"Someone on camera?",Settings!$Z$2:$Z$21,P374)+SUMIFS(Settings!$AA$2:$AA$21,Settings!$Y$2:$Y$21,"OK with 3-month term?",Settings!$Z$2:$Z$21,Q374)+SUMIFS(Settings!$AA$2:$AA$21,Settings!$Y$2:$Y$21,"Start timeline",Settings!$Z$2:$Z$21,R374)+SUMIFS(Settings!$AA$2:$AA$21,Settings!$Y$2:$Y$21,"Social media gap",Settings!$Z$2:$Z$21,S374)+IF(E374="",0,IF(COUNTIF(Settings!$AC$2:$AC$6,E374)&gt;0,Settings!$AA$20,Settings!$AA$21)))</f>
        <v/>
      </c>
      <c r="U374" s="44" t="str">
        <f aca="false">IF(D374="","",IF(COUNTA(N374:S374)=0,"Not scored",IF(COUNTA(N374:S374)&lt;6,"Partly scored ("&amp;COUNTA(N374:S374)&amp;"/6)",IF(T374&gt;=Settings!$S$8,"Hot",IF(T374&gt;=Settings!$S$9,"Warm","Cold")))))</f>
        <v/>
      </c>
      <c r="V374" s="44" t="str">
        <f aca="false">IF(D374="","",IF(AND(N374="No",P374="No"),"🚩 Budget  ·  🚩 No one on camera",IF(N374="No","🚩 Budget under AED 5k",IF(P374="No","🚩 No one on camera",""))))</f>
        <v/>
      </c>
      <c r="W374" s="17"/>
      <c r="X374" s="17"/>
      <c r="Y374" s="40"/>
      <c r="Z374" s="17"/>
      <c r="AA374" s="45" t="str">
        <f aca="false">IF(OR(D374="",Y374="",OR(X374="Contract signed + paid",X374="Closed – No response",X374="Lost"),N(Z374)&gt;=Settings!$S$3),"",Y374+Settings!$S$2)</f>
        <v/>
      </c>
      <c r="AB374" s="40"/>
      <c r="AC374" s="41"/>
      <c r="AD374" s="17"/>
      <c r="AE374" s="17"/>
      <c r="AF374" s="17"/>
      <c r="AG374" s="46" t="str">
        <f aca="true">IF(OR(D374="",B374=""),"",INT(TODAY()-B374))</f>
        <v/>
      </c>
      <c r="AH374" s="44" t="str">
        <f aca="true">IF(D374="","",IF(OR(COUNTIFS(Clients!$C$2:$C$501,D374,Clients!$S$2:$S$501,"Paid")&gt;0,AND(H374&lt;&gt;"",COUNTIFS(Clients!$E$2:$E$501,H374,Clients!$S$2:$S$501,"Paid")&gt;0)),"⚠ Refunded before – no free video",IF(OR(X374="Contract signed + paid",X374="Closed – No response",X374="Lost"),"",IF(X374="","Set a stage",IF(AND(X374="Proposal sent",COUNTA(N374:S374)&lt;6),"Score this lead – proposal sent unscored",IF(N(Z374)&gt;=Settings!$S$3,"Close – 4 follow-ups sent",IF(AA374="",IF(Y374="","Make first contact",""),IF(TODAY()&gt;AA374,"OVERDUE follow-up",IF(TODAY()=AA374,"Follow up today","")))))))))</f>
        <v/>
      </c>
    </row>
    <row r="375" customFormat="false" ht="15" hidden="false" customHeight="false" outlineLevel="0" collapsed="false">
      <c r="A375" s="17"/>
      <c r="B375" s="40"/>
      <c r="C375" s="17"/>
      <c r="D375" s="17"/>
      <c r="E375" s="17"/>
      <c r="F375" s="17"/>
      <c r="G375" s="17"/>
      <c r="H375" s="42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44" t="str">
        <f aca="false">IF(OR(D375="",COUNTA(N375:S375)=0),"",SUMIFS(Settings!$AA$2:$AA$21,Settings!$Y$2:$Y$21,"Budget AED 5k+/mo?",Settings!$Z$2:$Z$21,N375)+SUMIFS(Settings!$AA$2:$AA$21,Settings!$Y$2:$Y$21,"Decision-maker?",Settings!$Z$2:$Z$21,O375)+SUMIFS(Settings!$AA$2:$AA$21,Settings!$Y$2:$Y$21,"Someone on camera?",Settings!$Z$2:$Z$21,P375)+SUMIFS(Settings!$AA$2:$AA$21,Settings!$Y$2:$Y$21,"OK with 3-month term?",Settings!$Z$2:$Z$21,Q375)+SUMIFS(Settings!$AA$2:$AA$21,Settings!$Y$2:$Y$21,"Start timeline",Settings!$Z$2:$Z$21,R375)+SUMIFS(Settings!$AA$2:$AA$21,Settings!$Y$2:$Y$21,"Social media gap",Settings!$Z$2:$Z$21,S375)+IF(E375="",0,IF(COUNTIF(Settings!$AC$2:$AC$6,E375)&gt;0,Settings!$AA$20,Settings!$AA$21)))</f>
        <v/>
      </c>
      <c r="U375" s="44" t="str">
        <f aca="false">IF(D375="","",IF(COUNTA(N375:S375)=0,"Not scored",IF(COUNTA(N375:S375)&lt;6,"Partly scored ("&amp;COUNTA(N375:S375)&amp;"/6)",IF(T375&gt;=Settings!$S$8,"Hot",IF(T375&gt;=Settings!$S$9,"Warm","Cold")))))</f>
        <v/>
      </c>
      <c r="V375" s="44" t="str">
        <f aca="false">IF(D375="","",IF(AND(N375="No",P375="No"),"🚩 Budget  ·  🚩 No one on camera",IF(N375="No","🚩 Budget under AED 5k",IF(P375="No","🚩 No one on camera",""))))</f>
        <v/>
      </c>
      <c r="W375" s="17"/>
      <c r="X375" s="17"/>
      <c r="Y375" s="40"/>
      <c r="Z375" s="17"/>
      <c r="AA375" s="45" t="str">
        <f aca="false">IF(OR(D375="",Y375="",OR(X375="Contract signed + paid",X375="Closed – No response",X375="Lost"),N(Z375)&gt;=Settings!$S$3),"",Y375+Settings!$S$2)</f>
        <v/>
      </c>
      <c r="AB375" s="40"/>
      <c r="AC375" s="41"/>
      <c r="AD375" s="17"/>
      <c r="AE375" s="17"/>
      <c r="AF375" s="17"/>
      <c r="AG375" s="46" t="str">
        <f aca="true">IF(OR(D375="",B375=""),"",INT(TODAY()-B375))</f>
        <v/>
      </c>
      <c r="AH375" s="44" t="str">
        <f aca="true">IF(D375="","",IF(OR(COUNTIFS(Clients!$C$2:$C$501,D375,Clients!$S$2:$S$501,"Paid")&gt;0,AND(H375&lt;&gt;"",COUNTIFS(Clients!$E$2:$E$501,H375,Clients!$S$2:$S$501,"Paid")&gt;0)),"⚠ Refunded before – no free video",IF(OR(X375="Contract signed + paid",X375="Closed – No response",X375="Lost"),"",IF(X375="","Set a stage",IF(AND(X375="Proposal sent",COUNTA(N375:S375)&lt;6),"Score this lead – proposal sent unscored",IF(N(Z375)&gt;=Settings!$S$3,"Close – 4 follow-ups sent",IF(AA375="",IF(Y375="","Make first contact",""),IF(TODAY()&gt;AA375,"OVERDUE follow-up",IF(TODAY()=AA375,"Follow up today","")))))))))</f>
        <v/>
      </c>
    </row>
    <row r="376" customFormat="false" ht="15" hidden="false" customHeight="false" outlineLevel="0" collapsed="false">
      <c r="A376" s="17"/>
      <c r="B376" s="40"/>
      <c r="C376" s="17"/>
      <c r="D376" s="17"/>
      <c r="E376" s="17"/>
      <c r="F376" s="17"/>
      <c r="G376" s="17"/>
      <c r="H376" s="42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44" t="str">
        <f aca="false">IF(OR(D376="",COUNTA(N376:S376)=0),"",SUMIFS(Settings!$AA$2:$AA$21,Settings!$Y$2:$Y$21,"Budget AED 5k+/mo?",Settings!$Z$2:$Z$21,N376)+SUMIFS(Settings!$AA$2:$AA$21,Settings!$Y$2:$Y$21,"Decision-maker?",Settings!$Z$2:$Z$21,O376)+SUMIFS(Settings!$AA$2:$AA$21,Settings!$Y$2:$Y$21,"Someone on camera?",Settings!$Z$2:$Z$21,P376)+SUMIFS(Settings!$AA$2:$AA$21,Settings!$Y$2:$Y$21,"OK with 3-month term?",Settings!$Z$2:$Z$21,Q376)+SUMIFS(Settings!$AA$2:$AA$21,Settings!$Y$2:$Y$21,"Start timeline",Settings!$Z$2:$Z$21,R376)+SUMIFS(Settings!$AA$2:$AA$21,Settings!$Y$2:$Y$21,"Social media gap",Settings!$Z$2:$Z$21,S376)+IF(E376="",0,IF(COUNTIF(Settings!$AC$2:$AC$6,E376)&gt;0,Settings!$AA$20,Settings!$AA$21)))</f>
        <v/>
      </c>
      <c r="U376" s="44" t="str">
        <f aca="false">IF(D376="","",IF(COUNTA(N376:S376)=0,"Not scored",IF(COUNTA(N376:S376)&lt;6,"Partly scored ("&amp;COUNTA(N376:S376)&amp;"/6)",IF(T376&gt;=Settings!$S$8,"Hot",IF(T376&gt;=Settings!$S$9,"Warm","Cold")))))</f>
        <v/>
      </c>
      <c r="V376" s="44" t="str">
        <f aca="false">IF(D376="","",IF(AND(N376="No",P376="No"),"🚩 Budget  ·  🚩 No one on camera",IF(N376="No","🚩 Budget under AED 5k",IF(P376="No","🚩 No one on camera",""))))</f>
        <v/>
      </c>
      <c r="W376" s="17"/>
      <c r="X376" s="17"/>
      <c r="Y376" s="40"/>
      <c r="Z376" s="17"/>
      <c r="AA376" s="45" t="str">
        <f aca="false">IF(OR(D376="",Y376="",OR(X376="Contract signed + paid",X376="Closed – No response",X376="Lost"),N(Z376)&gt;=Settings!$S$3),"",Y376+Settings!$S$2)</f>
        <v/>
      </c>
      <c r="AB376" s="40"/>
      <c r="AC376" s="41"/>
      <c r="AD376" s="17"/>
      <c r="AE376" s="17"/>
      <c r="AF376" s="17"/>
      <c r="AG376" s="46" t="str">
        <f aca="true">IF(OR(D376="",B376=""),"",INT(TODAY()-B376))</f>
        <v/>
      </c>
      <c r="AH376" s="44" t="str">
        <f aca="true">IF(D376="","",IF(OR(COUNTIFS(Clients!$C$2:$C$501,D376,Clients!$S$2:$S$501,"Paid")&gt;0,AND(H376&lt;&gt;"",COUNTIFS(Clients!$E$2:$E$501,H376,Clients!$S$2:$S$501,"Paid")&gt;0)),"⚠ Refunded before – no free video",IF(OR(X376="Contract signed + paid",X376="Closed – No response",X376="Lost"),"",IF(X376="","Set a stage",IF(AND(X376="Proposal sent",COUNTA(N376:S376)&lt;6),"Score this lead – proposal sent unscored",IF(N(Z376)&gt;=Settings!$S$3,"Close – 4 follow-ups sent",IF(AA376="",IF(Y376="","Make first contact",""),IF(TODAY()&gt;AA376,"OVERDUE follow-up",IF(TODAY()=AA376,"Follow up today","")))))))))</f>
        <v/>
      </c>
    </row>
    <row r="377" customFormat="false" ht="15" hidden="false" customHeight="false" outlineLevel="0" collapsed="false">
      <c r="A377" s="17"/>
      <c r="B377" s="40"/>
      <c r="C377" s="17"/>
      <c r="D377" s="17"/>
      <c r="E377" s="17"/>
      <c r="F377" s="17"/>
      <c r="G377" s="17"/>
      <c r="H377" s="42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44" t="str">
        <f aca="false">IF(OR(D377="",COUNTA(N377:S377)=0),"",SUMIFS(Settings!$AA$2:$AA$21,Settings!$Y$2:$Y$21,"Budget AED 5k+/mo?",Settings!$Z$2:$Z$21,N377)+SUMIFS(Settings!$AA$2:$AA$21,Settings!$Y$2:$Y$21,"Decision-maker?",Settings!$Z$2:$Z$21,O377)+SUMIFS(Settings!$AA$2:$AA$21,Settings!$Y$2:$Y$21,"Someone on camera?",Settings!$Z$2:$Z$21,P377)+SUMIFS(Settings!$AA$2:$AA$21,Settings!$Y$2:$Y$21,"OK with 3-month term?",Settings!$Z$2:$Z$21,Q377)+SUMIFS(Settings!$AA$2:$AA$21,Settings!$Y$2:$Y$21,"Start timeline",Settings!$Z$2:$Z$21,R377)+SUMIFS(Settings!$AA$2:$AA$21,Settings!$Y$2:$Y$21,"Social media gap",Settings!$Z$2:$Z$21,S377)+IF(E377="",0,IF(COUNTIF(Settings!$AC$2:$AC$6,E377)&gt;0,Settings!$AA$20,Settings!$AA$21)))</f>
        <v/>
      </c>
      <c r="U377" s="44" t="str">
        <f aca="false">IF(D377="","",IF(COUNTA(N377:S377)=0,"Not scored",IF(COUNTA(N377:S377)&lt;6,"Partly scored ("&amp;COUNTA(N377:S377)&amp;"/6)",IF(T377&gt;=Settings!$S$8,"Hot",IF(T377&gt;=Settings!$S$9,"Warm","Cold")))))</f>
        <v/>
      </c>
      <c r="V377" s="44" t="str">
        <f aca="false">IF(D377="","",IF(AND(N377="No",P377="No"),"🚩 Budget  ·  🚩 No one on camera",IF(N377="No","🚩 Budget under AED 5k",IF(P377="No","🚩 No one on camera",""))))</f>
        <v/>
      </c>
      <c r="W377" s="17"/>
      <c r="X377" s="17"/>
      <c r="Y377" s="40"/>
      <c r="Z377" s="17"/>
      <c r="AA377" s="45" t="str">
        <f aca="false">IF(OR(D377="",Y377="",OR(X377="Contract signed + paid",X377="Closed – No response",X377="Lost"),N(Z377)&gt;=Settings!$S$3),"",Y377+Settings!$S$2)</f>
        <v/>
      </c>
      <c r="AB377" s="40"/>
      <c r="AC377" s="41"/>
      <c r="AD377" s="17"/>
      <c r="AE377" s="17"/>
      <c r="AF377" s="17"/>
      <c r="AG377" s="46" t="str">
        <f aca="true">IF(OR(D377="",B377=""),"",INT(TODAY()-B377))</f>
        <v/>
      </c>
      <c r="AH377" s="44" t="str">
        <f aca="true">IF(D377="","",IF(OR(COUNTIFS(Clients!$C$2:$C$501,D377,Clients!$S$2:$S$501,"Paid")&gt;0,AND(H377&lt;&gt;"",COUNTIFS(Clients!$E$2:$E$501,H377,Clients!$S$2:$S$501,"Paid")&gt;0)),"⚠ Refunded before – no free video",IF(OR(X377="Contract signed + paid",X377="Closed – No response",X377="Lost"),"",IF(X377="","Set a stage",IF(AND(X377="Proposal sent",COUNTA(N377:S377)&lt;6),"Score this lead – proposal sent unscored",IF(N(Z377)&gt;=Settings!$S$3,"Close – 4 follow-ups sent",IF(AA377="",IF(Y377="","Make first contact",""),IF(TODAY()&gt;AA377,"OVERDUE follow-up",IF(TODAY()=AA377,"Follow up today","")))))))))</f>
        <v/>
      </c>
    </row>
    <row r="378" customFormat="false" ht="15" hidden="false" customHeight="false" outlineLevel="0" collapsed="false">
      <c r="A378" s="17"/>
      <c r="B378" s="40"/>
      <c r="C378" s="17"/>
      <c r="D378" s="17"/>
      <c r="E378" s="17"/>
      <c r="F378" s="17"/>
      <c r="G378" s="17"/>
      <c r="H378" s="42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44" t="str">
        <f aca="false">IF(OR(D378="",COUNTA(N378:S378)=0),"",SUMIFS(Settings!$AA$2:$AA$21,Settings!$Y$2:$Y$21,"Budget AED 5k+/mo?",Settings!$Z$2:$Z$21,N378)+SUMIFS(Settings!$AA$2:$AA$21,Settings!$Y$2:$Y$21,"Decision-maker?",Settings!$Z$2:$Z$21,O378)+SUMIFS(Settings!$AA$2:$AA$21,Settings!$Y$2:$Y$21,"Someone on camera?",Settings!$Z$2:$Z$21,P378)+SUMIFS(Settings!$AA$2:$AA$21,Settings!$Y$2:$Y$21,"OK with 3-month term?",Settings!$Z$2:$Z$21,Q378)+SUMIFS(Settings!$AA$2:$AA$21,Settings!$Y$2:$Y$21,"Start timeline",Settings!$Z$2:$Z$21,R378)+SUMIFS(Settings!$AA$2:$AA$21,Settings!$Y$2:$Y$21,"Social media gap",Settings!$Z$2:$Z$21,S378)+IF(E378="",0,IF(COUNTIF(Settings!$AC$2:$AC$6,E378)&gt;0,Settings!$AA$20,Settings!$AA$21)))</f>
        <v/>
      </c>
      <c r="U378" s="44" t="str">
        <f aca="false">IF(D378="","",IF(COUNTA(N378:S378)=0,"Not scored",IF(COUNTA(N378:S378)&lt;6,"Partly scored ("&amp;COUNTA(N378:S378)&amp;"/6)",IF(T378&gt;=Settings!$S$8,"Hot",IF(T378&gt;=Settings!$S$9,"Warm","Cold")))))</f>
        <v/>
      </c>
      <c r="V378" s="44" t="str">
        <f aca="false">IF(D378="","",IF(AND(N378="No",P378="No"),"🚩 Budget  ·  🚩 No one on camera",IF(N378="No","🚩 Budget under AED 5k",IF(P378="No","🚩 No one on camera",""))))</f>
        <v/>
      </c>
      <c r="W378" s="17"/>
      <c r="X378" s="17"/>
      <c r="Y378" s="40"/>
      <c r="Z378" s="17"/>
      <c r="AA378" s="45" t="str">
        <f aca="false">IF(OR(D378="",Y378="",OR(X378="Contract signed + paid",X378="Closed – No response",X378="Lost"),N(Z378)&gt;=Settings!$S$3),"",Y378+Settings!$S$2)</f>
        <v/>
      </c>
      <c r="AB378" s="40"/>
      <c r="AC378" s="41"/>
      <c r="AD378" s="17"/>
      <c r="AE378" s="17"/>
      <c r="AF378" s="17"/>
      <c r="AG378" s="46" t="str">
        <f aca="true">IF(OR(D378="",B378=""),"",INT(TODAY()-B378))</f>
        <v/>
      </c>
      <c r="AH378" s="44" t="str">
        <f aca="true">IF(D378="","",IF(OR(COUNTIFS(Clients!$C$2:$C$501,D378,Clients!$S$2:$S$501,"Paid")&gt;0,AND(H378&lt;&gt;"",COUNTIFS(Clients!$E$2:$E$501,H378,Clients!$S$2:$S$501,"Paid")&gt;0)),"⚠ Refunded before – no free video",IF(OR(X378="Contract signed + paid",X378="Closed – No response",X378="Lost"),"",IF(X378="","Set a stage",IF(AND(X378="Proposal sent",COUNTA(N378:S378)&lt;6),"Score this lead – proposal sent unscored",IF(N(Z378)&gt;=Settings!$S$3,"Close – 4 follow-ups sent",IF(AA378="",IF(Y378="","Make first contact",""),IF(TODAY()&gt;AA378,"OVERDUE follow-up",IF(TODAY()=AA378,"Follow up today","")))))))))</f>
        <v/>
      </c>
    </row>
    <row r="379" customFormat="false" ht="15" hidden="false" customHeight="false" outlineLevel="0" collapsed="false">
      <c r="A379" s="17"/>
      <c r="B379" s="40"/>
      <c r="C379" s="17"/>
      <c r="D379" s="17"/>
      <c r="E379" s="17"/>
      <c r="F379" s="17"/>
      <c r="G379" s="17"/>
      <c r="H379" s="42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44" t="str">
        <f aca="false">IF(OR(D379="",COUNTA(N379:S379)=0),"",SUMIFS(Settings!$AA$2:$AA$21,Settings!$Y$2:$Y$21,"Budget AED 5k+/mo?",Settings!$Z$2:$Z$21,N379)+SUMIFS(Settings!$AA$2:$AA$21,Settings!$Y$2:$Y$21,"Decision-maker?",Settings!$Z$2:$Z$21,O379)+SUMIFS(Settings!$AA$2:$AA$21,Settings!$Y$2:$Y$21,"Someone on camera?",Settings!$Z$2:$Z$21,P379)+SUMIFS(Settings!$AA$2:$AA$21,Settings!$Y$2:$Y$21,"OK with 3-month term?",Settings!$Z$2:$Z$21,Q379)+SUMIFS(Settings!$AA$2:$AA$21,Settings!$Y$2:$Y$21,"Start timeline",Settings!$Z$2:$Z$21,R379)+SUMIFS(Settings!$AA$2:$AA$21,Settings!$Y$2:$Y$21,"Social media gap",Settings!$Z$2:$Z$21,S379)+IF(E379="",0,IF(COUNTIF(Settings!$AC$2:$AC$6,E379)&gt;0,Settings!$AA$20,Settings!$AA$21)))</f>
        <v/>
      </c>
      <c r="U379" s="44" t="str">
        <f aca="false">IF(D379="","",IF(COUNTA(N379:S379)=0,"Not scored",IF(COUNTA(N379:S379)&lt;6,"Partly scored ("&amp;COUNTA(N379:S379)&amp;"/6)",IF(T379&gt;=Settings!$S$8,"Hot",IF(T379&gt;=Settings!$S$9,"Warm","Cold")))))</f>
        <v/>
      </c>
      <c r="V379" s="44" t="str">
        <f aca="false">IF(D379="","",IF(AND(N379="No",P379="No"),"🚩 Budget  ·  🚩 No one on camera",IF(N379="No","🚩 Budget under AED 5k",IF(P379="No","🚩 No one on camera",""))))</f>
        <v/>
      </c>
      <c r="W379" s="17"/>
      <c r="X379" s="17"/>
      <c r="Y379" s="40"/>
      <c r="Z379" s="17"/>
      <c r="AA379" s="45" t="str">
        <f aca="false">IF(OR(D379="",Y379="",OR(X379="Contract signed + paid",X379="Closed – No response",X379="Lost"),N(Z379)&gt;=Settings!$S$3),"",Y379+Settings!$S$2)</f>
        <v/>
      </c>
      <c r="AB379" s="40"/>
      <c r="AC379" s="41"/>
      <c r="AD379" s="17"/>
      <c r="AE379" s="17"/>
      <c r="AF379" s="17"/>
      <c r="AG379" s="46" t="str">
        <f aca="true">IF(OR(D379="",B379=""),"",INT(TODAY()-B379))</f>
        <v/>
      </c>
      <c r="AH379" s="44" t="str">
        <f aca="true">IF(D379="","",IF(OR(COUNTIFS(Clients!$C$2:$C$501,D379,Clients!$S$2:$S$501,"Paid")&gt;0,AND(H379&lt;&gt;"",COUNTIFS(Clients!$E$2:$E$501,H379,Clients!$S$2:$S$501,"Paid")&gt;0)),"⚠ Refunded before – no free video",IF(OR(X379="Contract signed + paid",X379="Closed – No response",X379="Lost"),"",IF(X379="","Set a stage",IF(AND(X379="Proposal sent",COUNTA(N379:S379)&lt;6),"Score this lead – proposal sent unscored",IF(N(Z379)&gt;=Settings!$S$3,"Close – 4 follow-ups sent",IF(AA379="",IF(Y379="","Make first contact",""),IF(TODAY()&gt;AA379,"OVERDUE follow-up",IF(TODAY()=AA379,"Follow up today","")))))))))</f>
        <v/>
      </c>
    </row>
    <row r="380" customFormat="false" ht="15" hidden="false" customHeight="false" outlineLevel="0" collapsed="false">
      <c r="A380" s="17"/>
      <c r="B380" s="40"/>
      <c r="C380" s="17"/>
      <c r="D380" s="17"/>
      <c r="E380" s="17"/>
      <c r="F380" s="17"/>
      <c r="G380" s="17"/>
      <c r="H380" s="42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44" t="str">
        <f aca="false">IF(OR(D380="",COUNTA(N380:S380)=0),"",SUMIFS(Settings!$AA$2:$AA$21,Settings!$Y$2:$Y$21,"Budget AED 5k+/mo?",Settings!$Z$2:$Z$21,N380)+SUMIFS(Settings!$AA$2:$AA$21,Settings!$Y$2:$Y$21,"Decision-maker?",Settings!$Z$2:$Z$21,O380)+SUMIFS(Settings!$AA$2:$AA$21,Settings!$Y$2:$Y$21,"Someone on camera?",Settings!$Z$2:$Z$21,P380)+SUMIFS(Settings!$AA$2:$AA$21,Settings!$Y$2:$Y$21,"OK with 3-month term?",Settings!$Z$2:$Z$21,Q380)+SUMIFS(Settings!$AA$2:$AA$21,Settings!$Y$2:$Y$21,"Start timeline",Settings!$Z$2:$Z$21,R380)+SUMIFS(Settings!$AA$2:$AA$21,Settings!$Y$2:$Y$21,"Social media gap",Settings!$Z$2:$Z$21,S380)+IF(E380="",0,IF(COUNTIF(Settings!$AC$2:$AC$6,E380)&gt;0,Settings!$AA$20,Settings!$AA$21)))</f>
        <v/>
      </c>
      <c r="U380" s="44" t="str">
        <f aca="false">IF(D380="","",IF(COUNTA(N380:S380)=0,"Not scored",IF(COUNTA(N380:S380)&lt;6,"Partly scored ("&amp;COUNTA(N380:S380)&amp;"/6)",IF(T380&gt;=Settings!$S$8,"Hot",IF(T380&gt;=Settings!$S$9,"Warm","Cold")))))</f>
        <v/>
      </c>
      <c r="V380" s="44" t="str">
        <f aca="false">IF(D380="","",IF(AND(N380="No",P380="No"),"🚩 Budget  ·  🚩 No one on camera",IF(N380="No","🚩 Budget under AED 5k",IF(P380="No","🚩 No one on camera",""))))</f>
        <v/>
      </c>
      <c r="W380" s="17"/>
      <c r="X380" s="17"/>
      <c r="Y380" s="40"/>
      <c r="Z380" s="17"/>
      <c r="AA380" s="45" t="str">
        <f aca="false">IF(OR(D380="",Y380="",OR(X380="Contract signed + paid",X380="Closed – No response",X380="Lost"),N(Z380)&gt;=Settings!$S$3),"",Y380+Settings!$S$2)</f>
        <v/>
      </c>
      <c r="AB380" s="40"/>
      <c r="AC380" s="41"/>
      <c r="AD380" s="17"/>
      <c r="AE380" s="17"/>
      <c r="AF380" s="17"/>
      <c r="AG380" s="46" t="str">
        <f aca="true">IF(OR(D380="",B380=""),"",INT(TODAY()-B380))</f>
        <v/>
      </c>
      <c r="AH380" s="44" t="str">
        <f aca="true">IF(D380="","",IF(OR(COUNTIFS(Clients!$C$2:$C$501,D380,Clients!$S$2:$S$501,"Paid")&gt;0,AND(H380&lt;&gt;"",COUNTIFS(Clients!$E$2:$E$501,H380,Clients!$S$2:$S$501,"Paid")&gt;0)),"⚠ Refunded before – no free video",IF(OR(X380="Contract signed + paid",X380="Closed – No response",X380="Lost"),"",IF(X380="","Set a stage",IF(AND(X380="Proposal sent",COUNTA(N380:S380)&lt;6),"Score this lead – proposal sent unscored",IF(N(Z380)&gt;=Settings!$S$3,"Close – 4 follow-ups sent",IF(AA380="",IF(Y380="","Make first contact",""),IF(TODAY()&gt;AA380,"OVERDUE follow-up",IF(TODAY()=AA380,"Follow up today","")))))))))</f>
        <v/>
      </c>
    </row>
    <row r="381" customFormat="false" ht="15" hidden="false" customHeight="false" outlineLevel="0" collapsed="false">
      <c r="A381" s="17"/>
      <c r="B381" s="40"/>
      <c r="C381" s="17"/>
      <c r="D381" s="17"/>
      <c r="E381" s="17"/>
      <c r="F381" s="17"/>
      <c r="G381" s="17"/>
      <c r="H381" s="42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44" t="str">
        <f aca="false">IF(OR(D381="",COUNTA(N381:S381)=0),"",SUMIFS(Settings!$AA$2:$AA$21,Settings!$Y$2:$Y$21,"Budget AED 5k+/mo?",Settings!$Z$2:$Z$21,N381)+SUMIFS(Settings!$AA$2:$AA$21,Settings!$Y$2:$Y$21,"Decision-maker?",Settings!$Z$2:$Z$21,O381)+SUMIFS(Settings!$AA$2:$AA$21,Settings!$Y$2:$Y$21,"Someone on camera?",Settings!$Z$2:$Z$21,P381)+SUMIFS(Settings!$AA$2:$AA$21,Settings!$Y$2:$Y$21,"OK with 3-month term?",Settings!$Z$2:$Z$21,Q381)+SUMIFS(Settings!$AA$2:$AA$21,Settings!$Y$2:$Y$21,"Start timeline",Settings!$Z$2:$Z$21,R381)+SUMIFS(Settings!$AA$2:$AA$21,Settings!$Y$2:$Y$21,"Social media gap",Settings!$Z$2:$Z$21,S381)+IF(E381="",0,IF(COUNTIF(Settings!$AC$2:$AC$6,E381)&gt;0,Settings!$AA$20,Settings!$AA$21)))</f>
        <v/>
      </c>
      <c r="U381" s="44" t="str">
        <f aca="false">IF(D381="","",IF(COUNTA(N381:S381)=0,"Not scored",IF(COUNTA(N381:S381)&lt;6,"Partly scored ("&amp;COUNTA(N381:S381)&amp;"/6)",IF(T381&gt;=Settings!$S$8,"Hot",IF(T381&gt;=Settings!$S$9,"Warm","Cold")))))</f>
        <v/>
      </c>
      <c r="V381" s="44" t="str">
        <f aca="false">IF(D381="","",IF(AND(N381="No",P381="No"),"🚩 Budget  ·  🚩 No one on camera",IF(N381="No","🚩 Budget under AED 5k",IF(P381="No","🚩 No one on camera",""))))</f>
        <v/>
      </c>
      <c r="W381" s="17"/>
      <c r="X381" s="17"/>
      <c r="Y381" s="40"/>
      <c r="Z381" s="17"/>
      <c r="AA381" s="45" t="str">
        <f aca="false">IF(OR(D381="",Y381="",OR(X381="Contract signed + paid",X381="Closed – No response",X381="Lost"),N(Z381)&gt;=Settings!$S$3),"",Y381+Settings!$S$2)</f>
        <v/>
      </c>
      <c r="AB381" s="40"/>
      <c r="AC381" s="41"/>
      <c r="AD381" s="17"/>
      <c r="AE381" s="17"/>
      <c r="AF381" s="17"/>
      <c r="AG381" s="46" t="str">
        <f aca="true">IF(OR(D381="",B381=""),"",INT(TODAY()-B381))</f>
        <v/>
      </c>
      <c r="AH381" s="44" t="str">
        <f aca="true">IF(D381="","",IF(OR(COUNTIFS(Clients!$C$2:$C$501,D381,Clients!$S$2:$S$501,"Paid")&gt;0,AND(H381&lt;&gt;"",COUNTIFS(Clients!$E$2:$E$501,H381,Clients!$S$2:$S$501,"Paid")&gt;0)),"⚠ Refunded before – no free video",IF(OR(X381="Contract signed + paid",X381="Closed – No response",X381="Lost"),"",IF(X381="","Set a stage",IF(AND(X381="Proposal sent",COUNTA(N381:S381)&lt;6),"Score this lead – proposal sent unscored",IF(N(Z381)&gt;=Settings!$S$3,"Close – 4 follow-ups sent",IF(AA381="",IF(Y381="","Make first contact",""),IF(TODAY()&gt;AA381,"OVERDUE follow-up",IF(TODAY()=AA381,"Follow up today","")))))))))</f>
        <v/>
      </c>
    </row>
    <row r="382" customFormat="false" ht="15" hidden="false" customHeight="false" outlineLevel="0" collapsed="false">
      <c r="A382" s="17"/>
      <c r="B382" s="40"/>
      <c r="C382" s="17"/>
      <c r="D382" s="17"/>
      <c r="E382" s="17"/>
      <c r="F382" s="17"/>
      <c r="G382" s="17"/>
      <c r="H382" s="42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44" t="str">
        <f aca="false">IF(OR(D382="",COUNTA(N382:S382)=0),"",SUMIFS(Settings!$AA$2:$AA$21,Settings!$Y$2:$Y$21,"Budget AED 5k+/mo?",Settings!$Z$2:$Z$21,N382)+SUMIFS(Settings!$AA$2:$AA$21,Settings!$Y$2:$Y$21,"Decision-maker?",Settings!$Z$2:$Z$21,O382)+SUMIFS(Settings!$AA$2:$AA$21,Settings!$Y$2:$Y$21,"Someone on camera?",Settings!$Z$2:$Z$21,P382)+SUMIFS(Settings!$AA$2:$AA$21,Settings!$Y$2:$Y$21,"OK with 3-month term?",Settings!$Z$2:$Z$21,Q382)+SUMIFS(Settings!$AA$2:$AA$21,Settings!$Y$2:$Y$21,"Start timeline",Settings!$Z$2:$Z$21,R382)+SUMIFS(Settings!$AA$2:$AA$21,Settings!$Y$2:$Y$21,"Social media gap",Settings!$Z$2:$Z$21,S382)+IF(E382="",0,IF(COUNTIF(Settings!$AC$2:$AC$6,E382)&gt;0,Settings!$AA$20,Settings!$AA$21)))</f>
        <v/>
      </c>
      <c r="U382" s="44" t="str">
        <f aca="false">IF(D382="","",IF(COUNTA(N382:S382)=0,"Not scored",IF(COUNTA(N382:S382)&lt;6,"Partly scored ("&amp;COUNTA(N382:S382)&amp;"/6)",IF(T382&gt;=Settings!$S$8,"Hot",IF(T382&gt;=Settings!$S$9,"Warm","Cold")))))</f>
        <v/>
      </c>
      <c r="V382" s="44" t="str">
        <f aca="false">IF(D382="","",IF(AND(N382="No",P382="No"),"🚩 Budget  ·  🚩 No one on camera",IF(N382="No","🚩 Budget under AED 5k",IF(P382="No","🚩 No one on camera",""))))</f>
        <v/>
      </c>
      <c r="W382" s="17"/>
      <c r="X382" s="17"/>
      <c r="Y382" s="40"/>
      <c r="Z382" s="17"/>
      <c r="AA382" s="45" t="str">
        <f aca="false">IF(OR(D382="",Y382="",OR(X382="Contract signed + paid",X382="Closed – No response",X382="Lost"),N(Z382)&gt;=Settings!$S$3),"",Y382+Settings!$S$2)</f>
        <v/>
      </c>
      <c r="AB382" s="40"/>
      <c r="AC382" s="41"/>
      <c r="AD382" s="17"/>
      <c r="AE382" s="17"/>
      <c r="AF382" s="17"/>
      <c r="AG382" s="46" t="str">
        <f aca="true">IF(OR(D382="",B382=""),"",INT(TODAY()-B382))</f>
        <v/>
      </c>
      <c r="AH382" s="44" t="str">
        <f aca="true">IF(D382="","",IF(OR(COUNTIFS(Clients!$C$2:$C$501,D382,Clients!$S$2:$S$501,"Paid")&gt;0,AND(H382&lt;&gt;"",COUNTIFS(Clients!$E$2:$E$501,H382,Clients!$S$2:$S$501,"Paid")&gt;0)),"⚠ Refunded before – no free video",IF(OR(X382="Contract signed + paid",X382="Closed – No response",X382="Lost"),"",IF(X382="","Set a stage",IF(AND(X382="Proposal sent",COUNTA(N382:S382)&lt;6),"Score this lead – proposal sent unscored",IF(N(Z382)&gt;=Settings!$S$3,"Close – 4 follow-ups sent",IF(AA382="",IF(Y382="","Make first contact",""),IF(TODAY()&gt;AA382,"OVERDUE follow-up",IF(TODAY()=AA382,"Follow up today","")))))))))</f>
        <v/>
      </c>
    </row>
    <row r="383" customFormat="false" ht="15" hidden="false" customHeight="false" outlineLevel="0" collapsed="false">
      <c r="A383" s="17"/>
      <c r="B383" s="40"/>
      <c r="C383" s="17"/>
      <c r="D383" s="17"/>
      <c r="E383" s="17"/>
      <c r="F383" s="17"/>
      <c r="G383" s="17"/>
      <c r="H383" s="42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44" t="str">
        <f aca="false">IF(OR(D383="",COUNTA(N383:S383)=0),"",SUMIFS(Settings!$AA$2:$AA$21,Settings!$Y$2:$Y$21,"Budget AED 5k+/mo?",Settings!$Z$2:$Z$21,N383)+SUMIFS(Settings!$AA$2:$AA$21,Settings!$Y$2:$Y$21,"Decision-maker?",Settings!$Z$2:$Z$21,O383)+SUMIFS(Settings!$AA$2:$AA$21,Settings!$Y$2:$Y$21,"Someone on camera?",Settings!$Z$2:$Z$21,P383)+SUMIFS(Settings!$AA$2:$AA$21,Settings!$Y$2:$Y$21,"OK with 3-month term?",Settings!$Z$2:$Z$21,Q383)+SUMIFS(Settings!$AA$2:$AA$21,Settings!$Y$2:$Y$21,"Start timeline",Settings!$Z$2:$Z$21,R383)+SUMIFS(Settings!$AA$2:$AA$21,Settings!$Y$2:$Y$21,"Social media gap",Settings!$Z$2:$Z$21,S383)+IF(E383="",0,IF(COUNTIF(Settings!$AC$2:$AC$6,E383)&gt;0,Settings!$AA$20,Settings!$AA$21)))</f>
        <v/>
      </c>
      <c r="U383" s="44" t="str">
        <f aca="false">IF(D383="","",IF(COUNTA(N383:S383)=0,"Not scored",IF(COUNTA(N383:S383)&lt;6,"Partly scored ("&amp;COUNTA(N383:S383)&amp;"/6)",IF(T383&gt;=Settings!$S$8,"Hot",IF(T383&gt;=Settings!$S$9,"Warm","Cold")))))</f>
        <v/>
      </c>
      <c r="V383" s="44" t="str">
        <f aca="false">IF(D383="","",IF(AND(N383="No",P383="No"),"🚩 Budget  ·  🚩 No one on camera",IF(N383="No","🚩 Budget under AED 5k",IF(P383="No","🚩 No one on camera",""))))</f>
        <v/>
      </c>
      <c r="W383" s="17"/>
      <c r="X383" s="17"/>
      <c r="Y383" s="40"/>
      <c r="Z383" s="17"/>
      <c r="AA383" s="45" t="str">
        <f aca="false">IF(OR(D383="",Y383="",OR(X383="Contract signed + paid",X383="Closed – No response",X383="Lost"),N(Z383)&gt;=Settings!$S$3),"",Y383+Settings!$S$2)</f>
        <v/>
      </c>
      <c r="AB383" s="40"/>
      <c r="AC383" s="41"/>
      <c r="AD383" s="17"/>
      <c r="AE383" s="17"/>
      <c r="AF383" s="17"/>
      <c r="AG383" s="46" t="str">
        <f aca="true">IF(OR(D383="",B383=""),"",INT(TODAY()-B383))</f>
        <v/>
      </c>
      <c r="AH383" s="44" t="str">
        <f aca="true">IF(D383="","",IF(OR(COUNTIFS(Clients!$C$2:$C$501,D383,Clients!$S$2:$S$501,"Paid")&gt;0,AND(H383&lt;&gt;"",COUNTIFS(Clients!$E$2:$E$501,H383,Clients!$S$2:$S$501,"Paid")&gt;0)),"⚠ Refunded before – no free video",IF(OR(X383="Contract signed + paid",X383="Closed – No response",X383="Lost"),"",IF(X383="","Set a stage",IF(AND(X383="Proposal sent",COUNTA(N383:S383)&lt;6),"Score this lead – proposal sent unscored",IF(N(Z383)&gt;=Settings!$S$3,"Close – 4 follow-ups sent",IF(AA383="",IF(Y383="","Make first contact",""),IF(TODAY()&gt;AA383,"OVERDUE follow-up",IF(TODAY()=AA383,"Follow up today","")))))))))</f>
        <v/>
      </c>
    </row>
    <row r="384" customFormat="false" ht="15" hidden="false" customHeight="false" outlineLevel="0" collapsed="false">
      <c r="A384" s="17"/>
      <c r="B384" s="40"/>
      <c r="C384" s="17"/>
      <c r="D384" s="17"/>
      <c r="E384" s="17"/>
      <c r="F384" s="17"/>
      <c r="G384" s="17"/>
      <c r="H384" s="42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44" t="str">
        <f aca="false">IF(OR(D384="",COUNTA(N384:S384)=0),"",SUMIFS(Settings!$AA$2:$AA$21,Settings!$Y$2:$Y$21,"Budget AED 5k+/mo?",Settings!$Z$2:$Z$21,N384)+SUMIFS(Settings!$AA$2:$AA$21,Settings!$Y$2:$Y$21,"Decision-maker?",Settings!$Z$2:$Z$21,O384)+SUMIFS(Settings!$AA$2:$AA$21,Settings!$Y$2:$Y$21,"Someone on camera?",Settings!$Z$2:$Z$21,P384)+SUMIFS(Settings!$AA$2:$AA$21,Settings!$Y$2:$Y$21,"OK with 3-month term?",Settings!$Z$2:$Z$21,Q384)+SUMIFS(Settings!$AA$2:$AA$21,Settings!$Y$2:$Y$21,"Start timeline",Settings!$Z$2:$Z$21,R384)+SUMIFS(Settings!$AA$2:$AA$21,Settings!$Y$2:$Y$21,"Social media gap",Settings!$Z$2:$Z$21,S384)+IF(E384="",0,IF(COUNTIF(Settings!$AC$2:$AC$6,E384)&gt;0,Settings!$AA$20,Settings!$AA$21)))</f>
        <v/>
      </c>
      <c r="U384" s="44" t="str">
        <f aca="false">IF(D384="","",IF(COUNTA(N384:S384)=0,"Not scored",IF(COUNTA(N384:S384)&lt;6,"Partly scored ("&amp;COUNTA(N384:S384)&amp;"/6)",IF(T384&gt;=Settings!$S$8,"Hot",IF(T384&gt;=Settings!$S$9,"Warm","Cold")))))</f>
        <v/>
      </c>
      <c r="V384" s="44" t="str">
        <f aca="false">IF(D384="","",IF(AND(N384="No",P384="No"),"🚩 Budget  ·  🚩 No one on camera",IF(N384="No","🚩 Budget under AED 5k",IF(P384="No","🚩 No one on camera",""))))</f>
        <v/>
      </c>
      <c r="W384" s="17"/>
      <c r="X384" s="17"/>
      <c r="Y384" s="40"/>
      <c r="Z384" s="17"/>
      <c r="AA384" s="45" t="str">
        <f aca="false">IF(OR(D384="",Y384="",OR(X384="Contract signed + paid",X384="Closed – No response",X384="Lost"),N(Z384)&gt;=Settings!$S$3),"",Y384+Settings!$S$2)</f>
        <v/>
      </c>
      <c r="AB384" s="40"/>
      <c r="AC384" s="41"/>
      <c r="AD384" s="17"/>
      <c r="AE384" s="17"/>
      <c r="AF384" s="17"/>
      <c r="AG384" s="46" t="str">
        <f aca="true">IF(OR(D384="",B384=""),"",INT(TODAY()-B384))</f>
        <v/>
      </c>
      <c r="AH384" s="44" t="str">
        <f aca="true">IF(D384="","",IF(OR(COUNTIFS(Clients!$C$2:$C$501,D384,Clients!$S$2:$S$501,"Paid")&gt;0,AND(H384&lt;&gt;"",COUNTIFS(Clients!$E$2:$E$501,H384,Clients!$S$2:$S$501,"Paid")&gt;0)),"⚠ Refunded before – no free video",IF(OR(X384="Contract signed + paid",X384="Closed – No response",X384="Lost"),"",IF(X384="","Set a stage",IF(AND(X384="Proposal sent",COUNTA(N384:S384)&lt;6),"Score this lead – proposal sent unscored",IF(N(Z384)&gt;=Settings!$S$3,"Close – 4 follow-ups sent",IF(AA384="",IF(Y384="","Make first contact",""),IF(TODAY()&gt;AA384,"OVERDUE follow-up",IF(TODAY()=AA384,"Follow up today","")))))))))</f>
        <v/>
      </c>
    </row>
    <row r="385" customFormat="false" ht="15" hidden="false" customHeight="false" outlineLevel="0" collapsed="false">
      <c r="A385" s="17"/>
      <c r="B385" s="40"/>
      <c r="C385" s="17"/>
      <c r="D385" s="17"/>
      <c r="E385" s="17"/>
      <c r="F385" s="17"/>
      <c r="G385" s="17"/>
      <c r="H385" s="42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44" t="str">
        <f aca="false">IF(OR(D385="",COUNTA(N385:S385)=0),"",SUMIFS(Settings!$AA$2:$AA$21,Settings!$Y$2:$Y$21,"Budget AED 5k+/mo?",Settings!$Z$2:$Z$21,N385)+SUMIFS(Settings!$AA$2:$AA$21,Settings!$Y$2:$Y$21,"Decision-maker?",Settings!$Z$2:$Z$21,O385)+SUMIFS(Settings!$AA$2:$AA$21,Settings!$Y$2:$Y$21,"Someone on camera?",Settings!$Z$2:$Z$21,P385)+SUMIFS(Settings!$AA$2:$AA$21,Settings!$Y$2:$Y$21,"OK with 3-month term?",Settings!$Z$2:$Z$21,Q385)+SUMIFS(Settings!$AA$2:$AA$21,Settings!$Y$2:$Y$21,"Start timeline",Settings!$Z$2:$Z$21,R385)+SUMIFS(Settings!$AA$2:$AA$21,Settings!$Y$2:$Y$21,"Social media gap",Settings!$Z$2:$Z$21,S385)+IF(E385="",0,IF(COUNTIF(Settings!$AC$2:$AC$6,E385)&gt;0,Settings!$AA$20,Settings!$AA$21)))</f>
        <v/>
      </c>
      <c r="U385" s="44" t="str">
        <f aca="false">IF(D385="","",IF(COUNTA(N385:S385)=0,"Not scored",IF(COUNTA(N385:S385)&lt;6,"Partly scored ("&amp;COUNTA(N385:S385)&amp;"/6)",IF(T385&gt;=Settings!$S$8,"Hot",IF(T385&gt;=Settings!$S$9,"Warm","Cold")))))</f>
        <v/>
      </c>
      <c r="V385" s="44" t="str">
        <f aca="false">IF(D385="","",IF(AND(N385="No",P385="No"),"🚩 Budget  ·  🚩 No one on camera",IF(N385="No","🚩 Budget under AED 5k",IF(P385="No","🚩 No one on camera",""))))</f>
        <v/>
      </c>
      <c r="W385" s="17"/>
      <c r="X385" s="17"/>
      <c r="Y385" s="40"/>
      <c r="Z385" s="17"/>
      <c r="AA385" s="45" t="str">
        <f aca="false">IF(OR(D385="",Y385="",OR(X385="Contract signed + paid",X385="Closed – No response",X385="Lost"),N(Z385)&gt;=Settings!$S$3),"",Y385+Settings!$S$2)</f>
        <v/>
      </c>
      <c r="AB385" s="40"/>
      <c r="AC385" s="41"/>
      <c r="AD385" s="17"/>
      <c r="AE385" s="17"/>
      <c r="AF385" s="17"/>
      <c r="AG385" s="46" t="str">
        <f aca="true">IF(OR(D385="",B385=""),"",INT(TODAY()-B385))</f>
        <v/>
      </c>
      <c r="AH385" s="44" t="str">
        <f aca="true">IF(D385="","",IF(OR(COUNTIFS(Clients!$C$2:$C$501,D385,Clients!$S$2:$S$501,"Paid")&gt;0,AND(H385&lt;&gt;"",COUNTIFS(Clients!$E$2:$E$501,H385,Clients!$S$2:$S$501,"Paid")&gt;0)),"⚠ Refunded before – no free video",IF(OR(X385="Contract signed + paid",X385="Closed – No response",X385="Lost"),"",IF(X385="","Set a stage",IF(AND(X385="Proposal sent",COUNTA(N385:S385)&lt;6),"Score this lead – proposal sent unscored",IF(N(Z385)&gt;=Settings!$S$3,"Close – 4 follow-ups sent",IF(AA385="",IF(Y385="","Make first contact",""),IF(TODAY()&gt;AA385,"OVERDUE follow-up",IF(TODAY()=AA385,"Follow up today","")))))))))</f>
        <v/>
      </c>
    </row>
    <row r="386" customFormat="false" ht="15" hidden="false" customHeight="false" outlineLevel="0" collapsed="false">
      <c r="A386" s="17"/>
      <c r="B386" s="40"/>
      <c r="C386" s="17"/>
      <c r="D386" s="17"/>
      <c r="E386" s="17"/>
      <c r="F386" s="17"/>
      <c r="G386" s="17"/>
      <c r="H386" s="42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44" t="str">
        <f aca="false">IF(OR(D386="",COUNTA(N386:S386)=0),"",SUMIFS(Settings!$AA$2:$AA$21,Settings!$Y$2:$Y$21,"Budget AED 5k+/mo?",Settings!$Z$2:$Z$21,N386)+SUMIFS(Settings!$AA$2:$AA$21,Settings!$Y$2:$Y$21,"Decision-maker?",Settings!$Z$2:$Z$21,O386)+SUMIFS(Settings!$AA$2:$AA$21,Settings!$Y$2:$Y$21,"Someone on camera?",Settings!$Z$2:$Z$21,P386)+SUMIFS(Settings!$AA$2:$AA$21,Settings!$Y$2:$Y$21,"OK with 3-month term?",Settings!$Z$2:$Z$21,Q386)+SUMIFS(Settings!$AA$2:$AA$21,Settings!$Y$2:$Y$21,"Start timeline",Settings!$Z$2:$Z$21,R386)+SUMIFS(Settings!$AA$2:$AA$21,Settings!$Y$2:$Y$21,"Social media gap",Settings!$Z$2:$Z$21,S386)+IF(E386="",0,IF(COUNTIF(Settings!$AC$2:$AC$6,E386)&gt;0,Settings!$AA$20,Settings!$AA$21)))</f>
        <v/>
      </c>
      <c r="U386" s="44" t="str">
        <f aca="false">IF(D386="","",IF(COUNTA(N386:S386)=0,"Not scored",IF(COUNTA(N386:S386)&lt;6,"Partly scored ("&amp;COUNTA(N386:S386)&amp;"/6)",IF(T386&gt;=Settings!$S$8,"Hot",IF(T386&gt;=Settings!$S$9,"Warm","Cold")))))</f>
        <v/>
      </c>
      <c r="V386" s="44" t="str">
        <f aca="false">IF(D386="","",IF(AND(N386="No",P386="No"),"🚩 Budget  ·  🚩 No one on camera",IF(N386="No","🚩 Budget under AED 5k",IF(P386="No","🚩 No one on camera",""))))</f>
        <v/>
      </c>
      <c r="W386" s="17"/>
      <c r="X386" s="17"/>
      <c r="Y386" s="40"/>
      <c r="Z386" s="17"/>
      <c r="AA386" s="45" t="str">
        <f aca="false">IF(OR(D386="",Y386="",OR(X386="Contract signed + paid",X386="Closed – No response",X386="Lost"),N(Z386)&gt;=Settings!$S$3),"",Y386+Settings!$S$2)</f>
        <v/>
      </c>
      <c r="AB386" s="40"/>
      <c r="AC386" s="41"/>
      <c r="AD386" s="17"/>
      <c r="AE386" s="17"/>
      <c r="AF386" s="17"/>
      <c r="AG386" s="46" t="str">
        <f aca="true">IF(OR(D386="",B386=""),"",INT(TODAY()-B386))</f>
        <v/>
      </c>
      <c r="AH386" s="44" t="str">
        <f aca="true">IF(D386="","",IF(OR(COUNTIFS(Clients!$C$2:$C$501,D386,Clients!$S$2:$S$501,"Paid")&gt;0,AND(H386&lt;&gt;"",COUNTIFS(Clients!$E$2:$E$501,H386,Clients!$S$2:$S$501,"Paid")&gt;0)),"⚠ Refunded before – no free video",IF(OR(X386="Contract signed + paid",X386="Closed – No response",X386="Lost"),"",IF(X386="","Set a stage",IF(AND(X386="Proposal sent",COUNTA(N386:S386)&lt;6),"Score this lead – proposal sent unscored",IF(N(Z386)&gt;=Settings!$S$3,"Close – 4 follow-ups sent",IF(AA386="",IF(Y386="","Make first contact",""),IF(TODAY()&gt;AA386,"OVERDUE follow-up",IF(TODAY()=AA386,"Follow up today","")))))))))</f>
        <v/>
      </c>
    </row>
    <row r="387" customFormat="false" ht="15" hidden="false" customHeight="false" outlineLevel="0" collapsed="false">
      <c r="A387" s="17"/>
      <c r="B387" s="40"/>
      <c r="C387" s="17"/>
      <c r="D387" s="17"/>
      <c r="E387" s="17"/>
      <c r="F387" s="17"/>
      <c r="G387" s="17"/>
      <c r="H387" s="42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44" t="str">
        <f aca="false">IF(OR(D387="",COUNTA(N387:S387)=0),"",SUMIFS(Settings!$AA$2:$AA$21,Settings!$Y$2:$Y$21,"Budget AED 5k+/mo?",Settings!$Z$2:$Z$21,N387)+SUMIFS(Settings!$AA$2:$AA$21,Settings!$Y$2:$Y$21,"Decision-maker?",Settings!$Z$2:$Z$21,O387)+SUMIFS(Settings!$AA$2:$AA$21,Settings!$Y$2:$Y$21,"Someone on camera?",Settings!$Z$2:$Z$21,P387)+SUMIFS(Settings!$AA$2:$AA$21,Settings!$Y$2:$Y$21,"OK with 3-month term?",Settings!$Z$2:$Z$21,Q387)+SUMIFS(Settings!$AA$2:$AA$21,Settings!$Y$2:$Y$21,"Start timeline",Settings!$Z$2:$Z$21,R387)+SUMIFS(Settings!$AA$2:$AA$21,Settings!$Y$2:$Y$21,"Social media gap",Settings!$Z$2:$Z$21,S387)+IF(E387="",0,IF(COUNTIF(Settings!$AC$2:$AC$6,E387)&gt;0,Settings!$AA$20,Settings!$AA$21)))</f>
        <v/>
      </c>
      <c r="U387" s="44" t="str">
        <f aca="false">IF(D387="","",IF(COUNTA(N387:S387)=0,"Not scored",IF(COUNTA(N387:S387)&lt;6,"Partly scored ("&amp;COUNTA(N387:S387)&amp;"/6)",IF(T387&gt;=Settings!$S$8,"Hot",IF(T387&gt;=Settings!$S$9,"Warm","Cold")))))</f>
        <v/>
      </c>
      <c r="V387" s="44" t="str">
        <f aca="false">IF(D387="","",IF(AND(N387="No",P387="No"),"🚩 Budget  ·  🚩 No one on camera",IF(N387="No","🚩 Budget under AED 5k",IF(P387="No","🚩 No one on camera",""))))</f>
        <v/>
      </c>
      <c r="W387" s="17"/>
      <c r="X387" s="17"/>
      <c r="Y387" s="40"/>
      <c r="Z387" s="17"/>
      <c r="AA387" s="45" t="str">
        <f aca="false">IF(OR(D387="",Y387="",OR(X387="Contract signed + paid",X387="Closed – No response",X387="Lost"),N(Z387)&gt;=Settings!$S$3),"",Y387+Settings!$S$2)</f>
        <v/>
      </c>
      <c r="AB387" s="40"/>
      <c r="AC387" s="41"/>
      <c r="AD387" s="17"/>
      <c r="AE387" s="17"/>
      <c r="AF387" s="17"/>
      <c r="AG387" s="46" t="str">
        <f aca="true">IF(OR(D387="",B387=""),"",INT(TODAY()-B387))</f>
        <v/>
      </c>
      <c r="AH387" s="44" t="str">
        <f aca="true">IF(D387="","",IF(OR(COUNTIFS(Clients!$C$2:$C$501,D387,Clients!$S$2:$S$501,"Paid")&gt;0,AND(H387&lt;&gt;"",COUNTIFS(Clients!$E$2:$E$501,H387,Clients!$S$2:$S$501,"Paid")&gt;0)),"⚠ Refunded before – no free video",IF(OR(X387="Contract signed + paid",X387="Closed – No response",X387="Lost"),"",IF(X387="","Set a stage",IF(AND(X387="Proposal sent",COUNTA(N387:S387)&lt;6),"Score this lead – proposal sent unscored",IF(N(Z387)&gt;=Settings!$S$3,"Close – 4 follow-ups sent",IF(AA387="",IF(Y387="","Make first contact",""),IF(TODAY()&gt;AA387,"OVERDUE follow-up",IF(TODAY()=AA387,"Follow up today","")))))))))</f>
        <v/>
      </c>
    </row>
    <row r="388" customFormat="false" ht="15" hidden="false" customHeight="false" outlineLevel="0" collapsed="false">
      <c r="A388" s="17"/>
      <c r="B388" s="40"/>
      <c r="C388" s="17"/>
      <c r="D388" s="17"/>
      <c r="E388" s="17"/>
      <c r="F388" s="17"/>
      <c r="G388" s="17"/>
      <c r="H388" s="42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44" t="str">
        <f aca="false">IF(OR(D388="",COUNTA(N388:S388)=0),"",SUMIFS(Settings!$AA$2:$AA$21,Settings!$Y$2:$Y$21,"Budget AED 5k+/mo?",Settings!$Z$2:$Z$21,N388)+SUMIFS(Settings!$AA$2:$AA$21,Settings!$Y$2:$Y$21,"Decision-maker?",Settings!$Z$2:$Z$21,O388)+SUMIFS(Settings!$AA$2:$AA$21,Settings!$Y$2:$Y$21,"Someone on camera?",Settings!$Z$2:$Z$21,P388)+SUMIFS(Settings!$AA$2:$AA$21,Settings!$Y$2:$Y$21,"OK with 3-month term?",Settings!$Z$2:$Z$21,Q388)+SUMIFS(Settings!$AA$2:$AA$21,Settings!$Y$2:$Y$21,"Start timeline",Settings!$Z$2:$Z$21,R388)+SUMIFS(Settings!$AA$2:$AA$21,Settings!$Y$2:$Y$21,"Social media gap",Settings!$Z$2:$Z$21,S388)+IF(E388="",0,IF(COUNTIF(Settings!$AC$2:$AC$6,E388)&gt;0,Settings!$AA$20,Settings!$AA$21)))</f>
        <v/>
      </c>
      <c r="U388" s="44" t="str">
        <f aca="false">IF(D388="","",IF(COUNTA(N388:S388)=0,"Not scored",IF(COUNTA(N388:S388)&lt;6,"Partly scored ("&amp;COUNTA(N388:S388)&amp;"/6)",IF(T388&gt;=Settings!$S$8,"Hot",IF(T388&gt;=Settings!$S$9,"Warm","Cold")))))</f>
        <v/>
      </c>
      <c r="V388" s="44" t="str">
        <f aca="false">IF(D388="","",IF(AND(N388="No",P388="No"),"🚩 Budget  ·  🚩 No one on camera",IF(N388="No","🚩 Budget under AED 5k",IF(P388="No","🚩 No one on camera",""))))</f>
        <v/>
      </c>
      <c r="W388" s="17"/>
      <c r="X388" s="17"/>
      <c r="Y388" s="40"/>
      <c r="Z388" s="17"/>
      <c r="AA388" s="45" t="str">
        <f aca="false">IF(OR(D388="",Y388="",OR(X388="Contract signed + paid",X388="Closed – No response",X388="Lost"),N(Z388)&gt;=Settings!$S$3),"",Y388+Settings!$S$2)</f>
        <v/>
      </c>
      <c r="AB388" s="40"/>
      <c r="AC388" s="41"/>
      <c r="AD388" s="17"/>
      <c r="AE388" s="17"/>
      <c r="AF388" s="17"/>
      <c r="AG388" s="46" t="str">
        <f aca="true">IF(OR(D388="",B388=""),"",INT(TODAY()-B388))</f>
        <v/>
      </c>
      <c r="AH388" s="44" t="str">
        <f aca="true">IF(D388="","",IF(OR(COUNTIFS(Clients!$C$2:$C$501,D388,Clients!$S$2:$S$501,"Paid")&gt;0,AND(H388&lt;&gt;"",COUNTIFS(Clients!$E$2:$E$501,H388,Clients!$S$2:$S$501,"Paid")&gt;0)),"⚠ Refunded before – no free video",IF(OR(X388="Contract signed + paid",X388="Closed – No response",X388="Lost"),"",IF(X388="","Set a stage",IF(AND(X388="Proposal sent",COUNTA(N388:S388)&lt;6),"Score this lead – proposal sent unscored",IF(N(Z388)&gt;=Settings!$S$3,"Close – 4 follow-ups sent",IF(AA388="",IF(Y388="","Make first contact",""),IF(TODAY()&gt;AA388,"OVERDUE follow-up",IF(TODAY()=AA388,"Follow up today","")))))))))</f>
        <v/>
      </c>
    </row>
    <row r="389" customFormat="false" ht="15" hidden="false" customHeight="false" outlineLevel="0" collapsed="false">
      <c r="A389" s="17"/>
      <c r="B389" s="40"/>
      <c r="C389" s="17"/>
      <c r="D389" s="17"/>
      <c r="E389" s="17"/>
      <c r="F389" s="17"/>
      <c r="G389" s="17"/>
      <c r="H389" s="42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44" t="str">
        <f aca="false">IF(OR(D389="",COUNTA(N389:S389)=0),"",SUMIFS(Settings!$AA$2:$AA$21,Settings!$Y$2:$Y$21,"Budget AED 5k+/mo?",Settings!$Z$2:$Z$21,N389)+SUMIFS(Settings!$AA$2:$AA$21,Settings!$Y$2:$Y$21,"Decision-maker?",Settings!$Z$2:$Z$21,O389)+SUMIFS(Settings!$AA$2:$AA$21,Settings!$Y$2:$Y$21,"Someone on camera?",Settings!$Z$2:$Z$21,P389)+SUMIFS(Settings!$AA$2:$AA$21,Settings!$Y$2:$Y$21,"OK with 3-month term?",Settings!$Z$2:$Z$21,Q389)+SUMIFS(Settings!$AA$2:$AA$21,Settings!$Y$2:$Y$21,"Start timeline",Settings!$Z$2:$Z$21,R389)+SUMIFS(Settings!$AA$2:$AA$21,Settings!$Y$2:$Y$21,"Social media gap",Settings!$Z$2:$Z$21,S389)+IF(E389="",0,IF(COUNTIF(Settings!$AC$2:$AC$6,E389)&gt;0,Settings!$AA$20,Settings!$AA$21)))</f>
        <v/>
      </c>
      <c r="U389" s="44" t="str">
        <f aca="false">IF(D389="","",IF(COUNTA(N389:S389)=0,"Not scored",IF(COUNTA(N389:S389)&lt;6,"Partly scored ("&amp;COUNTA(N389:S389)&amp;"/6)",IF(T389&gt;=Settings!$S$8,"Hot",IF(T389&gt;=Settings!$S$9,"Warm","Cold")))))</f>
        <v/>
      </c>
      <c r="V389" s="44" t="str">
        <f aca="false">IF(D389="","",IF(AND(N389="No",P389="No"),"🚩 Budget  ·  🚩 No one on camera",IF(N389="No","🚩 Budget under AED 5k",IF(P389="No","🚩 No one on camera",""))))</f>
        <v/>
      </c>
      <c r="W389" s="17"/>
      <c r="X389" s="17"/>
      <c r="Y389" s="40"/>
      <c r="Z389" s="17"/>
      <c r="AA389" s="45" t="str">
        <f aca="false">IF(OR(D389="",Y389="",OR(X389="Contract signed + paid",X389="Closed – No response",X389="Lost"),N(Z389)&gt;=Settings!$S$3),"",Y389+Settings!$S$2)</f>
        <v/>
      </c>
      <c r="AB389" s="40"/>
      <c r="AC389" s="41"/>
      <c r="AD389" s="17"/>
      <c r="AE389" s="17"/>
      <c r="AF389" s="17"/>
      <c r="AG389" s="46" t="str">
        <f aca="true">IF(OR(D389="",B389=""),"",INT(TODAY()-B389))</f>
        <v/>
      </c>
      <c r="AH389" s="44" t="str">
        <f aca="true">IF(D389="","",IF(OR(COUNTIFS(Clients!$C$2:$C$501,D389,Clients!$S$2:$S$501,"Paid")&gt;0,AND(H389&lt;&gt;"",COUNTIFS(Clients!$E$2:$E$501,H389,Clients!$S$2:$S$501,"Paid")&gt;0)),"⚠ Refunded before – no free video",IF(OR(X389="Contract signed + paid",X389="Closed – No response",X389="Lost"),"",IF(X389="","Set a stage",IF(AND(X389="Proposal sent",COUNTA(N389:S389)&lt;6),"Score this lead – proposal sent unscored",IF(N(Z389)&gt;=Settings!$S$3,"Close – 4 follow-ups sent",IF(AA389="",IF(Y389="","Make first contact",""),IF(TODAY()&gt;AA389,"OVERDUE follow-up",IF(TODAY()=AA389,"Follow up today","")))))))))</f>
        <v/>
      </c>
    </row>
    <row r="390" customFormat="false" ht="15" hidden="false" customHeight="false" outlineLevel="0" collapsed="false">
      <c r="A390" s="17"/>
      <c r="B390" s="40"/>
      <c r="C390" s="17"/>
      <c r="D390" s="17"/>
      <c r="E390" s="17"/>
      <c r="F390" s="17"/>
      <c r="G390" s="17"/>
      <c r="H390" s="42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44" t="str">
        <f aca="false">IF(OR(D390="",COUNTA(N390:S390)=0),"",SUMIFS(Settings!$AA$2:$AA$21,Settings!$Y$2:$Y$21,"Budget AED 5k+/mo?",Settings!$Z$2:$Z$21,N390)+SUMIFS(Settings!$AA$2:$AA$21,Settings!$Y$2:$Y$21,"Decision-maker?",Settings!$Z$2:$Z$21,O390)+SUMIFS(Settings!$AA$2:$AA$21,Settings!$Y$2:$Y$21,"Someone on camera?",Settings!$Z$2:$Z$21,P390)+SUMIFS(Settings!$AA$2:$AA$21,Settings!$Y$2:$Y$21,"OK with 3-month term?",Settings!$Z$2:$Z$21,Q390)+SUMIFS(Settings!$AA$2:$AA$21,Settings!$Y$2:$Y$21,"Start timeline",Settings!$Z$2:$Z$21,R390)+SUMIFS(Settings!$AA$2:$AA$21,Settings!$Y$2:$Y$21,"Social media gap",Settings!$Z$2:$Z$21,S390)+IF(E390="",0,IF(COUNTIF(Settings!$AC$2:$AC$6,E390)&gt;0,Settings!$AA$20,Settings!$AA$21)))</f>
        <v/>
      </c>
      <c r="U390" s="44" t="str">
        <f aca="false">IF(D390="","",IF(COUNTA(N390:S390)=0,"Not scored",IF(COUNTA(N390:S390)&lt;6,"Partly scored ("&amp;COUNTA(N390:S390)&amp;"/6)",IF(T390&gt;=Settings!$S$8,"Hot",IF(T390&gt;=Settings!$S$9,"Warm","Cold")))))</f>
        <v/>
      </c>
      <c r="V390" s="44" t="str">
        <f aca="false">IF(D390="","",IF(AND(N390="No",P390="No"),"🚩 Budget  ·  🚩 No one on camera",IF(N390="No","🚩 Budget under AED 5k",IF(P390="No","🚩 No one on camera",""))))</f>
        <v/>
      </c>
      <c r="W390" s="17"/>
      <c r="X390" s="17"/>
      <c r="Y390" s="40"/>
      <c r="Z390" s="17"/>
      <c r="AA390" s="45" t="str">
        <f aca="false">IF(OR(D390="",Y390="",OR(X390="Contract signed + paid",X390="Closed – No response",X390="Lost"),N(Z390)&gt;=Settings!$S$3),"",Y390+Settings!$S$2)</f>
        <v/>
      </c>
      <c r="AB390" s="40"/>
      <c r="AC390" s="41"/>
      <c r="AD390" s="17"/>
      <c r="AE390" s="17"/>
      <c r="AF390" s="17"/>
      <c r="AG390" s="46" t="str">
        <f aca="true">IF(OR(D390="",B390=""),"",INT(TODAY()-B390))</f>
        <v/>
      </c>
      <c r="AH390" s="44" t="str">
        <f aca="true">IF(D390="","",IF(OR(COUNTIFS(Clients!$C$2:$C$501,D390,Clients!$S$2:$S$501,"Paid")&gt;0,AND(H390&lt;&gt;"",COUNTIFS(Clients!$E$2:$E$501,H390,Clients!$S$2:$S$501,"Paid")&gt;0)),"⚠ Refunded before – no free video",IF(OR(X390="Contract signed + paid",X390="Closed – No response",X390="Lost"),"",IF(X390="","Set a stage",IF(AND(X390="Proposal sent",COUNTA(N390:S390)&lt;6),"Score this lead – proposal sent unscored",IF(N(Z390)&gt;=Settings!$S$3,"Close – 4 follow-ups sent",IF(AA390="",IF(Y390="","Make first contact",""),IF(TODAY()&gt;AA390,"OVERDUE follow-up",IF(TODAY()=AA390,"Follow up today","")))))))))</f>
        <v/>
      </c>
    </row>
    <row r="391" customFormat="false" ht="15" hidden="false" customHeight="false" outlineLevel="0" collapsed="false">
      <c r="A391" s="17"/>
      <c r="B391" s="40"/>
      <c r="C391" s="17"/>
      <c r="D391" s="17"/>
      <c r="E391" s="17"/>
      <c r="F391" s="17"/>
      <c r="G391" s="17"/>
      <c r="H391" s="42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44" t="str">
        <f aca="false">IF(OR(D391="",COUNTA(N391:S391)=0),"",SUMIFS(Settings!$AA$2:$AA$21,Settings!$Y$2:$Y$21,"Budget AED 5k+/mo?",Settings!$Z$2:$Z$21,N391)+SUMIFS(Settings!$AA$2:$AA$21,Settings!$Y$2:$Y$21,"Decision-maker?",Settings!$Z$2:$Z$21,O391)+SUMIFS(Settings!$AA$2:$AA$21,Settings!$Y$2:$Y$21,"Someone on camera?",Settings!$Z$2:$Z$21,P391)+SUMIFS(Settings!$AA$2:$AA$21,Settings!$Y$2:$Y$21,"OK with 3-month term?",Settings!$Z$2:$Z$21,Q391)+SUMIFS(Settings!$AA$2:$AA$21,Settings!$Y$2:$Y$21,"Start timeline",Settings!$Z$2:$Z$21,R391)+SUMIFS(Settings!$AA$2:$AA$21,Settings!$Y$2:$Y$21,"Social media gap",Settings!$Z$2:$Z$21,S391)+IF(E391="",0,IF(COUNTIF(Settings!$AC$2:$AC$6,E391)&gt;0,Settings!$AA$20,Settings!$AA$21)))</f>
        <v/>
      </c>
      <c r="U391" s="44" t="str">
        <f aca="false">IF(D391="","",IF(COUNTA(N391:S391)=0,"Not scored",IF(COUNTA(N391:S391)&lt;6,"Partly scored ("&amp;COUNTA(N391:S391)&amp;"/6)",IF(T391&gt;=Settings!$S$8,"Hot",IF(T391&gt;=Settings!$S$9,"Warm","Cold")))))</f>
        <v/>
      </c>
      <c r="V391" s="44" t="str">
        <f aca="false">IF(D391="","",IF(AND(N391="No",P391="No"),"🚩 Budget  ·  🚩 No one on camera",IF(N391="No","🚩 Budget under AED 5k",IF(P391="No","🚩 No one on camera",""))))</f>
        <v/>
      </c>
      <c r="W391" s="17"/>
      <c r="X391" s="17"/>
      <c r="Y391" s="40"/>
      <c r="Z391" s="17"/>
      <c r="AA391" s="45" t="str">
        <f aca="false">IF(OR(D391="",Y391="",OR(X391="Contract signed + paid",X391="Closed – No response",X391="Lost"),N(Z391)&gt;=Settings!$S$3),"",Y391+Settings!$S$2)</f>
        <v/>
      </c>
      <c r="AB391" s="40"/>
      <c r="AC391" s="41"/>
      <c r="AD391" s="17"/>
      <c r="AE391" s="17"/>
      <c r="AF391" s="17"/>
      <c r="AG391" s="46" t="str">
        <f aca="true">IF(OR(D391="",B391=""),"",INT(TODAY()-B391))</f>
        <v/>
      </c>
      <c r="AH391" s="44" t="str">
        <f aca="true">IF(D391="","",IF(OR(COUNTIFS(Clients!$C$2:$C$501,D391,Clients!$S$2:$S$501,"Paid")&gt;0,AND(H391&lt;&gt;"",COUNTIFS(Clients!$E$2:$E$501,H391,Clients!$S$2:$S$501,"Paid")&gt;0)),"⚠ Refunded before – no free video",IF(OR(X391="Contract signed + paid",X391="Closed – No response",X391="Lost"),"",IF(X391="","Set a stage",IF(AND(X391="Proposal sent",COUNTA(N391:S391)&lt;6),"Score this lead – proposal sent unscored",IF(N(Z391)&gt;=Settings!$S$3,"Close – 4 follow-ups sent",IF(AA391="",IF(Y391="","Make first contact",""),IF(TODAY()&gt;AA391,"OVERDUE follow-up",IF(TODAY()=AA391,"Follow up today","")))))))))</f>
        <v/>
      </c>
    </row>
    <row r="392" customFormat="false" ht="15" hidden="false" customHeight="false" outlineLevel="0" collapsed="false">
      <c r="A392" s="17"/>
      <c r="B392" s="40"/>
      <c r="C392" s="17"/>
      <c r="D392" s="17"/>
      <c r="E392" s="17"/>
      <c r="F392" s="17"/>
      <c r="G392" s="17"/>
      <c r="H392" s="42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44" t="str">
        <f aca="false">IF(OR(D392="",COUNTA(N392:S392)=0),"",SUMIFS(Settings!$AA$2:$AA$21,Settings!$Y$2:$Y$21,"Budget AED 5k+/mo?",Settings!$Z$2:$Z$21,N392)+SUMIFS(Settings!$AA$2:$AA$21,Settings!$Y$2:$Y$21,"Decision-maker?",Settings!$Z$2:$Z$21,O392)+SUMIFS(Settings!$AA$2:$AA$21,Settings!$Y$2:$Y$21,"Someone on camera?",Settings!$Z$2:$Z$21,P392)+SUMIFS(Settings!$AA$2:$AA$21,Settings!$Y$2:$Y$21,"OK with 3-month term?",Settings!$Z$2:$Z$21,Q392)+SUMIFS(Settings!$AA$2:$AA$21,Settings!$Y$2:$Y$21,"Start timeline",Settings!$Z$2:$Z$21,R392)+SUMIFS(Settings!$AA$2:$AA$21,Settings!$Y$2:$Y$21,"Social media gap",Settings!$Z$2:$Z$21,S392)+IF(E392="",0,IF(COUNTIF(Settings!$AC$2:$AC$6,E392)&gt;0,Settings!$AA$20,Settings!$AA$21)))</f>
        <v/>
      </c>
      <c r="U392" s="44" t="str">
        <f aca="false">IF(D392="","",IF(COUNTA(N392:S392)=0,"Not scored",IF(COUNTA(N392:S392)&lt;6,"Partly scored ("&amp;COUNTA(N392:S392)&amp;"/6)",IF(T392&gt;=Settings!$S$8,"Hot",IF(T392&gt;=Settings!$S$9,"Warm","Cold")))))</f>
        <v/>
      </c>
      <c r="V392" s="44" t="str">
        <f aca="false">IF(D392="","",IF(AND(N392="No",P392="No"),"🚩 Budget  ·  🚩 No one on camera",IF(N392="No","🚩 Budget under AED 5k",IF(P392="No","🚩 No one on camera",""))))</f>
        <v/>
      </c>
      <c r="W392" s="17"/>
      <c r="X392" s="17"/>
      <c r="Y392" s="40"/>
      <c r="Z392" s="17"/>
      <c r="AA392" s="45" t="str">
        <f aca="false">IF(OR(D392="",Y392="",OR(X392="Contract signed + paid",X392="Closed – No response",X392="Lost"),N(Z392)&gt;=Settings!$S$3),"",Y392+Settings!$S$2)</f>
        <v/>
      </c>
      <c r="AB392" s="40"/>
      <c r="AC392" s="41"/>
      <c r="AD392" s="17"/>
      <c r="AE392" s="17"/>
      <c r="AF392" s="17"/>
      <c r="AG392" s="46" t="str">
        <f aca="true">IF(OR(D392="",B392=""),"",INT(TODAY()-B392))</f>
        <v/>
      </c>
      <c r="AH392" s="44" t="str">
        <f aca="true">IF(D392="","",IF(OR(COUNTIFS(Clients!$C$2:$C$501,D392,Clients!$S$2:$S$501,"Paid")&gt;0,AND(H392&lt;&gt;"",COUNTIFS(Clients!$E$2:$E$501,H392,Clients!$S$2:$S$501,"Paid")&gt;0)),"⚠ Refunded before – no free video",IF(OR(X392="Contract signed + paid",X392="Closed – No response",X392="Lost"),"",IF(X392="","Set a stage",IF(AND(X392="Proposal sent",COUNTA(N392:S392)&lt;6),"Score this lead – proposal sent unscored",IF(N(Z392)&gt;=Settings!$S$3,"Close – 4 follow-ups sent",IF(AA392="",IF(Y392="","Make first contact",""),IF(TODAY()&gt;AA392,"OVERDUE follow-up",IF(TODAY()=AA392,"Follow up today","")))))))))</f>
        <v/>
      </c>
    </row>
    <row r="393" customFormat="false" ht="15" hidden="false" customHeight="false" outlineLevel="0" collapsed="false">
      <c r="A393" s="17"/>
      <c r="B393" s="40"/>
      <c r="C393" s="17"/>
      <c r="D393" s="17"/>
      <c r="E393" s="17"/>
      <c r="F393" s="17"/>
      <c r="G393" s="17"/>
      <c r="H393" s="42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44" t="str">
        <f aca="false">IF(OR(D393="",COUNTA(N393:S393)=0),"",SUMIFS(Settings!$AA$2:$AA$21,Settings!$Y$2:$Y$21,"Budget AED 5k+/mo?",Settings!$Z$2:$Z$21,N393)+SUMIFS(Settings!$AA$2:$AA$21,Settings!$Y$2:$Y$21,"Decision-maker?",Settings!$Z$2:$Z$21,O393)+SUMIFS(Settings!$AA$2:$AA$21,Settings!$Y$2:$Y$21,"Someone on camera?",Settings!$Z$2:$Z$21,P393)+SUMIFS(Settings!$AA$2:$AA$21,Settings!$Y$2:$Y$21,"OK with 3-month term?",Settings!$Z$2:$Z$21,Q393)+SUMIFS(Settings!$AA$2:$AA$21,Settings!$Y$2:$Y$21,"Start timeline",Settings!$Z$2:$Z$21,R393)+SUMIFS(Settings!$AA$2:$AA$21,Settings!$Y$2:$Y$21,"Social media gap",Settings!$Z$2:$Z$21,S393)+IF(E393="",0,IF(COUNTIF(Settings!$AC$2:$AC$6,E393)&gt;0,Settings!$AA$20,Settings!$AA$21)))</f>
        <v/>
      </c>
      <c r="U393" s="44" t="str">
        <f aca="false">IF(D393="","",IF(COUNTA(N393:S393)=0,"Not scored",IF(COUNTA(N393:S393)&lt;6,"Partly scored ("&amp;COUNTA(N393:S393)&amp;"/6)",IF(T393&gt;=Settings!$S$8,"Hot",IF(T393&gt;=Settings!$S$9,"Warm","Cold")))))</f>
        <v/>
      </c>
      <c r="V393" s="44" t="str">
        <f aca="false">IF(D393="","",IF(AND(N393="No",P393="No"),"🚩 Budget  ·  🚩 No one on camera",IF(N393="No","🚩 Budget under AED 5k",IF(P393="No","🚩 No one on camera",""))))</f>
        <v/>
      </c>
      <c r="W393" s="17"/>
      <c r="X393" s="17"/>
      <c r="Y393" s="40"/>
      <c r="Z393" s="17"/>
      <c r="AA393" s="45" t="str">
        <f aca="false">IF(OR(D393="",Y393="",OR(X393="Contract signed + paid",X393="Closed – No response",X393="Lost"),N(Z393)&gt;=Settings!$S$3),"",Y393+Settings!$S$2)</f>
        <v/>
      </c>
      <c r="AB393" s="40"/>
      <c r="AC393" s="41"/>
      <c r="AD393" s="17"/>
      <c r="AE393" s="17"/>
      <c r="AF393" s="17"/>
      <c r="AG393" s="46" t="str">
        <f aca="true">IF(OR(D393="",B393=""),"",INT(TODAY()-B393))</f>
        <v/>
      </c>
      <c r="AH393" s="44" t="str">
        <f aca="true">IF(D393="","",IF(OR(COUNTIFS(Clients!$C$2:$C$501,D393,Clients!$S$2:$S$501,"Paid")&gt;0,AND(H393&lt;&gt;"",COUNTIFS(Clients!$E$2:$E$501,H393,Clients!$S$2:$S$501,"Paid")&gt;0)),"⚠ Refunded before – no free video",IF(OR(X393="Contract signed + paid",X393="Closed – No response",X393="Lost"),"",IF(X393="","Set a stage",IF(AND(X393="Proposal sent",COUNTA(N393:S393)&lt;6),"Score this lead – proposal sent unscored",IF(N(Z393)&gt;=Settings!$S$3,"Close – 4 follow-ups sent",IF(AA393="",IF(Y393="","Make first contact",""),IF(TODAY()&gt;AA393,"OVERDUE follow-up",IF(TODAY()=AA393,"Follow up today","")))))))))</f>
        <v/>
      </c>
    </row>
    <row r="394" customFormat="false" ht="15" hidden="false" customHeight="false" outlineLevel="0" collapsed="false">
      <c r="A394" s="17"/>
      <c r="B394" s="40"/>
      <c r="C394" s="17"/>
      <c r="D394" s="17"/>
      <c r="E394" s="17"/>
      <c r="F394" s="17"/>
      <c r="G394" s="17"/>
      <c r="H394" s="42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44" t="str">
        <f aca="false">IF(OR(D394="",COUNTA(N394:S394)=0),"",SUMIFS(Settings!$AA$2:$AA$21,Settings!$Y$2:$Y$21,"Budget AED 5k+/mo?",Settings!$Z$2:$Z$21,N394)+SUMIFS(Settings!$AA$2:$AA$21,Settings!$Y$2:$Y$21,"Decision-maker?",Settings!$Z$2:$Z$21,O394)+SUMIFS(Settings!$AA$2:$AA$21,Settings!$Y$2:$Y$21,"Someone on camera?",Settings!$Z$2:$Z$21,P394)+SUMIFS(Settings!$AA$2:$AA$21,Settings!$Y$2:$Y$21,"OK with 3-month term?",Settings!$Z$2:$Z$21,Q394)+SUMIFS(Settings!$AA$2:$AA$21,Settings!$Y$2:$Y$21,"Start timeline",Settings!$Z$2:$Z$21,R394)+SUMIFS(Settings!$AA$2:$AA$21,Settings!$Y$2:$Y$21,"Social media gap",Settings!$Z$2:$Z$21,S394)+IF(E394="",0,IF(COUNTIF(Settings!$AC$2:$AC$6,E394)&gt;0,Settings!$AA$20,Settings!$AA$21)))</f>
        <v/>
      </c>
      <c r="U394" s="44" t="str">
        <f aca="false">IF(D394="","",IF(COUNTA(N394:S394)=0,"Not scored",IF(COUNTA(N394:S394)&lt;6,"Partly scored ("&amp;COUNTA(N394:S394)&amp;"/6)",IF(T394&gt;=Settings!$S$8,"Hot",IF(T394&gt;=Settings!$S$9,"Warm","Cold")))))</f>
        <v/>
      </c>
      <c r="V394" s="44" t="str">
        <f aca="false">IF(D394="","",IF(AND(N394="No",P394="No"),"🚩 Budget  ·  🚩 No one on camera",IF(N394="No","🚩 Budget under AED 5k",IF(P394="No","🚩 No one on camera",""))))</f>
        <v/>
      </c>
      <c r="W394" s="17"/>
      <c r="X394" s="17"/>
      <c r="Y394" s="40"/>
      <c r="Z394" s="17"/>
      <c r="AA394" s="45" t="str">
        <f aca="false">IF(OR(D394="",Y394="",OR(X394="Contract signed + paid",X394="Closed – No response",X394="Lost"),N(Z394)&gt;=Settings!$S$3),"",Y394+Settings!$S$2)</f>
        <v/>
      </c>
      <c r="AB394" s="40"/>
      <c r="AC394" s="41"/>
      <c r="AD394" s="17"/>
      <c r="AE394" s="17"/>
      <c r="AF394" s="17"/>
      <c r="AG394" s="46" t="str">
        <f aca="true">IF(OR(D394="",B394=""),"",INT(TODAY()-B394))</f>
        <v/>
      </c>
      <c r="AH394" s="44" t="str">
        <f aca="true">IF(D394="","",IF(OR(COUNTIFS(Clients!$C$2:$C$501,D394,Clients!$S$2:$S$501,"Paid")&gt;0,AND(H394&lt;&gt;"",COUNTIFS(Clients!$E$2:$E$501,H394,Clients!$S$2:$S$501,"Paid")&gt;0)),"⚠ Refunded before – no free video",IF(OR(X394="Contract signed + paid",X394="Closed – No response",X394="Lost"),"",IF(X394="","Set a stage",IF(AND(X394="Proposal sent",COUNTA(N394:S394)&lt;6),"Score this lead – proposal sent unscored",IF(N(Z394)&gt;=Settings!$S$3,"Close – 4 follow-ups sent",IF(AA394="",IF(Y394="","Make first contact",""),IF(TODAY()&gt;AA394,"OVERDUE follow-up",IF(TODAY()=AA394,"Follow up today","")))))))))</f>
        <v/>
      </c>
    </row>
    <row r="395" customFormat="false" ht="15" hidden="false" customHeight="false" outlineLevel="0" collapsed="false">
      <c r="A395" s="17"/>
      <c r="B395" s="40"/>
      <c r="C395" s="17"/>
      <c r="D395" s="17"/>
      <c r="E395" s="17"/>
      <c r="F395" s="17"/>
      <c r="G395" s="17"/>
      <c r="H395" s="42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44" t="str">
        <f aca="false">IF(OR(D395="",COUNTA(N395:S395)=0),"",SUMIFS(Settings!$AA$2:$AA$21,Settings!$Y$2:$Y$21,"Budget AED 5k+/mo?",Settings!$Z$2:$Z$21,N395)+SUMIFS(Settings!$AA$2:$AA$21,Settings!$Y$2:$Y$21,"Decision-maker?",Settings!$Z$2:$Z$21,O395)+SUMIFS(Settings!$AA$2:$AA$21,Settings!$Y$2:$Y$21,"Someone on camera?",Settings!$Z$2:$Z$21,P395)+SUMIFS(Settings!$AA$2:$AA$21,Settings!$Y$2:$Y$21,"OK with 3-month term?",Settings!$Z$2:$Z$21,Q395)+SUMIFS(Settings!$AA$2:$AA$21,Settings!$Y$2:$Y$21,"Start timeline",Settings!$Z$2:$Z$21,R395)+SUMIFS(Settings!$AA$2:$AA$21,Settings!$Y$2:$Y$21,"Social media gap",Settings!$Z$2:$Z$21,S395)+IF(E395="",0,IF(COUNTIF(Settings!$AC$2:$AC$6,E395)&gt;0,Settings!$AA$20,Settings!$AA$21)))</f>
        <v/>
      </c>
      <c r="U395" s="44" t="str">
        <f aca="false">IF(D395="","",IF(COUNTA(N395:S395)=0,"Not scored",IF(COUNTA(N395:S395)&lt;6,"Partly scored ("&amp;COUNTA(N395:S395)&amp;"/6)",IF(T395&gt;=Settings!$S$8,"Hot",IF(T395&gt;=Settings!$S$9,"Warm","Cold")))))</f>
        <v/>
      </c>
      <c r="V395" s="44" t="str">
        <f aca="false">IF(D395="","",IF(AND(N395="No",P395="No"),"🚩 Budget  ·  🚩 No one on camera",IF(N395="No","🚩 Budget under AED 5k",IF(P395="No","🚩 No one on camera",""))))</f>
        <v/>
      </c>
      <c r="W395" s="17"/>
      <c r="X395" s="17"/>
      <c r="Y395" s="40"/>
      <c r="Z395" s="17"/>
      <c r="AA395" s="45" t="str">
        <f aca="false">IF(OR(D395="",Y395="",OR(X395="Contract signed + paid",X395="Closed – No response",X395="Lost"),N(Z395)&gt;=Settings!$S$3),"",Y395+Settings!$S$2)</f>
        <v/>
      </c>
      <c r="AB395" s="40"/>
      <c r="AC395" s="41"/>
      <c r="AD395" s="17"/>
      <c r="AE395" s="17"/>
      <c r="AF395" s="17"/>
      <c r="AG395" s="46" t="str">
        <f aca="true">IF(OR(D395="",B395=""),"",INT(TODAY()-B395))</f>
        <v/>
      </c>
      <c r="AH395" s="44" t="str">
        <f aca="true">IF(D395="","",IF(OR(COUNTIFS(Clients!$C$2:$C$501,D395,Clients!$S$2:$S$501,"Paid")&gt;0,AND(H395&lt;&gt;"",COUNTIFS(Clients!$E$2:$E$501,H395,Clients!$S$2:$S$501,"Paid")&gt;0)),"⚠ Refunded before – no free video",IF(OR(X395="Contract signed + paid",X395="Closed – No response",X395="Lost"),"",IF(X395="","Set a stage",IF(AND(X395="Proposal sent",COUNTA(N395:S395)&lt;6),"Score this lead – proposal sent unscored",IF(N(Z395)&gt;=Settings!$S$3,"Close – 4 follow-ups sent",IF(AA395="",IF(Y395="","Make first contact",""),IF(TODAY()&gt;AA395,"OVERDUE follow-up",IF(TODAY()=AA395,"Follow up today","")))))))))</f>
        <v/>
      </c>
    </row>
    <row r="396" customFormat="false" ht="15" hidden="false" customHeight="false" outlineLevel="0" collapsed="false">
      <c r="A396" s="17"/>
      <c r="B396" s="40"/>
      <c r="C396" s="17"/>
      <c r="D396" s="17"/>
      <c r="E396" s="17"/>
      <c r="F396" s="17"/>
      <c r="G396" s="17"/>
      <c r="H396" s="42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44" t="str">
        <f aca="false">IF(OR(D396="",COUNTA(N396:S396)=0),"",SUMIFS(Settings!$AA$2:$AA$21,Settings!$Y$2:$Y$21,"Budget AED 5k+/mo?",Settings!$Z$2:$Z$21,N396)+SUMIFS(Settings!$AA$2:$AA$21,Settings!$Y$2:$Y$21,"Decision-maker?",Settings!$Z$2:$Z$21,O396)+SUMIFS(Settings!$AA$2:$AA$21,Settings!$Y$2:$Y$21,"Someone on camera?",Settings!$Z$2:$Z$21,P396)+SUMIFS(Settings!$AA$2:$AA$21,Settings!$Y$2:$Y$21,"OK with 3-month term?",Settings!$Z$2:$Z$21,Q396)+SUMIFS(Settings!$AA$2:$AA$21,Settings!$Y$2:$Y$21,"Start timeline",Settings!$Z$2:$Z$21,R396)+SUMIFS(Settings!$AA$2:$AA$21,Settings!$Y$2:$Y$21,"Social media gap",Settings!$Z$2:$Z$21,S396)+IF(E396="",0,IF(COUNTIF(Settings!$AC$2:$AC$6,E396)&gt;0,Settings!$AA$20,Settings!$AA$21)))</f>
        <v/>
      </c>
      <c r="U396" s="44" t="str">
        <f aca="false">IF(D396="","",IF(COUNTA(N396:S396)=0,"Not scored",IF(COUNTA(N396:S396)&lt;6,"Partly scored ("&amp;COUNTA(N396:S396)&amp;"/6)",IF(T396&gt;=Settings!$S$8,"Hot",IF(T396&gt;=Settings!$S$9,"Warm","Cold")))))</f>
        <v/>
      </c>
      <c r="V396" s="44" t="str">
        <f aca="false">IF(D396="","",IF(AND(N396="No",P396="No"),"🚩 Budget  ·  🚩 No one on camera",IF(N396="No","🚩 Budget under AED 5k",IF(P396="No","🚩 No one on camera",""))))</f>
        <v/>
      </c>
      <c r="W396" s="17"/>
      <c r="X396" s="17"/>
      <c r="Y396" s="40"/>
      <c r="Z396" s="17"/>
      <c r="AA396" s="45" t="str">
        <f aca="false">IF(OR(D396="",Y396="",OR(X396="Contract signed + paid",X396="Closed – No response",X396="Lost"),N(Z396)&gt;=Settings!$S$3),"",Y396+Settings!$S$2)</f>
        <v/>
      </c>
      <c r="AB396" s="40"/>
      <c r="AC396" s="41"/>
      <c r="AD396" s="17"/>
      <c r="AE396" s="17"/>
      <c r="AF396" s="17"/>
      <c r="AG396" s="46" t="str">
        <f aca="true">IF(OR(D396="",B396=""),"",INT(TODAY()-B396))</f>
        <v/>
      </c>
      <c r="AH396" s="44" t="str">
        <f aca="true">IF(D396="","",IF(OR(COUNTIFS(Clients!$C$2:$C$501,D396,Clients!$S$2:$S$501,"Paid")&gt;0,AND(H396&lt;&gt;"",COUNTIFS(Clients!$E$2:$E$501,H396,Clients!$S$2:$S$501,"Paid")&gt;0)),"⚠ Refunded before – no free video",IF(OR(X396="Contract signed + paid",X396="Closed – No response",X396="Lost"),"",IF(X396="","Set a stage",IF(AND(X396="Proposal sent",COUNTA(N396:S396)&lt;6),"Score this lead – proposal sent unscored",IF(N(Z396)&gt;=Settings!$S$3,"Close – 4 follow-ups sent",IF(AA396="",IF(Y396="","Make first contact",""),IF(TODAY()&gt;AA396,"OVERDUE follow-up",IF(TODAY()=AA396,"Follow up today","")))))))))</f>
        <v/>
      </c>
    </row>
    <row r="397" customFormat="false" ht="15" hidden="false" customHeight="false" outlineLevel="0" collapsed="false">
      <c r="A397" s="17"/>
      <c r="B397" s="40"/>
      <c r="C397" s="17"/>
      <c r="D397" s="17"/>
      <c r="E397" s="17"/>
      <c r="F397" s="17"/>
      <c r="G397" s="17"/>
      <c r="H397" s="42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44" t="str">
        <f aca="false">IF(OR(D397="",COUNTA(N397:S397)=0),"",SUMIFS(Settings!$AA$2:$AA$21,Settings!$Y$2:$Y$21,"Budget AED 5k+/mo?",Settings!$Z$2:$Z$21,N397)+SUMIFS(Settings!$AA$2:$AA$21,Settings!$Y$2:$Y$21,"Decision-maker?",Settings!$Z$2:$Z$21,O397)+SUMIFS(Settings!$AA$2:$AA$21,Settings!$Y$2:$Y$21,"Someone on camera?",Settings!$Z$2:$Z$21,P397)+SUMIFS(Settings!$AA$2:$AA$21,Settings!$Y$2:$Y$21,"OK with 3-month term?",Settings!$Z$2:$Z$21,Q397)+SUMIFS(Settings!$AA$2:$AA$21,Settings!$Y$2:$Y$21,"Start timeline",Settings!$Z$2:$Z$21,R397)+SUMIFS(Settings!$AA$2:$AA$21,Settings!$Y$2:$Y$21,"Social media gap",Settings!$Z$2:$Z$21,S397)+IF(E397="",0,IF(COUNTIF(Settings!$AC$2:$AC$6,E397)&gt;0,Settings!$AA$20,Settings!$AA$21)))</f>
        <v/>
      </c>
      <c r="U397" s="44" t="str">
        <f aca="false">IF(D397="","",IF(COUNTA(N397:S397)=0,"Not scored",IF(COUNTA(N397:S397)&lt;6,"Partly scored ("&amp;COUNTA(N397:S397)&amp;"/6)",IF(T397&gt;=Settings!$S$8,"Hot",IF(T397&gt;=Settings!$S$9,"Warm","Cold")))))</f>
        <v/>
      </c>
      <c r="V397" s="44" t="str">
        <f aca="false">IF(D397="","",IF(AND(N397="No",P397="No"),"🚩 Budget  ·  🚩 No one on camera",IF(N397="No","🚩 Budget under AED 5k",IF(P397="No","🚩 No one on camera",""))))</f>
        <v/>
      </c>
      <c r="W397" s="17"/>
      <c r="X397" s="17"/>
      <c r="Y397" s="40"/>
      <c r="Z397" s="17"/>
      <c r="AA397" s="45" t="str">
        <f aca="false">IF(OR(D397="",Y397="",OR(X397="Contract signed + paid",X397="Closed – No response",X397="Lost"),N(Z397)&gt;=Settings!$S$3),"",Y397+Settings!$S$2)</f>
        <v/>
      </c>
      <c r="AB397" s="40"/>
      <c r="AC397" s="41"/>
      <c r="AD397" s="17"/>
      <c r="AE397" s="17"/>
      <c r="AF397" s="17"/>
      <c r="AG397" s="46" t="str">
        <f aca="true">IF(OR(D397="",B397=""),"",INT(TODAY()-B397))</f>
        <v/>
      </c>
      <c r="AH397" s="44" t="str">
        <f aca="true">IF(D397="","",IF(OR(COUNTIFS(Clients!$C$2:$C$501,D397,Clients!$S$2:$S$501,"Paid")&gt;0,AND(H397&lt;&gt;"",COUNTIFS(Clients!$E$2:$E$501,H397,Clients!$S$2:$S$501,"Paid")&gt;0)),"⚠ Refunded before – no free video",IF(OR(X397="Contract signed + paid",X397="Closed – No response",X397="Lost"),"",IF(X397="","Set a stage",IF(AND(X397="Proposal sent",COUNTA(N397:S397)&lt;6),"Score this lead – proposal sent unscored",IF(N(Z397)&gt;=Settings!$S$3,"Close – 4 follow-ups sent",IF(AA397="",IF(Y397="","Make first contact",""),IF(TODAY()&gt;AA397,"OVERDUE follow-up",IF(TODAY()=AA397,"Follow up today","")))))))))</f>
        <v/>
      </c>
    </row>
    <row r="398" customFormat="false" ht="15" hidden="false" customHeight="false" outlineLevel="0" collapsed="false">
      <c r="A398" s="17"/>
      <c r="B398" s="40"/>
      <c r="C398" s="17"/>
      <c r="D398" s="17"/>
      <c r="E398" s="17"/>
      <c r="F398" s="17"/>
      <c r="G398" s="17"/>
      <c r="H398" s="42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44" t="str">
        <f aca="false">IF(OR(D398="",COUNTA(N398:S398)=0),"",SUMIFS(Settings!$AA$2:$AA$21,Settings!$Y$2:$Y$21,"Budget AED 5k+/mo?",Settings!$Z$2:$Z$21,N398)+SUMIFS(Settings!$AA$2:$AA$21,Settings!$Y$2:$Y$21,"Decision-maker?",Settings!$Z$2:$Z$21,O398)+SUMIFS(Settings!$AA$2:$AA$21,Settings!$Y$2:$Y$21,"Someone on camera?",Settings!$Z$2:$Z$21,P398)+SUMIFS(Settings!$AA$2:$AA$21,Settings!$Y$2:$Y$21,"OK with 3-month term?",Settings!$Z$2:$Z$21,Q398)+SUMIFS(Settings!$AA$2:$AA$21,Settings!$Y$2:$Y$21,"Start timeline",Settings!$Z$2:$Z$21,R398)+SUMIFS(Settings!$AA$2:$AA$21,Settings!$Y$2:$Y$21,"Social media gap",Settings!$Z$2:$Z$21,S398)+IF(E398="",0,IF(COUNTIF(Settings!$AC$2:$AC$6,E398)&gt;0,Settings!$AA$20,Settings!$AA$21)))</f>
        <v/>
      </c>
      <c r="U398" s="44" t="str">
        <f aca="false">IF(D398="","",IF(COUNTA(N398:S398)=0,"Not scored",IF(COUNTA(N398:S398)&lt;6,"Partly scored ("&amp;COUNTA(N398:S398)&amp;"/6)",IF(T398&gt;=Settings!$S$8,"Hot",IF(T398&gt;=Settings!$S$9,"Warm","Cold")))))</f>
        <v/>
      </c>
      <c r="V398" s="44" t="str">
        <f aca="false">IF(D398="","",IF(AND(N398="No",P398="No"),"🚩 Budget  ·  🚩 No one on camera",IF(N398="No","🚩 Budget under AED 5k",IF(P398="No","🚩 No one on camera",""))))</f>
        <v/>
      </c>
      <c r="W398" s="17"/>
      <c r="X398" s="17"/>
      <c r="Y398" s="40"/>
      <c r="Z398" s="17"/>
      <c r="AA398" s="45" t="str">
        <f aca="false">IF(OR(D398="",Y398="",OR(X398="Contract signed + paid",X398="Closed – No response",X398="Lost"),N(Z398)&gt;=Settings!$S$3),"",Y398+Settings!$S$2)</f>
        <v/>
      </c>
      <c r="AB398" s="40"/>
      <c r="AC398" s="41"/>
      <c r="AD398" s="17"/>
      <c r="AE398" s="17"/>
      <c r="AF398" s="17"/>
      <c r="AG398" s="46" t="str">
        <f aca="true">IF(OR(D398="",B398=""),"",INT(TODAY()-B398))</f>
        <v/>
      </c>
      <c r="AH398" s="44" t="str">
        <f aca="true">IF(D398="","",IF(OR(COUNTIFS(Clients!$C$2:$C$501,D398,Clients!$S$2:$S$501,"Paid")&gt;0,AND(H398&lt;&gt;"",COUNTIFS(Clients!$E$2:$E$501,H398,Clients!$S$2:$S$501,"Paid")&gt;0)),"⚠ Refunded before – no free video",IF(OR(X398="Contract signed + paid",X398="Closed – No response",X398="Lost"),"",IF(X398="","Set a stage",IF(AND(X398="Proposal sent",COUNTA(N398:S398)&lt;6),"Score this lead – proposal sent unscored",IF(N(Z398)&gt;=Settings!$S$3,"Close – 4 follow-ups sent",IF(AA398="",IF(Y398="","Make first contact",""),IF(TODAY()&gt;AA398,"OVERDUE follow-up",IF(TODAY()=AA398,"Follow up today","")))))))))</f>
        <v/>
      </c>
    </row>
    <row r="399" customFormat="false" ht="15" hidden="false" customHeight="false" outlineLevel="0" collapsed="false">
      <c r="A399" s="17"/>
      <c r="B399" s="40"/>
      <c r="C399" s="17"/>
      <c r="D399" s="17"/>
      <c r="E399" s="17"/>
      <c r="F399" s="17"/>
      <c r="G399" s="17"/>
      <c r="H399" s="42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44" t="str">
        <f aca="false">IF(OR(D399="",COUNTA(N399:S399)=0),"",SUMIFS(Settings!$AA$2:$AA$21,Settings!$Y$2:$Y$21,"Budget AED 5k+/mo?",Settings!$Z$2:$Z$21,N399)+SUMIFS(Settings!$AA$2:$AA$21,Settings!$Y$2:$Y$21,"Decision-maker?",Settings!$Z$2:$Z$21,O399)+SUMIFS(Settings!$AA$2:$AA$21,Settings!$Y$2:$Y$21,"Someone on camera?",Settings!$Z$2:$Z$21,P399)+SUMIFS(Settings!$AA$2:$AA$21,Settings!$Y$2:$Y$21,"OK with 3-month term?",Settings!$Z$2:$Z$21,Q399)+SUMIFS(Settings!$AA$2:$AA$21,Settings!$Y$2:$Y$21,"Start timeline",Settings!$Z$2:$Z$21,R399)+SUMIFS(Settings!$AA$2:$AA$21,Settings!$Y$2:$Y$21,"Social media gap",Settings!$Z$2:$Z$21,S399)+IF(E399="",0,IF(COUNTIF(Settings!$AC$2:$AC$6,E399)&gt;0,Settings!$AA$20,Settings!$AA$21)))</f>
        <v/>
      </c>
      <c r="U399" s="44" t="str">
        <f aca="false">IF(D399="","",IF(COUNTA(N399:S399)=0,"Not scored",IF(COUNTA(N399:S399)&lt;6,"Partly scored ("&amp;COUNTA(N399:S399)&amp;"/6)",IF(T399&gt;=Settings!$S$8,"Hot",IF(T399&gt;=Settings!$S$9,"Warm","Cold")))))</f>
        <v/>
      </c>
      <c r="V399" s="44" t="str">
        <f aca="false">IF(D399="","",IF(AND(N399="No",P399="No"),"🚩 Budget  ·  🚩 No one on camera",IF(N399="No","🚩 Budget under AED 5k",IF(P399="No","🚩 No one on camera",""))))</f>
        <v/>
      </c>
      <c r="W399" s="17"/>
      <c r="X399" s="17"/>
      <c r="Y399" s="40"/>
      <c r="Z399" s="17"/>
      <c r="AA399" s="45" t="str">
        <f aca="false">IF(OR(D399="",Y399="",OR(X399="Contract signed + paid",X399="Closed – No response",X399="Lost"),N(Z399)&gt;=Settings!$S$3),"",Y399+Settings!$S$2)</f>
        <v/>
      </c>
      <c r="AB399" s="40"/>
      <c r="AC399" s="41"/>
      <c r="AD399" s="17"/>
      <c r="AE399" s="17"/>
      <c r="AF399" s="17"/>
      <c r="AG399" s="46" t="str">
        <f aca="true">IF(OR(D399="",B399=""),"",INT(TODAY()-B399))</f>
        <v/>
      </c>
      <c r="AH399" s="44" t="str">
        <f aca="true">IF(D399="","",IF(OR(COUNTIFS(Clients!$C$2:$C$501,D399,Clients!$S$2:$S$501,"Paid")&gt;0,AND(H399&lt;&gt;"",COUNTIFS(Clients!$E$2:$E$501,H399,Clients!$S$2:$S$501,"Paid")&gt;0)),"⚠ Refunded before – no free video",IF(OR(X399="Contract signed + paid",X399="Closed – No response",X399="Lost"),"",IF(X399="","Set a stage",IF(AND(X399="Proposal sent",COUNTA(N399:S399)&lt;6),"Score this lead – proposal sent unscored",IF(N(Z399)&gt;=Settings!$S$3,"Close – 4 follow-ups sent",IF(AA399="",IF(Y399="","Make first contact",""),IF(TODAY()&gt;AA399,"OVERDUE follow-up",IF(TODAY()=AA399,"Follow up today","")))))))))</f>
        <v/>
      </c>
    </row>
    <row r="400" customFormat="false" ht="15" hidden="false" customHeight="false" outlineLevel="0" collapsed="false">
      <c r="A400" s="17"/>
      <c r="B400" s="40"/>
      <c r="C400" s="17"/>
      <c r="D400" s="17"/>
      <c r="E400" s="17"/>
      <c r="F400" s="17"/>
      <c r="G400" s="17"/>
      <c r="H400" s="42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44" t="str">
        <f aca="false">IF(OR(D400="",COUNTA(N400:S400)=0),"",SUMIFS(Settings!$AA$2:$AA$21,Settings!$Y$2:$Y$21,"Budget AED 5k+/mo?",Settings!$Z$2:$Z$21,N400)+SUMIFS(Settings!$AA$2:$AA$21,Settings!$Y$2:$Y$21,"Decision-maker?",Settings!$Z$2:$Z$21,O400)+SUMIFS(Settings!$AA$2:$AA$21,Settings!$Y$2:$Y$21,"Someone on camera?",Settings!$Z$2:$Z$21,P400)+SUMIFS(Settings!$AA$2:$AA$21,Settings!$Y$2:$Y$21,"OK with 3-month term?",Settings!$Z$2:$Z$21,Q400)+SUMIFS(Settings!$AA$2:$AA$21,Settings!$Y$2:$Y$21,"Start timeline",Settings!$Z$2:$Z$21,R400)+SUMIFS(Settings!$AA$2:$AA$21,Settings!$Y$2:$Y$21,"Social media gap",Settings!$Z$2:$Z$21,S400)+IF(E400="",0,IF(COUNTIF(Settings!$AC$2:$AC$6,E400)&gt;0,Settings!$AA$20,Settings!$AA$21)))</f>
        <v/>
      </c>
      <c r="U400" s="44" t="str">
        <f aca="false">IF(D400="","",IF(COUNTA(N400:S400)=0,"Not scored",IF(COUNTA(N400:S400)&lt;6,"Partly scored ("&amp;COUNTA(N400:S400)&amp;"/6)",IF(T400&gt;=Settings!$S$8,"Hot",IF(T400&gt;=Settings!$S$9,"Warm","Cold")))))</f>
        <v/>
      </c>
      <c r="V400" s="44" t="str">
        <f aca="false">IF(D400="","",IF(AND(N400="No",P400="No"),"🚩 Budget  ·  🚩 No one on camera",IF(N400="No","🚩 Budget under AED 5k",IF(P400="No","🚩 No one on camera",""))))</f>
        <v/>
      </c>
      <c r="W400" s="17"/>
      <c r="X400" s="17"/>
      <c r="Y400" s="40"/>
      <c r="Z400" s="17"/>
      <c r="AA400" s="45" t="str">
        <f aca="false">IF(OR(D400="",Y400="",OR(X400="Contract signed + paid",X400="Closed – No response",X400="Lost"),N(Z400)&gt;=Settings!$S$3),"",Y400+Settings!$S$2)</f>
        <v/>
      </c>
      <c r="AB400" s="40"/>
      <c r="AC400" s="41"/>
      <c r="AD400" s="17"/>
      <c r="AE400" s="17"/>
      <c r="AF400" s="17"/>
      <c r="AG400" s="46" t="str">
        <f aca="true">IF(OR(D400="",B400=""),"",INT(TODAY()-B400))</f>
        <v/>
      </c>
      <c r="AH400" s="44" t="str">
        <f aca="true">IF(D400="","",IF(OR(COUNTIFS(Clients!$C$2:$C$501,D400,Clients!$S$2:$S$501,"Paid")&gt;0,AND(H400&lt;&gt;"",COUNTIFS(Clients!$E$2:$E$501,H400,Clients!$S$2:$S$501,"Paid")&gt;0)),"⚠ Refunded before – no free video",IF(OR(X400="Contract signed + paid",X400="Closed – No response",X400="Lost"),"",IF(X400="","Set a stage",IF(AND(X400="Proposal sent",COUNTA(N400:S400)&lt;6),"Score this lead – proposal sent unscored",IF(N(Z400)&gt;=Settings!$S$3,"Close – 4 follow-ups sent",IF(AA400="",IF(Y400="","Make first contact",""),IF(TODAY()&gt;AA400,"OVERDUE follow-up",IF(TODAY()=AA400,"Follow up today","")))))))))</f>
        <v/>
      </c>
    </row>
    <row r="401" customFormat="false" ht="15" hidden="false" customHeight="false" outlineLevel="0" collapsed="false">
      <c r="A401" s="17"/>
      <c r="B401" s="40"/>
      <c r="C401" s="17"/>
      <c r="D401" s="17"/>
      <c r="E401" s="17"/>
      <c r="F401" s="17"/>
      <c r="G401" s="17"/>
      <c r="H401" s="42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44" t="str">
        <f aca="false">IF(OR(D401="",COUNTA(N401:S401)=0),"",SUMIFS(Settings!$AA$2:$AA$21,Settings!$Y$2:$Y$21,"Budget AED 5k+/mo?",Settings!$Z$2:$Z$21,N401)+SUMIFS(Settings!$AA$2:$AA$21,Settings!$Y$2:$Y$21,"Decision-maker?",Settings!$Z$2:$Z$21,O401)+SUMIFS(Settings!$AA$2:$AA$21,Settings!$Y$2:$Y$21,"Someone on camera?",Settings!$Z$2:$Z$21,P401)+SUMIFS(Settings!$AA$2:$AA$21,Settings!$Y$2:$Y$21,"OK with 3-month term?",Settings!$Z$2:$Z$21,Q401)+SUMIFS(Settings!$AA$2:$AA$21,Settings!$Y$2:$Y$21,"Start timeline",Settings!$Z$2:$Z$21,R401)+SUMIFS(Settings!$AA$2:$AA$21,Settings!$Y$2:$Y$21,"Social media gap",Settings!$Z$2:$Z$21,S401)+IF(E401="",0,IF(COUNTIF(Settings!$AC$2:$AC$6,E401)&gt;0,Settings!$AA$20,Settings!$AA$21)))</f>
        <v/>
      </c>
      <c r="U401" s="44" t="str">
        <f aca="false">IF(D401="","",IF(COUNTA(N401:S401)=0,"Not scored",IF(COUNTA(N401:S401)&lt;6,"Partly scored ("&amp;COUNTA(N401:S401)&amp;"/6)",IF(T401&gt;=Settings!$S$8,"Hot",IF(T401&gt;=Settings!$S$9,"Warm","Cold")))))</f>
        <v/>
      </c>
      <c r="V401" s="44" t="str">
        <f aca="false">IF(D401="","",IF(AND(N401="No",P401="No"),"🚩 Budget  ·  🚩 No one on camera",IF(N401="No","🚩 Budget under AED 5k",IF(P401="No","🚩 No one on camera",""))))</f>
        <v/>
      </c>
      <c r="W401" s="17"/>
      <c r="X401" s="17"/>
      <c r="Y401" s="40"/>
      <c r="Z401" s="17"/>
      <c r="AA401" s="45" t="str">
        <f aca="false">IF(OR(D401="",Y401="",OR(X401="Contract signed + paid",X401="Closed – No response",X401="Lost"),N(Z401)&gt;=Settings!$S$3),"",Y401+Settings!$S$2)</f>
        <v/>
      </c>
      <c r="AB401" s="40"/>
      <c r="AC401" s="41"/>
      <c r="AD401" s="17"/>
      <c r="AE401" s="17"/>
      <c r="AF401" s="17"/>
      <c r="AG401" s="46" t="str">
        <f aca="true">IF(OR(D401="",B401=""),"",INT(TODAY()-B401))</f>
        <v/>
      </c>
      <c r="AH401" s="44" t="str">
        <f aca="true">IF(D401="","",IF(OR(COUNTIFS(Clients!$C$2:$C$501,D401,Clients!$S$2:$S$501,"Paid")&gt;0,AND(H401&lt;&gt;"",COUNTIFS(Clients!$E$2:$E$501,H401,Clients!$S$2:$S$501,"Paid")&gt;0)),"⚠ Refunded before – no free video",IF(OR(X401="Contract signed + paid",X401="Closed – No response",X401="Lost"),"",IF(X401="","Set a stage",IF(AND(X401="Proposal sent",COUNTA(N401:S401)&lt;6),"Score this lead – proposal sent unscored",IF(N(Z401)&gt;=Settings!$S$3,"Close – 4 follow-ups sent",IF(AA401="",IF(Y401="","Make first contact",""),IF(TODAY()&gt;AA401,"OVERDUE follow-up",IF(TODAY()=AA401,"Follow up today","")))))))))</f>
        <v/>
      </c>
    </row>
    <row r="402" customFormat="false" ht="15" hidden="false" customHeight="false" outlineLevel="0" collapsed="false">
      <c r="A402" s="17"/>
      <c r="B402" s="40"/>
      <c r="C402" s="17"/>
      <c r="D402" s="17"/>
      <c r="E402" s="17"/>
      <c r="F402" s="17"/>
      <c r="G402" s="17"/>
      <c r="H402" s="42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44" t="str">
        <f aca="false">IF(OR(D402="",COUNTA(N402:S402)=0),"",SUMIFS(Settings!$AA$2:$AA$21,Settings!$Y$2:$Y$21,"Budget AED 5k+/mo?",Settings!$Z$2:$Z$21,N402)+SUMIFS(Settings!$AA$2:$AA$21,Settings!$Y$2:$Y$21,"Decision-maker?",Settings!$Z$2:$Z$21,O402)+SUMIFS(Settings!$AA$2:$AA$21,Settings!$Y$2:$Y$21,"Someone on camera?",Settings!$Z$2:$Z$21,P402)+SUMIFS(Settings!$AA$2:$AA$21,Settings!$Y$2:$Y$21,"OK with 3-month term?",Settings!$Z$2:$Z$21,Q402)+SUMIFS(Settings!$AA$2:$AA$21,Settings!$Y$2:$Y$21,"Start timeline",Settings!$Z$2:$Z$21,R402)+SUMIFS(Settings!$AA$2:$AA$21,Settings!$Y$2:$Y$21,"Social media gap",Settings!$Z$2:$Z$21,S402)+IF(E402="",0,IF(COUNTIF(Settings!$AC$2:$AC$6,E402)&gt;0,Settings!$AA$20,Settings!$AA$21)))</f>
        <v/>
      </c>
      <c r="U402" s="44" t="str">
        <f aca="false">IF(D402="","",IF(COUNTA(N402:S402)=0,"Not scored",IF(COUNTA(N402:S402)&lt;6,"Partly scored ("&amp;COUNTA(N402:S402)&amp;"/6)",IF(T402&gt;=Settings!$S$8,"Hot",IF(T402&gt;=Settings!$S$9,"Warm","Cold")))))</f>
        <v/>
      </c>
      <c r="V402" s="44" t="str">
        <f aca="false">IF(D402="","",IF(AND(N402="No",P402="No"),"🚩 Budget  ·  🚩 No one on camera",IF(N402="No","🚩 Budget under AED 5k",IF(P402="No","🚩 No one on camera",""))))</f>
        <v/>
      </c>
      <c r="W402" s="17"/>
      <c r="X402" s="17"/>
      <c r="Y402" s="40"/>
      <c r="Z402" s="17"/>
      <c r="AA402" s="45" t="str">
        <f aca="false">IF(OR(D402="",Y402="",OR(X402="Contract signed + paid",X402="Closed – No response",X402="Lost"),N(Z402)&gt;=Settings!$S$3),"",Y402+Settings!$S$2)</f>
        <v/>
      </c>
      <c r="AB402" s="40"/>
      <c r="AC402" s="41"/>
      <c r="AD402" s="17"/>
      <c r="AE402" s="17"/>
      <c r="AF402" s="17"/>
      <c r="AG402" s="46" t="str">
        <f aca="true">IF(OR(D402="",B402=""),"",INT(TODAY()-B402))</f>
        <v/>
      </c>
      <c r="AH402" s="44" t="str">
        <f aca="true">IF(D402="","",IF(OR(COUNTIFS(Clients!$C$2:$C$501,D402,Clients!$S$2:$S$501,"Paid")&gt;0,AND(H402&lt;&gt;"",COUNTIFS(Clients!$E$2:$E$501,H402,Clients!$S$2:$S$501,"Paid")&gt;0)),"⚠ Refunded before – no free video",IF(OR(X402="Contract signed + paid",X402="Closed – No response",X402="Lost"),"",IF(X402="","Set a stage",IF(AND(X402="Proposal sent",COUNTA(N402:S402)&lt;6),"Score this lead – proposal sent unscored",IF(N(Z402)&gt;=Settings!$S$3,"Close – 4 follow-ups sent",IF(AA402="",IF(Y402="","Make first contact",""),IF(TODAY()&gt;AA402,"OVERDUE follow-up",IF(TODAY()=AA402,"Follow up today","")))))))))</f>
        <v/>
      </c>
    </row>
    <row r="403" customFormat="false" ht="15" hidden="false" customHeight="false" outlineLevel="0" collapsed="false">
      <c r="A403" s="17"/>
      <c r="B403" s="40"/>
      <c r="C403" s="17"/>
      <c r="D403" s="17"/>
      <c r="E403" s="17"/>
      <c r="F403" s="17"/>
      <c r="G403" s="17"/>
      <c r="H403" s="42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44" t="str">
        <f aca="false">IF(OR(D403="",COUNTA(N403:S403)=0),"",SUMIFS(Settings!$AA$2:$AA$21,Settings!$Y$2:$Y$21,"Budget AED 5k+/mo?",Settings!$Z$2:$Z$21,N403)+SUMIFS(Settings!$AA$2:$AA$21,Settings!$Y$2:$Y$21,"Decision-maker?",Settings!$Z$2:$Z$21,O403)+SUMIFS(Settings!$AA$2:$AA$21,Settings!$Y$2:$Y$21,"Someone on camera?",Settings!$Z$2:$Z$21,P403)+SUMIFS(Settings!$AA$2:$AA$21,Settings!$Y$2:$Y$21,"OK with 3-month term?",Settings!$Z$2:$Z$21,Q403)+SUMIFS(Settings!$AA$2:$AA$21,Settings!$Y$2:$Y$21,"Start timeline",Settings!$Z$2:$Z$21,R403)+SUMIFS(Settings!$AA$2:$AA$21,Settings!$Y$2:$Y$21,"Social media gap",Settings!$Z$2:$Z$21,S403)+IF(E403="",0,IF(COUNTIF(Settings!$AC$2:$AC$6,E403)&gt;0,Settings!$AA$20,Settings!$AA$21)))</f>
        <v/>
      </c>
      <c r="U403" s="44" t="str">
        <f aca="false">IF(D403="","",IF(COUNTA(N403:S403)=0,"Not scored",IF(COUNTA(N403:S403)&lt;6,"Partly scored ("&amp;COUNTA(N403:S403)&amp;"/6)",IF(T403&gt;=Settings!$S$8,"Hot",IF(T403&gt;=Settings!$S$9,"Warm","Cold")))))</f>
        <v/>
      </c>
      <c r="V403" s="44" t="str">
        <f aca="false">IF(D403="","",IF(AND(N403="No",P403="No"),"🚩 Budget  ·  🚩 No one on camera",IF(N403="No","🚩 Budget under AED 5k",IF(P403="No","🚩 No one on camera",""))))</f>
        <v/>
      </c>
      <c r="W403" s="17"/>
      <c r="X403" s="17"/>
      <c r="Y403" s="40"/>
      <c r="Z403" s="17"/>
      <c r="AA403" s="45" t="str">
        <f aca="false">IF(OR(D403="",Y403="",OR(X403="Contract signed + paid",X403="Closed – No response",X403="Lost"),N(Z403)&gt;=Settings!$S$3),"",Y403+Settings!$S$2)</f>
        <v/>
      </c>
      <c r="AB403" s="40"/>
      <c r="AC403" s="41"/>
      <c r="AD403" s="17"/>
      <c r="AE403" s="17"/>
      <c r="AF403" s="17"/>
      <c r="AG403" s="46" t="str">
        <f aca="true">IF(OR(D403="",B403=""),"",INT(TODAY()-B403))</f>
        <v/>
      </c>
      <c r="AH403" s="44" t="str">
        <f aca="true">IF(D403="","",IF(OR(COUNTIFS(Clients!$C$2:$C$501,D403,Clients!$S$2:$S$501,"Paid")&gt;0,AND(H403&lt;&gt;"",COUNTIFS(Clients!$E$2:$E$501,H403,Clients!$S$2:$S$501,"Paid")&gt;0)),"⚠ Refunded before – no free video",IF(OR(X403="Contract signed + paid",X403="Closed – No response",X403="Lost"),"",IF(X403="","Set a stage",IF(AND(X403="Proposal sent",COUNTA(N403:S403)&lt;6),"Score this lead – proposal sent unscored",IF(N(Z403)&gt;=Settings!$S$3,"Close – 4 follow-ups sent",IF(AA403="",IF(Y403="","Make first contact",""),IF(TODAY()&gt;AA403,"OVERDUE follow-up",IF(TODAY()=AA403,"Follow up today","")))))))))</f>
        <v/>
      </c>
    </row>
    <row r="404" customFormat="false" ht="15" hidden="false" customHeight="false" outlineLevel="0" collapsed="false">
      <c r="A404" s="17"/>
      <c r="B404" s="40"/>
      <c r="C404" s="17"/>
      <c r="D404" s="17"/>
      <c r="E404" s="17"/>
      <c r="F404" s="17"/>
      <c r="G404" s="17"/>
      <c r="H404" s="42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44" t="str">
        <f aca="false">IF(OR(D404="",COUNTA(N404:S404)=0),"",SUMIFS(Settings!$AA$2:$AA$21,Settings!$Y$2:$Y$21,"Budget AED 5k+/mo?",Settings!$Z$2:$Z$21,N404)+SUMIFS(Settings!$AA$2:$AA$21,Settings!$Y$2:$Y$21,"Decision-maker?",Settings!$Z$2:$Z$21,O404)+SUMIFS(Settings!$AA$2:$AA$21,Settings!$Y$2:$Y$21,"Someone on camera?",Settings!$Z$2:$Z$21,P404)+SUMIFS(Settings!$AA$2:$AA$21,Settings!$Y$2:$Y$21,"OK with 3-month term?",Settings!$Z$2:$Z$21,Q404)+SUMIFS(Settings!$AA$2:$AA$21,Settings!$Y$2:$Y$21,"Start timeline",Settings!$Z$2:$Z$21,R404)+SUMIFS(Settings!$AA$2:$AA$21,Settings!$Y$2:$Y$21,"Social media gap",Settings!$Z$2:$Z$21,S404)+IF(E404="",0,IF(COUNTIF(Settings!$AC$2:$AC$6,E404)&gt;0,Settings!$AA$20,Settings!$AA$21)))</f>
        <v/>
      </c>
      <c r="U404" s="44" t="str">
        <f aca="false">IF(D404="","",IF(COUNTA(N404:S404)=0,"Not scored",IF(COUNTA(N404:S404)&lt;6,"Partly scored ("&amp;COUNTA(N404:S404)&amp;"/6)",IF(T404&gt;=Settings!$S$8,"Hot",IF(T404&gt;=Settings!$S$9,"Warm","Cold")))))</f>
        <v/>
      </c>
      <c r="V404" s="44" t="str">
        <f aca="false">IF(D404="","",IF(AND(N404="No",P404="No"),"🚩 Budget  ·  🚩 No one on camera",IF(N404="No","🚩 Budget under AED 5k",IF(P404="No","🚩 No one on camera",""))))</f>
        <v/>
      </c>
      <c r="W404" s="17"/>
      <c r="X404" s="17"/>
      <c r="Y404" s="40"/>
      <c r="Z404" s="17"/>
      <c r="AA404" s="45" t="str">
        <f aca="false">IF(OR(D404="",Y404="",OR(X404="Contract signed + paid",X404="Closed – No response",X404="Lost"),N(Z404)&gt;=Settings!$S$3),"",Y404+Settings!$S$2)</f>
        <v/>
      </c>
      <c r="AB404" s="40"/>
      <c r="AC404" s="41"/>
      <c r="AD404" s="17"/>
      <c r="AE404" s="17"/>
      <c r="AF404" s="17"/>
      <c r="AG404" s="46" t="str">
        <f aca="true">IF(OR(D404="",B404=""),"",INT(TODAY()-B404))</f>
        <v/>
      </c>
      <c r="AH404" s="44" t="str">
        <f aca="true">IF(D404="","",IF(OR(COUNTIFS(Clients!$C$2:$C$501,D404,Clients!$S$2:$S$501,"Paid")&gt;0,AND(H404&lt;&gt;"",COUNTIFS(Clients!$E$2:$E$501,H404,Clients!$S$2:$S$501,"Paid")&gt;0)),"⚠ Refunded before – no free video",IF(OR(X404="Contract signed + paid",X404="Closed – No response",X404="Lost"),"",IF(X404="","Set a stage",IF(AND(X404="Proposal sent",COUNTA(N404:S404)&lt;6),"Score this lead – proposal sent unscored",IF(N(Z404)&gt;=Settings!$S$3,"Close – 4 follow-ups sent",IF(AA404="",IF(Y404="","Make first contact",""),IF(TODAY()&gt;AA404,"OVERDUE follow-up",IF(TODAY()=AA404,"Follow up today","")))))))))</f>
        <v/>
      </c>
    </row>
    <row r="405" customFormat="false" ht="15" hidden="false" customHeight="false" outlineLevel="0" collapsed="false">
      <c r="A405" s="17"/>
      <c r="B405" s="40"/>
      <c r="C405" s="17"/>
      <c r="D405" s="17"/>
      <c r="E405" s="17"/>
      <c r="F405" s="17"/>
      <c r="G405" s="17"/>
      <c r="H405" s="42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44" t="str">
        <f aca="false">IF(OR(D405="",COUNTA(N405:S405)=0),"",SUMIFS(Settings!$AA$2:$AA$21,Settings!$Y$2:$Y$21,"Budget AED 5k+/mo?",Settings!$Z$2:$Z$21,N405)+SUMIFS(Settings!$AA$2:$AA$21,Settings!$Y$2:$Y$21,"Decision-maker?",Settings!$Z$2:$Z$21,O405)+SUMIFS(Settings!$AA$2:$AA$21,Settings!$Y$2:$Y$21,"Someone on camera?",Settings!$Z$2:$Z$21,P405)+SUMIFS(Settings!$AA$2:$AA$21,Settings!$Y$2:$Y$21,"OK with 3-month term?",Settings!$Z$2:$Z$21,Q405)+SUMIFS(Settings!$AA$2:$AA$21,Settings!$Y$2:$Y$21,"Start timeline",Settings!$Z$2:$Z$21,R405)+SUMIFS(Settings!$AA$2:$AA$21,Settings!$Y$2:$Y$21,"Social media gap",Settings!$Z$2:$Z$21,S405)+IF(E405="",0,IF(COUNTIF(Settings!$AC$2:$AC$6,E405)&gt;0,Settings!$AA$20,Settings!$AA$21)))</f>
        <v/>
      </c>
      <c r="U405" s="44" t="str">
        <f aca="false">IF(D405="","",IF(COUNTA(N405:S405)=0,"Not scored",IF(COUNTA(N405:S405)&lt;6,"Partly scored ("&amp;COUNTA(N405:S405)&amp;"/6)",IF(T405&gt;=Settings!$S$8,"Hot",IF(T405&gt;=Settings!$S$9,"Warm","Cold")))))</f>
        <v/>
      </c>
      <c r="V405" s="44" t="str">
        <f aca="false">IF(D405="","",IF(AND(N405="No",P405="No"),"🚩 Budget  ·  🚩 No one on camera",IF(N405="No","🚩 Budget under AED 5k",IF(P405="No","🚩 No one on camera",""))))</f>
        <v/>
      </c>
      <c r="W405" s="17"/>
      <c r="X405" s="17"/>
      <c r="Y405" s="40"/>
      <c r="Z405" s="17"/>
      <c r="AA405" s="45" t="str">
        <f aca="false">IF(OR(D405="",Y405="",OR(X405="Contract signed + paid",X405="Closed – No response",X405="Lost"),N(Z405)&gt;=Settings!$S$3),"",Y405+Settings!$S$2)</f>
        <v/>
      </c>
      <c r="AB405" s="40"/>
      <c r="AC405" s="41"/>
      <c r="AD405" s="17"/>
      <c r="AE405" s="17"/>
      <c r="AF405" s="17"/>
      <c r="AG405" s="46" t="str">
        <f aca="true">IF(OR(D405="",B405=""),"",INT(TODAY()-B405))</f>
        <v/>
      </c>
      <c r="AH405" s="44" t="str">
        <f aca="true">IF(D405="","",IF(OR(COUNTIFS(Clients!$C$2:$C$501,D405,Clients!$S$2:$S$501,"Paid")&gt;0,AND(H405&lt;&gt;"",COUNTIFS(Clients!$E$2:$E$501,H405,Clients!$S$2:$S$501,"Paid")&gt;0)),"⚠ Refunded before – no free video",IF(OR(X405="Contract signed + paid",X405="Closed – No response",X405="Lost"),"",IF(X405="","Set a stage",IF(AND(X405="Proposal sent",COUNTA(N405:S405)&lt;6),"Score this lead – proposal sent unscored",IF(N(Z405)&gt;=Settings!$S$3,"Close – 4 follow-ups sent",IF(AA405="",IF(Y405="","Make first contact",""),IF(TODAY()&gt;AA405,"OVERDUE follow-up",IF(TODAY()=AA405,"Follow up today","")))))))))</f>
        <v/>
      </c>
    </row>
    <row r="406" customFormat="false" ht="15" hidden="false" customHeight="false" outlineLevel="0" collapsed="false">
      <c r="A406" s="17"/>
      <c r="B406" s="40"/>
      <c r="C406" s="17"/>
      <c r="D406" s="17"/>
      <c r="E406" s="17"/>
      <c r="F406" s="17"/>
      <c r="G406" s="17"/>
      <c r="H406" s="42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44" t="str">
        <f aca="false">IF(OR(D406="",COUNTA(N406:S406)=0),"",SUMIFS(Settings!$AA$2:$AA$21,Settings!$Y$2:$Y$21,"Budget AED 5k+/mo?",Settings!$Z$2:$Z$21,N406)+SUMIFS(Settings!$AA$2:$AA$21,Settings!$Y$2:$Y$21,"Decision-maker?",Settings!$Z$2:$Z$21,O406)+SUMIFS(Settings!$AA$2:$AA$21,Settings!$Y$2:$Y$21,"Someone on camera?",Settings!$Z$2:$Z$21,P406)+SUMIFS(Settings!$AA$2:$AA$21,Settings!$Y$2:$Y$21,"OK with 3-month term?",Settings!$Z$2:$Z$21,Q406)+SUMIFS(Settings!$AA$2:$AA$21,Settings!$Y$2:$Y$21,"Start timeline",Settings!$Z$2:$Z$21,R406)+SUMIFS(Settings!$AA$2:$AA$21,Settings!$Y$2:$Y$21,"Social media gap",Settings!$Z$2:$Z$21,S406)+IF(E406="",0,IF(COUNTIF(Settings!$AC$2:$AC$6,E406)&gt;0,Settings!$AA$20,Settings!$AA$21)))</f>
        <v/>
      </c>
      <c r="U406" s="44" t="str">
        <f aca="false">IF(D406="","",IF(COUNTA(N406:S406)=0,"Not scored",IF(COUNTA(N406:S406)&lt;6,"Partly scored ("&amp;COUNTA(N406:S406)&amp;"/6)",IF(T406&gt;=Settings!$S$8,"Hot",IF(T406&gt;=Settings!$S$9,"Warm","Cold")))))</f>
        <v/>
      </c>
      <c r="V406" s="44" t="str">
        <f aca="false">IF(D406="","",IF(AND(N406="No",P406="No"),"🚩 Budget  ·  🚩 No one on camera",IF(N406="No","🚩 Budget under AED 5k",IF(P406="No","🚩 No one on camera",""))))</f>
        <v/>
      </c>
      <c r="W406" s="17"/>
      <c r="X406" s="17"/>
      <c r="Y406" s="40"/>
      <c r="Z406" s="17"/>
      <c r="AA406" s="45" t="str">
        <f aca="false">IF(OR(D406="",Y406="",OR(X406="Contract signed + paid",X406="Closed – No response",X406="Lost"),N(Z406)&gt;=Settings!$S$3),"",Y406+Settings!$S$2)</f>
        <v/>
      </c>
      <c r="AB406" s="40"/>
      <c r="AC406" s="41"/>
      <c r="AD406" s="17"/>
      <c r="AE406" s="17"/>
      <c r="AF406" s="17"/>
      <c r="AG406" s="46" t="str">
        <f aca="true">IF(OR(D406="",B406=""),"",INT(TODAY()-B406))</f>
        <v/>
      </c>
      <c r="AH406" s="44" t="str">
        <f aca="true">IF(D406="","",IF(OR(COUNTIFS(Clients!$C$2:$C$501,D406,Clients!$S$2:$S$501,"Paid")&gt;0,AND(H406&lt;&gt;"",COUNTIFS(Clients!$E$2:$E$501,H406,Clients!$S$2:$S$501,"Paid")&gt;0)),"⚠ Refunded before – no free video",IF(OR(X406="Contract signed + paid",X406="Closed – No response",X406="Lost"),"",IF(X406="","Set a stage",IF(AND(X406="Proposal sent",COUNTA(N406:S406)&lt;6),"Score this lead – proposal sent unscored",IF(N(Z406)&gt;=Settings!$S$3,"Close – 4 follow-ups sent",IF(AA406="",IF(Y406="","Make first contact",""),IF(TODAY()&gt;AA406,"OVERDUE follow-up",IF(TODAY()=AA406,"Follow up today","")))))))))</f>
        <v/>
      </c>
    </row>
    <row r="407" customFormat="false" ht="15" hidden="false" customHeight="false" outlineLevel="0" collapsed="false">
      <c r="A407" s="17"/>
      <c r="B407" s="40"/>
      <c r="C407" s="17"/>
      <c r="D407" s="17"/>
      <c r="E407" s="17"/>
      <c r="F407" s="17"/>
      <c r="G407" s="17"/>
      <c r="H407" s="42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44" t="str">
        <f aca="false">IF(OR(D407="",COUNTA(N407:S407)=0),"",SUMIFS(Settings!$AA$2:$AA$21,Settings!$Y$2:$Y$21,"Budget AED 5k+/mo?",Settings!$Z$2:$Z$21,N407)+SUMIFS(Settings!$AA$2:$AA$21,Settings!$Y$2:$Y$21,"Decision-maker?",Settings!$Z$2:$Z$21,O407)+SUMIFS(Settings!$AA$2:$AA$21,Settings!$Y$2:$Y$21,"Someone on camera?",Settings!$Z$2:$Z$21,P407)+SUMIFS(Settings!$AA$2:$AA$21,Settings!$Y$2:$Y$21,"OK with 3-month term?",Settings!$Z$2:$Z$21,Q407)+SUMIFS(Settings!$AA$2:$AA$21,Settings!$Y$2:$Y$21,"Start timeline",Settings!$Z$2:$Z$21,R407)+SUMIFS(Settings!$AA$2:$AA$21,Settings!$Y$2:$Y$21,"Social media gap",Settings!$Z$2:$Z$21,S407)+IF(E407="",0,IF(COUNTIF(Settings!$AC$2:$AC$6,E407)&gt;0,Settings!$AA$20,Settings!$AA$21)))</f>
        <v/>
      </c>
      <c r="U407" s="44" t="str">
        <f aca="false">IF(D407="","",IF(COUNTA(N407:S407)=0,"Not scored",IF(COUNTA(N407:S407)&lt;6,"Partly scored ("&amp;COUNTA(N407:S407)&amp;"/6)",IF(T407&gt;=Settings!$S$8,"Hot",IF(T407&gt;=Settings!$S$9,"Warm","Cold")))))</f>
        <v/>
      </c>
      <c r="V407" s="44" t="str">
        <f aca="false">IF(D407="","",IF(AND(N407="No",P407="No"),"🚩 Budget  ·  🚩 No one on camera",IF(N407="No","🚩 Budget under AED 5k",IF(P407="No","🚩 No one on camera",""))))</f>
        <v/>
      </c>
      <c r="W407" s="17"/>
      <c r="X407" s="17"/>
      <c r="Y407" s="40"/>
      <c r="Z407" s="17"/>
      <c r="AA407" s="45" t="str">
        <f aca="false">IF(OR(D407="",Y407="",OR(X407="Contract signed + paid",X407="Closed – No response",X407="Lost"),N(Z407)&gt;=Settings!$S$3),"",Y407+Settings!$S$2)</f>
        <v/>
      </c>
      <c r="AB407" s="40"/>
      <c r="AC407" s="41"/>
      <c r="AD407" s="17"/>
      <c r="AE407" s="17"/>
      <c r="AF407" s="17"/>
      <c r="AG407" s="46" t="str">
        <f aca="true">IF(OR(D407="",B407=""),"",INT(TODAY()-B407))</f>
        <v/>
      </c>
      <c r="AH407" s="44" t="str">
        <f aca="true">IF(D407="","",IF(OR(COUNTIFS(Clients!$C$2:$C$501,D407,Clients!$S$2:$S$501,"Paid")&gt;0,AND(H407&lt;&gt;"",COUNTIFS(Clients!$E$2:$E$501,H407,Clients!$S$2:$S$501,"Paid")&gt;0)),"⚠ Refunded before – no free video",IF(OR(X407="Contract signed + paid",X407="Closed – No response",X407="Lost"),"",IF(X407="","Set a stage",IF(AND(X407="Proposal sent",COUNTA(N407:S407)&lt;6),"Score this lead – proposal sent unscored",IF(N(Z407)&gt;=Settings!$S$3,"Close – 4 follow-ups sent",IF(AA407="",IF(Y407="","Make first contact",""),IF(TODAY()&gt;AA407,"OVERDUE follow-up",IF(TODAY()=AA407,"Follow up today","")))))))))</f>
        <v/>
      </c>
    </row>
    <row r="408" customFormat="false" ht="15" hidden="false" customHeight="false" outlineLevel="0" collapsed="false">
      <c r="A408" s="17"/>
      <c r="B408" s="40"/>
      <c r="C408" s="17"/>
      <c r="D408" s="17"/>
      <c r="E408" s="17"/>
      <c r="F408" s="17"/>
      <c r="G408" s="17"/>
      <c r="H408" s="42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44" t="str">
        <f aca="false">IF(OR(D408="",COUNTA(N408:S408)=0),"",SUMIFS(Settings!$AA$2:$AA$21,Settings!$Y$2:$Y$21,"Budget AED 5k+/mo?",Settings!$Z$2:$Z$21,N408)+SUMIFS(Settings!$AA$2:$AA$21,Settings!$Y$2:$Y$21,"Decision-maker?",Settings!$Z$2:$Z$21,O408)+SUMIFS(Settings!$AA$2:$AA$21,Settings!$Y$2:$Y$21,"Someone on camera?",Settings!$Z$2:$Z$21,P408)+SUMIFS(Settings!$AA$2:$AA$21,Settings!$Y$2:$Y$21,"OK with 3-month term?",Settings!$Z$2:$Z$21,Q408)+SUMIFS(Settings!$AA$2:$AA$21,Settings!$Y$2:$Y$21,"Start timeline",Settings!$Z$2:$Z$21,R408)+SUMIFS(Settings!$AA$2:$AA$21,Settings!$Y$2:$Y$21,"Social media gap",Settings!$Z$2:$Z$21,S408)+IF(E408="",0,IF(COUNTIF(Settings!$AC$2:$AC$6,E408)&gt;0,Settings!$AA$20,Settings!$AA$21)))</f>
        <v/>
      </c>
      <c r="U408" s="44" t="str">
        <f aca="false">IF(D408="","",IF(COUNTA(N408:S408)=0,"Not scored",IF(COUNTA(N408:S408)&lt;6,"Partly scored ("&amp;COUNTA(N408:S408)&amp;"/6)",IF(T408&gt;=Settings!$S$8,"Hot",IF(T408&gt;=Settings!$S$9,"Warm","Cold")))))</f>
        <v/>
      </c>
      <c r="V408" s="44" t="str">
        <f aca="false">IF(D408="","",IF(AND(N408="No",P408="No"),"🚩 Budget  ·  🚩 No one on camera",IF(N408="No","🚩 Budget under AED 5k",IF(P408="No","🚩 No one on camera",""))))</f>
        <v/>
      </c>
      <c r="W408" s="17"/>
      <c r="X408" s="17"/>
      <c r="Y408" s="40"/>
      <c r="Z408" s="17"/>
      <c r="AA408" s="45" t="str">
        <f aca="false">IF(OR(D408="",Y408="",OR(X408="Contract signed + paid",X408="Closed – No response",X408="Lost"),N(Z408)&gt;=Settings!$S$3),"",Y408+Settings!$S$2)</f>
        <v/>
      </c>
      <c r="AB408" s="40"/>
      <c r="AC408" s="41"/>
      <c r="AD408" s="17"/>
      <c r="AE408" s="17"/>
      <c r="AF408" s="17"/>
      <c r="AG408" s="46" t="str">
        <f aca="true">IF(OR(D408="",B408=""),"",INT(TODAY()-B408))</f>
        <v/>
      </c>
      <c r="AH408" s="44" t="str">
        <f aca="true">IF(D408="","",IF(OR(COUNTIFS(Clients!$C$2:$C$501,D408,Clients!$S$2:$S$501,"Paid")&gt;0,AND(H408&lt;&gt;"",COUNTIFS(Clients!$E$2:$E$501,H408,Clients!$S$2:$S$501,"Paid")&gt;0)),"⚠ Refunded before – no free video",IF(OR(X408="Contract signed + paid",X408="Closed – No response",X408="Lost"),"",IF(X408="","Set a stage",IF(AND(X408="Proposal sent",COUNTA(N408:S408)&lt;6),"Score this lead – proposal sent unscored",IF(N(Z408)&gt;=Settings!$S$3,"Close – 4 follow-ups sent",IF(AA408="",IF(Y408="","Make first contact",""),IF(TODAY()&gt;AA408,"OVERDUE follow-up",IF(TODAY()=AA408,"Follow up today","")))))))))</f>
        <v/>
      </c>
    </row>
    <row r="409" customFormat="false" ht="15" hidden="false" customHeight="false" outlineLevel="0" collapsed="false">
      <c r="A409" s="17"/>
      <c r="B409" s="40"/>
      <c r="C409" s="17"/>
      <c r="D409" s="17"/>
      <c r="E409" s="17"/>
      <c r="F409" s="17"/>
      <c r="G409" s="17"/>
      <c r="H409" s="42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44" t="str">
        <f aca="false">IF(OR(D409="",COUNTA(N409:S409)=0),"",SUMIFS(Settings!$AA$2:$AA$21,Settings!$Y$2:$Y$21,"Budget AED 5k+/mo?",Settings!$Z$2:$Z$21,N409)+SUMIFS(Settings!$AA$2:$AA$21,Settings!$Y$2:$Y$21,"Decision-maker?",Settings!$Z$2:$Z$21,O409)+SUMIFS(Settings!$AA$2:$AA$21,Settings!$Y$2:$Y$21,"Someone on camera?",Settings!$Z$2:$Z$21,P409)+SUMIFS(Settings!$AA$2:$AA$21,Settings!$Y$2:$Y$21,"OK with 3-month term?",Settings!$Z$2:$Z$21,Q409)+SUMIFS(Settings!$AA$2:$AA$21,Settings!$Y$2:$Y$21,"Start timeline",Settings!$Z$2:$Z$21,R409)+SUMIFS(Settings!$AA$2:$AA$21,Settings!$Y$2:$Y$21,"Social media gap",Settings!$Z$2:$Z$21,S409)+IF(E409="",0,IF(COUNTIF(Settings!$AC$2:$AC$6,E409)&gt;0,Settings!$AA$20,Settings!$AA$21)))</f>
        <v/>
      </c>
      <c r="U409" s="44" t="str">
        <f aca="false">IF(D409="","",IF(COUNTA(N409:S409)=0,"Not scored",IF(COUNTA(N409:S409)&lt;6,"Partly scored ("&amp;COUNTA(N409:S409)&amp;"/6)",IF(T409&gt;=Settings!$S$8,"Hot",IF(T409&gt;=Settings!$S$9,"Warm","Cold")))))</f>
        <v/>
      </c>
      <c r="V409" s="44" t="str">
        <f aca="false">IF(D409="","",IF(AND(N409="No",P409="No"),"🚩 Budget  ·  🚩 No one on camera",IF(N409="No","🚩 Budget under AED 5k",IF(P409="No","🚩 No one on camera",""))))</f>
        <v/>
      </c>
      <c r="W409" s="17"/>
      <c r="X409" s="17"/>
      <c r="Y409" s="40"/>
      <c r="Z409" s="17"/>
      <c r="AA409" s="45" t="str">
        <f aca="false">IF(OR(D409="",Y409="",OR(X409="Contract signed + paid",X409="Closed – No response",X409="Lost"),N(Z409)&gt;=Settings!$S$3),"",Y409+Settings!$S$2)</f>
        <v/>
      </c>
      <c r="AB409" s="40"/>
      <c r="AC409" s="41"/>
      <c r="AD409" s="17"/>
      <c r="AE409" s="17"/>
      <c r="AF409" s="17"/>
      <c r="AG409" s="46" t="str">
        <f aca="true">IF(OR(D409="",B409=""),"",INT(TODAY()-B409))</f>
        <v/>
      </c>
      <c r="AH409" s="44" t="str">
        <f aca="true">IF(D409="","",IF(OR(COUNTIFS(Clients!$C$2:$C$501,D409,Clients!$S$2:$S$501,"Paid")&gt;0,AND(H409&lt;&gt;"",COUNTIFS(Clients!$E$2:$E$501,H409,Clients!$S$2:$S$501,"Paid")&gt;0)),"⚠ Refunded before – no free video",IF(OR(X409="Contract signed + paid",X409="Closed – No response",X409="Lost"),"",IF(X409="","Set a stage",IF(AND(X409="Proposal sent",COUNTA(N409:S409)&lt;6),"Score this lead – proposal sent unscored",IF(N(Z409)&gt;=Settings!$S$3,"Close – 4 follow-ups sent",IF(AA409="",IF(Y409="","Make first contact",""),IF(TODAY()&gt;AA409,"OVERDUE follow-up",IF(TODAY()=AA409,"Follow up today","")))))))))</f>
        <v/>
      </c>
    </row>
    <row r="410" customFormat="false" ht="15" hidden="false" customHeight="false" outlineLevel="0" collapsed="false">
      <c r="A410" s="17"/>
      <c r="B410" s="40"/>
      <c r="C410" s="17"/>
      <c r="D410" s="17"/>
      <c r="E410" s="17"/>
      <c r="F410" s="17"/>
      <c r="G410" s="17"/>
      <c r="H410" s="42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44" t="str">
        <f aca="false">IF(OR(D410="",COUNTA(N410:S410)=0),"",SUMIFS(Settings!$AA$2:$AA$21,Settings!$Y$2:$Y$21,"Budget AED 5k+/mo?",Settings!$Z$2:$Z$21,N410)+SUMIFS(Settings!$AA$2:$AA$21,Settings!$Y$2:$Y$21,"Decision-maker?",Settings!$Z$2:$Z$21,O410)+SUMIFS(Settings!$AA$2:$AA$21,Settings!$Y$2:$Y$21,"Someone on camera?",Settings!$Z$2:$Z$21,P410)+SUMIFS(Settings!$AA$2:$AA$21,Settings!$Y$2:$Y$21,"OK with 3-month term?",Settings!$Z$2:$Z$21,Q410)+SUMIFS(Settings!$AA$2:$AA$21,Settings!$Y$2:$Y$21,"Start timeline",Settings!$Z$2:$Z$21,R410)+SUMIFS(Settings!$AA$2:$AA$21,Settings!$Y$2:$Y$21,"Social media gap",Settings!$Z$2:$Z$21,S410)+IF(E410="",0,IF(COUNTIF(Settings!$AC$2:$AC$6,E410)&gt;0,Settings!$AA$20,Settings!$AA$21)))</f>
        <v/>
      </c>
      <c r="U410" s="44" t="str">
        <f aca="false">IF(D410="","",IF(COUNTA(N410:S410)=0,"Not scored",IF(COUNTA(N410:S410)&lt;6,"Partly scored ("&amp;COUNTA(N410:S410)&amp;"/6)",IF(T410&gt;=Settings!$S$8,"Hot",IF(T410&gt;=Settings!$S$9,"Warm","Cold")))))</f>
        <v/>
      </c>
      <c r="V410" s="44" t="str">
        <f aca="false">IF(D410="","",IF(AND(N410="No",P410="No"),"🚩 Budget  ·  🚩 No one on camera",IF(N410="No","🚩 Budget under AED 5k",IF(P410="No","🚩 No one on camera",""))))</f>
        <v/>
      </c>
      <c r="W410" s="17"/>
      <c r="X410" s="17"/>
      <c r="Y410" s="40"/>
      <c r="Z410" s="17"/>
      <c r="AA410" s="45" t="str">
        <f aca="false">IF(OR(D410="",Y410="",OR(X410="Contract signed + paid",X410="Closed – No response",X410="Lost"),N(Z410)&gt;=Settings!$S$3),"",Y410+Settings!$S$2)</f>
        <v/>
      </c>
      <c r="AB410" s="40"/>
      <c r="AC410" s="41"/>
      <c r="AD410" s="17"/>
      <c r="AE410" s="17"/>
      <c r="AF410" s="17"/>
      <c r="AG410" s="46" t="str">
        <f aca="true">IF(OR(D410="",B410=""),"",INT(TODAY()-B410))</f>
        <v/>
      </c>
      <c r="AH410" s="44" t="str">
        <f aca="true">IF(D410="","",IF(OR(COUNTIFS(Clients!$C$2:$C$501,D410,Clients!$S$2:$S$501,"Paid")&gt;0,AND(H410&lt;&gt;"",COUNTIFS(Clients!$E$2:$E$501,H410,Clients!$S$2:$S$501,"Paid")&gt;0)),"⚠ Refunded before – no free video",IF(OR(X410="Contract signed + paid",X410="Closed – No response",X410="Lost"),"",IF(X410="","Set a stage",IF(AND(X410="Proposal sent",COUNTA(N410:S410)&lt;6),"Score this lead – proposal sent unscored",IF(N(Z410)&gt;=Settings!$S$3,"Close – 4 follow-ups sent",IF(AA410="",IF(Y410="","Make first contact",""),IF(TODAY()&gt;AA410,"OVERDUE follow-up",IF(TODAY()=AA410,"Follow up today","")))))))))</f>
        <v/>
      </c>
    </row>
    <row r="411" customFormat="false" ht="15" hidden="false" customHeight="false" outlineLevel="0" collapsed="false">
      <c r="A411" s="17"/>
      <c r="B411" s="40"/>
      <c r="C411" s="17"/>
      <c r="D411" s="17"/>
      <c r="E411" s="17"/>
      <c r="F411" s="17"/>
      <c r="G411" s="17"/>
      <c r="H411" s="42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44" t="str">
        <f aca="false">IF(OR(D411="",COUNTA(N411:S411)=0),"",SUMIFS(Settings!$AA$2:$AA$21,Settings!$Y$2:$Y$21,"Budget AED 5k+/mo?",Settings!$Z$2:$Z$21,N411)+SUMIFS(Settings!$AA$2:$AA$21,Settings!$Y$2:$Y$21,"Decision-maker?",Settings!$Z$2:$Z$21,O411)+SUMIFS(Settings!$AA$2:$AA$21,Settings!$Y$2:$Y$21,"Someone on camera?",Settings!$Z$2:$Z$21,P411)+SUMIFS(Settings!$AA$2:$AA$21,Settings!$Y$2:$Y$21,"OK with 3-month term?",Settings!$Z$2:$Z$21,Q411)+SUMIFS(Settings!$AA$2:$AA$21,Settings!$Y$2:$Y$21,"Start timeline",Settings!$Z$2:$Z$21,R411)+SUMIFS(Settings!$AA$2:$AA$21,Settings!$Y$2:$Y$21,"Social media gap",Settings!$Z$2:$Z$21,S411)+IF(E411="",0,IF(COUNTIF(Settings!$AC$2:$AC$6,E411)&gt;0,Settings!$AA$20,Settings!$AA$21)))</f>
        <v/>
      </c>
      <c r="U411" s="44" t="str">
        <f aca="false">IF(D411="","",IF(COUNTA(N411:S411)=0,"Not scored",IF(COUNTA(N411:S411)&lt;6,"Partly scored ("&amp;COUNTA(N411:S411)&amp;"/6)",IF(T411&gt;=Settings!$S$8,"Hot",IF(T411&gt;=Settings!$S$9,"Warm","Cold")))))</f>
        <v/>
      </c>
      <c r="V411" s="44" t="str">
        <f aca="false">IF(D411="","",IF(AND(N411="No",P411="No"),"🚩 Budget  ·  🚩 No one on camera",IF(N411="No","🚩 Budget under AED 5k",IF(P411="No","🚩 No one on camera",""))))</f>
        <v/>
      </c>
      <c r="W411" s="17"/>
      <c r="X411" s="17"/>
      <c r="Y411" s="40"/>
      <c r="Z411" s="17"/>
      <c r="AA411" s="45" t="str">
        <f aca="false">IF(OR(D411="",Y411="",OR(X411="Contract signed + paid",X411="Closed – No response",X411="Lost"),N(Z411)&gt;=Settings!$S$3),"",Y411+Settings!$S$2)</f>
        <v/>
      </c>
      <c r="AB411" s="40"/>
      <c r="AC411" s="41"/>
      <c r="AD411" s="17"/>
      <c r="AE411" s="17"/>
      <c r="AF411" s="17"/>
      <c r="AG411" s="46" t="str">
        <f aca="true">IF(OR(D411="",B411=""),"",INT(TODAY()-B411))</f>
        <v/>
      </c>
      <c r="AH411" s="44" t="str">
        <f aca="true">IF(D411="","",IF(OR(COUNTIFS(Clients!$C$2:$C$501,D411,Clients!$S$2:$S$501,"Paid")&gt;0,AND(H411&lt;&gt;"",COUNTIFS(Clients!$E$2:$E$501,H411,Clients!$S$2:$S$501,"Paid")&gt;0)),"⚠ Refunded before – no free video",IF(OR(X411="Contract signed + paid",X411="Closed – No response",X411="Lost"),"",IF(X411="","Set a stage",IF(AND(X411="Proposal sent",COUNTA(N411:S411)&lt;6),"Score this lead – proposal sent unscored",IF(N(Z411)&gt;=Settings!$S$3,"Close – 4 follow-ups sent",IF(AA411="",IF(Y411="","Make first contact",""),IF(TODAY()&gt;AA411,"OVERDUE follow-up",IF(TODAY()=AA411,"Follow up today","")))))))))</f>
        <v/>
      </c>
    </row>
    <row r="412" customFormat="false" ht="15" hidden="false" customHeight="false" outlineLevel="0" collapsed="false">
      <c r="A412" s="17"/>
      <c r="B412" s="40"/>
      <c r="C412" s="17"/>
      <c r="D412" s="17"/>
      <c r="E412" s="17"/>
      <c r="F412" s="17"/>
      <c r="G412" s="17"/>
      <c r="H412" s="42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44" t="str">
        <f aca="false">IF(OR(D412="",COUNTA(N412:S412)=0),"",SUMIFS(Settings!$AA$2:$AA$21,Settings!$Y$2:$Y$21,"Budget AED 5k+/mo?",Settings!$Z$2:$Z$21,N412)+SUMIFS(Settings!$AA$2:$AA$21,Settings!$Y$2:$Y$21,"Decision-maker?",Settings!$Z$2:$Z$21,O412)+SUMIFS(Settings!$AA$2:$AA$21,Settings!$Y$2:$Y$21,"Someone on camera?",Settings!$Z$2:$Z$21,P412)+SUMIFS(Settings!$AA$2:$AA$21,Settings!$Y$2:$Y$21,"OK with 3-month term?",Settings!$Z$2:$Z$21,Q412)+SUMIFS(Settings!$AA$2:$AA$21,Settings!$Y$2:$Y$21,"Start timeline",Settings!$Z$2:$Z$21,R412)+SUMIFS(Settings!$AA$2:$AA$21,Settings!$Y$2:$Y$21,"Social media gap",Settings!$Z$2:$Z$21,S412)+IF(E412="",0,IF(COUNTIF(Settings!$AC$2:$AC$6,E412)&gt;0,Settings!$AA$20,Settings!$AA$21)))</f>
        <v/>
      </c>
      <c r="U412" s="44" t="str">
        <f aca="false">IF(D412="","",IF(COUNTA(N412:S412)=0,"Not scored",IF(COUNTA(N412:S412)&lt;6,"Partly scored ("&amp;COUNTA(N412:S412)&amp;"/6)",IF(T412&gt;=Settings!$S$8,"Hot",IF(T412&gt;=Settings!$S$9,"Warm","Cold")))))</f>
        <v/>
      </c>
      <c r="V412" s="44" t="str">
        <f aca="false">IF(D412="","",IF(AND(N412="No",P412="No"),"🚩 Budget  ·  🚩 No one on camera",IF(N412="No","🚩 Budget under AED 5k",IF(P412="No","🚩 No one on camera",""))))</f>
        <v/>
      </c>
      <c r="W412" s="17"/>
      <c r="X412" s="17"/>
      <c r="Y412" s="40"/>
      <c r="Z412" s="17"/>
      <c r="AA412" s="45" t="str">
        <f aca="false">IF(OR(D412="",Y412="",OR(X412="Contract signed + paid",X412="Closed – No response",X412="Lost"),N(Z412)&gt;=Settings!$S$3),"",Y412+Settings!$S$2)</f>
        <v/>
      </c>
      <c r="AB412" s="40"/>
      <c r="AC412" s="41"/>
      <c r="AD412" s="17"/>
      <c r="AE412" s="17"/>
      <c r="AF412" s="17"/>
      <c r="AG412" s="46" t="str">
        <f aca="true">IF(OR(D412="",B412=""),"",INT(TODAY()-B412))</f>
        <v/>
      </c>
      <c r="AH412" s="44" t="str">
        <f aca="true">IF(D412="","",IF(OR(COUNTIFS(Clients!$C$2:$C$501,D412,Clients!$S$2:$S$501,"Paid")&gt;0,AND(H412&lt;&gt;"",COUNTIFS(Clients!$E$2:$E$501,H412,Clients!$S$2:$S$501,"Paid")&gt;0)),"⚠ Refunded before – no free video",IF(OR(X412="Contract signed + paid",X412="Closed – No response",X412="Lost"),"",IF(X412="","Set a stage",IF(AND(X412="Proposal sent",COUNTA(N412:S412)&lt;6),"Score this lead – proposal sent unscored",IF(N(Z412)&gt;=Settings!$S$3,"Close – 4 follow-ups sent",IF(AA412="",IF(Y412="","Make first contact",""),IF(TODAY()&gt;AA412,"OVERDUE follow-up",IF(TODAY()=AA412,"Follow up today","")))))))))</f>
        <v/>
      </c>
    </row>
    <row r="413" customFormat="false" ht="15" hidden="false" customHeight="false" outlineLevel="0" collapsed="false">
      <c r="A413" s="17"/>
      <c r="B413" s="40"/>
      <c r="C413" s="17"/>
      <c r="D413" s="17"/>
      <c r="E413" s="17"/>
      <c r="F413" s="17"/>
      <c r="G413" s="17"/>
      <c r="H413" s="42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44" t="str">
        <f aca="false">IF(OR(D413="",COUNTA(N413:S413)=0),"",SUMIFS(Settings!$AA$2:$AA$21,Settings!$Y$2:$Y$21,"Budget AED 5k+/mo?",Settings!$Z$2:$Z$21,N413)+SUMIFS(Settings!$AA$2:$AA$21,Settings!$Y$2:$Y$21,"Decision-maker?",Settings!$Z$2:$Z$21,O413)+SUMIFS(Settings!$AA$2:$AA$21,Settings!$Y$2:$Y$21,"Someone on camera?",Settings!$Z$2:$Z$21,P413)+SUMIFS(Settings!$AA$2:$AA$21,Settings!$Y$2:$Y$21,"OK with 3-month term?",Settings!$Z$2:$Z$21,Q413)+SUMIFS(Settings!$AA$2:$AA$21,Settings!$Y$2:$Y$21,"Start timeline",Settings!$Z$2:$Z$21,R413)+SUMIFS(Settings!$AA$2:$AA$21,Settings!$Y$2:$Y$21,"Social media gap",Settings!$Z$2:$Z$21,S413)+IF(E413="",0,IF(COUNTIF(Settings!$AC$2:$AC$6,E413)&gt;0,Settings!$AA$20,Settings!$AA$21)))</f>
        <v/>
      </c>
      <c r="U413" s="44" t="str">
        <f aca="false">IF(D413="","",IF(COUNTA(N413:S413)=0,"Not scored",IF(COUNTA(N413:S413)&lt;6,"Partly scored ("&amp;COUNTA(N413:S413)&amp;"/6)",IF(T413&gt;=Settings!$S$8,"Hot",IF(T413&gt;=Settings!$S$9,"Warm","Cold")))))</f>
        <v/>
      </c>
      <c r="V413" s="44" t="str">
        <f aca="false">IF(D413="","",IF(AND(N413="No",P413="No"),"🚩 Budget  ·  🚩 No one on camera",IF(N413="No","🚩 Budget under AED 5k",IF(P413="No","🚩 No one on camera",""))))</f>
        <v/>
      </c>
      <c r="W413" s="17"/>
      <c r="X413" s="17"/>
      <c r="Y413" s="40"/>
      <c r="Z413" s="17"/>
      <c r="AA413" s="45" t="str">
        <f aca="false">IF(OR(D413="",Y413="",OR(X413="Contract signed + paid",X413="Closed – No response",X413="Lost"),N(Z413)&gt;=Settings!$S$3),"",Y413+Settings!$S$2)</f>
        <v/>
      </c>
      <c r="AB413" s="40"/>
      <c r="AC413" s="41"/>
      <c r="AD413" s="17"/>
      <c r="AE413" s="17"/>
      <c r="AF413" s="17"/>
      <c r="AG413" s="46" t="str">
        <f aca="true">IF(OR(D413="",B413=""),"",INT(TODAY()-B413))</f>
        <v/>
      </c>
      <c r="AH413" s="44" t="str">
        <f aca="true">IF(D413="","",IF(OR(COUNTIFS(Clients!$C$2:$C$501,D413,Clients!$S$2:$S$501,"Paid")&gt;0,AND(H413&lt;&gt;"",COUNTIFS(Clients!$E$2:$E$501,H413,Clients!$S$2:$S$501,"Paid")&gt;0)),"⚠ Refunded before – no free video",IF(OR(X413="Contract signed + paid",X413="Closed – No response",X413="Lost"),"",IF(X413="","Set a stage",IF(AND(X413="Proposal sent",COUNTA(N413:S413)&lt;6),"Score this lead – proposal sent unscored",IF(N(Z413)&gt;=Settings!$S$3,"Close – 4 follow-ups sent",IF(AA413="",IF(Y413="","Make first contact",""),IF(TODAY()&gt;AA413,"OVERDUE follow-up",IF(TODAY()=AA413,"Follow up today","")))))))))</f>
        <v/>
      </c>
    </row>
    <row r="414" customFormat="false" ht="15" hidden="false" customHeight="false" outlineLevel="0" collapsed="false">
      <c r="A414" s="17"/>
      <c r="B414" s="40"/>
      <c r="C414" s="17"/>
      <c r="D414" s="17"/>
      <c r="E414" s="17"/>
      <c r="F414" s="17"/>
      <c r="G414" s="17"/>
      <c r="H414" s="42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44" t="str">
        <f aca="false">IF(OR(D414="",COUNTA(N414:S414)=0),"",SUMIFS(Settings!$AA$2:$AA$21,Settings!$Y$2:$Y$21,"Budget AED 5k+/mo?",Settings!$Z$2:$Z$21,N414)+SUMIFS(Settings!$AA$2:$AA$21,Settings!$Y$2:$Y$21,"Decision-maker?",Settings!$Z$2:$Z$21,O414)+SUMIFS(Settings!$AA$2:$AA$21,Settings!$Y$2:$Y$21,"Someone on camera?",Settings!$Z$2:$Z$21,P414)+SUMIFS(Settings!$AA$2:$AA$21,Settings!$Y$2:$Y$21,"OK with 3-month term?",Settings!$Z$2:$Z$21,Q414)+SUMIFS(Settings!$AA$2:$AA$21,Settings!$Y$2:$Y$21,"Start timeline",Settings!$Z$2:$Z$21,R414)+SUMIFS(Settings!$AA$2:$AA$21,Settings!$Y$2:$Y$21,"Social media gap",Settings!$Z$2:$Z$21,S414)+IF(E414="",0,IF(COUNTIF(Settings!$AC$2:$AC$6,E414)&gt;0,Settings!$AA$20,Settings!$AA$21)))</f>
        <v/>
      </c>
      <c r="U414" s="44" t="str">
        <f aca="false">IF(D414="","",IF(COUNTA(N414:S414)=0,"Not scored",IF(COUNTA(N414:S414)&lt;6,"Partly scored ("&amp;COUNTA(N414:S414)&amp;"/6)",IF(T414&gt;=Settings!$S$8,"Hot",IF(T414&gt;=Settings!$S$9,"Warm","Cold")))))</f>
        <v/>
      </c>
      <c r="V414" s="44" t="str">
        <f aca="false">IF(D414="","",IF(AND(N414="No",P414="No"),"🚩 Budget  ·  🚩 No one on camera",IF(N414="No","🚩 Budget under AED 5k",IF(P414="No","🚩 No one on camera",""))))</f>
        <v/>
      </c>
      <c r="W414" s="17"/>
      <c r="X414" s="17"/>
      <c r="Y414" s="40"/>
      <c r="Z414" s="17"/>
      <c r="AA414" s="45" t="str">
        <f aca="false">IF(OR(D414="",Y414="",OR(X414="Contract signed + paid",X414="Closed – No response",X414="Lost"),N(Z414)&gt;=Settings!$S$3),"",Y414+Settings!$S$2)</f>
        <v/>
      </c>
      <c r="AB414" s="40"/>
      <c r="AC414" s="41"/>
      <c r="AD414" s="17"/>
      <c r="AE414" s="17"/>
      <c r="AF414" s="17"/>
      <c r="AG414" s="46" t="str">
        <f aca="true">IF(OR(D414="",B414=""),"",INT(TODAY()-B414))</f>
        <v/>
      </c>
      <c r="AH414" s="44" t="str">
        <f aca="true">IF(D414="","",IF(OR(COUNTIFS(Clients!$C$2:$C$501,D414,Clients!$S$2:$S$501,"Paid")&gt;0,AND(H414&lt;&gt;"",COUNTIFS(Clients!$E$2:$E$501,H414,Clients!$S$2:$S$501,"Paid")&gt;0)),"⚠ Refunded before – no free video",IF(OR(X414="Contract signed + paid",X414="Closed – No response",X414="Lost"),"",IF(X414="","Set a stage",IF(AND(X414="Proposal sent",COUNTA(N414:S414)&lt;6),"Score this lead – proposal sent unscored",IF(N(Z414)&gt;=Settings!$S$3,"Close – 4 follow-ups sent",IF(AA414="",IF(Y414="","Make first contact",""),IF(TODAY()&gt;AA414,"OVERDUE follow-up",IF(TODAY()=AA414,"Follow up today","")))))))))</f>
        <v/>
      </c>
    </row>
    <row r="415" customFormat="false" ht="15" hidden="false" customHeight="false" outlineLevel="0" collapsed="false">
      <c r="A415" s="17"/>
      <c r="B415" s="40"/>
      <c r="C415" s="17"/>
      <c r="D415" s="17"/>
      <c r="E415" s="17"/>
      <c r="F415" s="17"/>
      <c r="G415" s="17"/>
      <c r="H415" s="42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44" t="str">
        <f aca="false">IF(OR(D415="",COUNTA(N415:S415)=0),"",SUMIFS(Settings!$AA$2:$AA$21,Settings!$Y$2:$Y$21,"Budget AED 5k+/mo?",Settings!$Z$2:$Z$21,N415)+SUMIFS(Settings!$AA$2:$AA$21,Settings!$Y$2:$Y$21,"Decision-maker?",Settings!$Z$2:$Z$21,O415)+SUMIFS(Settings!$AA$2:$AA$21,Settings!$Y$2:$Y$21,"Someone on camera?",Settings!$Z$2:$Z$21,P415)+SUMIFS(Settings!$AA$2:$AA$21,Settings!$Y$2:$Y$21,"OK with 3-month term?",Settings!$Z$2:$Z$21,Q415)+SUMIFS(Settings!$AA$2:$AA$21,Settings!$Y$2:$Y$21,"Start timeline",Settings!$Z$2:$Z$21,R415)+SUMIFS(Settings!$AA$2:$AA$21,Settings!$Y$2:$Y$21,"Social media gap",Settings!$Z$2:$Z$21,S415)+IF(E415="",0,IF(COUNTIF(Settings!$AC$2:$AC$6,E415)&gt;0,Settings!$AA$20,Settings!$AA$21)))</f>
        <v/>
      </c>
      <c r="U415" s="44" t="str">
        <f aca="false">IF(D415="","",IF(COUNTA(N415:S415)=0,"Not scored",IF(COUNTA(N415:S415)&lt;6,"Partly scored ("&amp;COUNTA(N415:S415)&amp;"/6)",IF(T415&gt;=Settings!$S$8,"Hot",IF(T415&gt;=Settings!$S$9,"Warm","Cold")))))</f>
        <v/>
      </c>
      <c r="V415" s="44" t="str">
        <f aca="false">IF(D415="","",IF(AND(N415="No",P415="No"),"🚩 Budget  ·  🚩 No one on camera",IF(N415="No","🚩 Budget under AED 5k",IF(P415="No","🚩 No one on camera",""))))</f>
        <v/>
      </c>
      <c r="W415" s="17"/>
      <c r="X415" s="17"/>
      <c r="Y415" s="40"/>
      <c r="Z415" s="17"/>
      <c r="AA415" s="45" t="str">
        <f aca="false">IF(OR(D415="",Y415="",OR(X415="Contract signed + paid",X415="Closed – No response",X415="Lost"),N(Z415)&gt;=Settings!$S$3),"",Y415+Settings!$S$2)</f>
        <v/>
      </c>
      <c r="AB415" s="40"/>
      <c r="AC415" s="41"/>
      <c r="AD415" s="17"/>
      <c r="AE415" s="17"/>
      <c r="AF415" s="17"/>
      <c r="AG415" s="46" t="str">
        <f aca="true">IF(OR(D415="",B415=""),"",INT(TODAY()-B415))</f>
        <v/>
      </c>
      <c r="AH415" s="44" t="str">
        <f aca="true">IF(D415="","",IF(OR(COUNTIFS(Clients!$C$2:$C$501,D415,Clients!$S$2:$S$501,"Paid")&gt;0,AND(H415&lt;&gt;"",COUNTIFS(Clients!$E$2:$E$501,H415,Clients!$S$2:$S$501,"Paid")&gt;0)),"⚠ Refunded before – no free video",IF(OR(X415="Contract signed + paid",X415="Closed – No response",X415="Lost"),"",IF(X415="","Set a stage",IF(AND(X415="Proposal sent",COUNTA(N415:S415)&lt;6),"Score this lead – proposal sent unscored",IF(N(Z415)&gt;=Settings!$S$3,"Close – 4 follow-ups sent",IF(AA415="",IF(Y415="","Make first contact",""),IF(TODAY()&gt;AA415,"OVERDUE follow-up",IF(TODAY()=AA415,"Follow up today","")))))))))</f>
        <v/>
      </c>
    </row>
    <row r="416" customFormat="false" ht="15" hidden="false" customHeight="false" outlineLevel="0" collapsed="false">
      <c r="A416" s="17"/>
      <c r="B416" s="40"/>
      <c r="C416" s="17"/>
      <c r="D416" s="17"/>
      <c r="E416" s="17"/>
      <c r="F416" s="17"/>
      <c r="G416" s="17"/>
      <c r="H416" s="42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44" t="str">
        <f aca="false">IF(OR(D416="",COUNTA(N416:S416)=0),"",SUMIFS(Settings!$AA$2:$AA$21,Settings!$Y$2:$Y$21,"Budget AED 5k+/mo?",Settings!$Z$2:$Z$21,N416)+SUMIFS(Settings!$AA$2:$AA$21,Settings!$Y$2:$Y$21,"Decision-maker?",Settings!$Z$2:$Z$21,O416)+SUMIFS(Settings!$AA$2:$AA$21,Settings!$Y$2:$Y$21,"Someone on camera?",Settings!$Z$2:$Z$21,P416)+SUMIFS(Settings!$AA$2:$AA$21,Settings!$Y$2:$Y$21,"OK with 3-month term?",Settings!$Z$2:$Z$21,Q416)+SUMIFS(Settings!$AA$2:$AA$21,Settings!$Y$2:$Y$21,"Start timeline",Settings!$Z$2:$Z$21,R416)+SUMIFS(Settings!$AA$2:$AA$21,Settings!$Y$2:$Y$21,"Social media gap",Settings!$Z$2:$Z$21,S416)+IF(E416="",0,IF(COUNTIF(Settings!$AC$2:$AC$6,E416)&gt;0,Settings!$AA$20,Settings!$AA$21)))</f>
        <v/>
      </c>
      <c r="U416" s="44" t="str">
        <f aca="false">IF(D416="","",IF(COUNTA(N416:S416)=0,"Not scored",IF(COUNTA(N416:S416)&lt;6,"Partly scored ("&amp;COUNTA(N416:S416)&amp;"/6)",IF(T416&gt;=Settings!$S$8,"Hot",IF(T416&gt;=Settings!$S$9,"Warm","Cold")))))</f>
        <v/>
      </c>
      <c r="V416" s="44" t="str">
        <f aca="false">IF(D416="","",IF(AND(N416="No",P416="No"),"🚩 Budget  ·  🚩 No one on camera",IF(N416="No","🚩 Budget under AED 5k",IF(P416="No","🚩 No one on camera",""))))</f>
        <v/>
      </c>
      <c r="W416" s="17"/>
      <c r="X416" s="17"/>
      <c r="Y416" s="40"/>
      <c r="Z416" s="17"/>
      <c r="AA416" s="45" t="str">
        <f aca="false">IF(OR(D416="",Y416="",OR(X416="Contract signed + paid",X416="Closed – No response",X416="Lost"),N(Z416)&gt;=Settings!$S$3),"",Y416+Settings!$S$2)</f>
        <v/>
      </c>
      <c r="AB416" s="40"/>
      <c r="AC416" s="41"/>
      <c r="AD416" s="17"/>
      <c r="AE416" s="17"/>
      <c r="AF416" s="17"/>
      <c r="AG416" s="46" t="str">
        <f aca="true">IF(OR(D416="",B416=""),"",INT(TODAY()-B416))</f>
        <v/>
      </c>
      <c r="AH416" s="44" t="str">
        <f aca="true">IF(D416="","",IF(OR(COUNTIFS(Clients!$C$2:$C$501,D416,Clients!$S$2:$S$501,"Paid")&gt;0,AND(H416&lt;&gt;"",COUNTIFS(Clients!$E$2:$E$501,H416,Clients!$S$2:$S$501,"Paid")&gt;0)),"⚠ Refunded before – no free video",IF(OR(X416="Contract signed + paid",X416="Closed – No response",X416="Lost"),"",IF(X416="","Set a stage",IF(AND(X416="Proposal sent",COUNTA(N416:S416)&lt;6),"Score this lead – proposal sent unscored",IF(N(Z416)&gt;=Settings!$S$3,"Close – 4 follow-ups sent",IF(AA416="",IF(Y416="","Make first contact",""),IF(TODAY()&gt;AA416,"OVERDUE follow-up",IF(TODAY()=AA416,"Follow up today","")))))))))</f>
        <v/>
      </c>
    </row>
    <row r="417" customFormat="false" ht="15" hidden="false" customHeight="false" outlineLevel="0" collapsed="false">
      <c r="A417" s="17"/>
      <c r="B417" s="40"/>
      <c r="C417" s="17"/>
      <c r="D417" s="17"/>
      <c r="E417" s="17"/>
      <c r="F417" s="17"/>
      <c r="G417" s="17"/>
      <c r="H417" s="42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44" t="str">
        <f aca="false">IF(OR(D417="",COUNTA(N417:S417)=0),"",SUMIFS(Settings!$AA$2:$AA$21,Settings!$Y$2:$Y$21,"Budget AED 5k+/mo?",Settings!$Z$2:$Z$21,N417)+SUMIFS(Settings!$AA$2:$AA$21,Settings!$Y$2:$Y$21,"Decision-maker?",Settings!$Z$2:$Z$21,O417)+SUMIFS(Settings!$AA$2:$AA$21,Settings!$Y$2:$Y$21,"Someone on camera?",Settings!$Z$2:$Z$21,P417)+SUMIFS(Settings!$AA$2:$AA$21,Settings!$Y$2:$Y$21,"OK with 3-month term?",Settings!$Z$2:$Z$21,Q417)+SUMIFS(Settings!$AA$2:$AA$21,Settings!$Y$2:$Y$21,"Start timeline",Settings!$Z$2:$Z$21,R417)+SUMIFS(Settings!$AA$2:$AA$21,Settings!$Y$2:$Y$21,"Social media gap",Settings!$Z$2:$Z$21,S417)+IF(E417="",0,IF(COUNTIF(Settings!$AC$2:$AC$6,E417)&gt;0,Settings!$AA$20,Settings!$AA$21)))</f>
        <v/>
      </c>
      <c r="U417" s="44" t="str">
        <f aca="false">IF(D417="","",IF(COUNTA(N417:S417)=0,"Not scored",IF(COUNTA(N417:S417)&lt;6,"Partly scored ("&amp;COUNTA(N417:S417)&amp;"/6)",IF(T417&gt;=Settings!$S$8,"Hot",IF(T417&gt;=Settings!$S$9,"Warm","Cold")))))</f>
        <v/>
      </c>
      <c r="V417" s="44" t="str">
        <f aca="false">IF(D417="","",IF(AND(N417="No",P417="No"),"🚩 Budget  ·  🚩 No one on camera",IF(N417="No","🚩 Budget under AED 5k",IF(P417="No","🚩 No one on camera",""))))</f>
        <v/>
      </c>
      <c r="W417" s="17"/>
      <c r="X417" s="17"/>
      <c r="Y417" s="40"/>
      <c r="Z417" s="17"/>
      <c r="AA417" s="45" t="str">
        <f aca="false">IF(OR(D417="",Y417="",OR(X417="Contract signed + paid",X417="Closed – No response",X417="Lost"),N(Z417)&gt;=Settings!$S$3),"",Y417+Settings!$S$2)</f>
        <v/>
      </c>
      <c r="AB417" s="40"/>
      <c r="AC417" s="41"/>
      <c r="AD417" s="17"/>
      <c r="AE417" s="17"/>
      <c r="AF417" s="17"/>
      <c r="AG417" s="46" t="str">
        <f aca="true">IF(OR(D417="",B417=""),"",INT(TODAY()-B417))</f>
        <v/>
      </c>
      <c r="AH417" s="44" t="str">
        <f aca="true">IF(D417="","",IF(OR(COUNTIFS(Clients!$C$2:$C$501,D417,Clients!$S$2:$S$501,"Paid")&gt;0,AND(H417&lt;&gt;"",COUNTIFS(Clients!$E$2:$E$501,H417,Clients!$S$2:$S$501,"Paid")&gt;0)),"⚠ Refunded before – no free video",IF(OR(X417="Contract signed + paid",X417="Closed – No response",X417="Lost"),"",IF(X417="","Set a stage",IF(AND(X417="Proposal sent",COUNTA(N417:S417)&lt;6),"Score this lead – proposal sent unscored",IF(N(Z417)&gt;=Settings!$S$3,"Close – 4 follow-ups sent",IF(AA417="",IF(Y417="","Make first contact",""),IF(TODAY()&gt;AA417,"OVERDUE follow-up",IF(TODAY()=AA417,"Follow up today","")))))))))</f>
        <v/>
      </c>
    </row>
    <row r="418" customFormat="false" ht="15" hidden="false" customHeight="false" outlineLevel="0" collapsed="false">
      <c r="A418" s="17"/>
      <c r="B418" s="40"/>
      <c r="C418" s="17"/>
      <c r="D418" s="17"/>
      <c r="E418" s="17"/>
      <c r="F418" s="17"/>
      <c r="G418" s="17"/>
      <c r="H418" s="42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44" t="str">
        <f aca="false">IF(OR(D418="",COUNTA(N418:S418)=0),"",SUMIFS(Settings!$AA$2:$AA$21,Settings!$Y$2:$Y$21,"Budget AED 5k+/mo?",Settings!$Z$2:$Z$21,N418)+SUMIFS(Settings!$AA$2:$AA$21,Settings!$Y$2:$Y$21,"Decision-maker?",Settings!$Z$2:$Z$21,O418)+SUMIFS(Settings!$AA$2:$AA$21,Settings!$Y$2:$Y$21,"Someone on camera?",Settings!$Z$2:$Z$21,P418)+SUMIFS(Settings!$AA$2:$AA$21,Settings!$Y$2:$Y$21,"OK with 3-month term?",Settings!$Z$2:$Z$21,Q418)+SUMIFS(Settings!$AA$2:$AA$21,Settings!$Y$2:$Y$21,"Start timeline",Settings!$Z$2:$Z$21,R418)+SUMIFS(Settings!$AA$2:$AA$21,Settings!$Y$2:$Y$21,"Social media gap",Settings!$Z$2:$Z$21,S418)+IF(E418="",0,IF(COUNTIF(Settings!$AC$2:$AC$6,E418)&gt;0,Settings!$AA$20,Settings!$AA$21)))</f>
        <v/>
      </c>
      <c r="U418" s="44" t="str">
        <f aca="false">IF(D418="","",IF(COUNTA(N418:S418)=0,"Not scored",IF(COUNTA(N418:S418)&lt;6,"Partly scored ("&amp;COUNTA(N418:S418)&amp;"/6)",IF(T418&gt;=Settings!$S$8,"Hot",IF(T418&gt;=Settings!$S$9,"Warm","Cold")))))</f>
        <v/>
      </c>
      <c r="V418" s="44" t="str">
        <f aca="false">IF(D418="","",IF(AND(N418="No",P418="No"),"🚩 Budget  ·  🚩 No one on camera",IF(N418="No","🚩 Budget under AED 5k",IF(P418="No","🚩 No one on camera",""))))</f>
        <v/>
      </c>
      <c r="W418" s="17"/>
      <c r="X418" s="17"/>
      <c r="Y418" s="40"/>
      <c r="Z418" s="17"/>
      <c r="AA418" s="45" t="str">
        <f aca="false">IF(OR(D418="",Y418="",OR(X418="Contract signed + paid",X418="Closed – No response",X418="Lost"),N(Z418)&gt;=Settings!$S$3),"",Y418+Settings!$S$2)</f>
        <v/>
      </c>
      <c r="AB418" s="40"/>
      <c r="AC418" s="41"/>
      <c r="AD418" s="17"/>
      <c r="AE418" s="17"/>
      <c r="AF418" s="17"/>
      <c r="AG418" s="46" t="str">
        <f aca="true">IF(OR(D418="",B418=""),"",INT(TODAY()-B418))</f>
        <v/>
      </c>
      <c r="AH418" s="44" t="str">
        <f aca="true">IF(D418="","",IF(OR(COUNTIFS(Clients!$C$2:$C$501,D418,Clients!$S$2:$S$501,"Paid")&gt;0,AND(H418&lt;&gt;"",COUNTIFS(Clients!$E$2:$E$501,H418,Clients!$S$2:$S$501,"Paid")&gt;0)),"⚠ Refunded before – no free video",IF(OR(X418="Contract signed + paid",X418="Closed – No response",X418="Lost"),"",IF(X418="","Set a stage",IF(AND(X418="Proposal sent",COUNTA(N418:S418)&lt;6),"Score this lead – proposal sent unscored",IF(N(Z418)&gt;=Settings!$S$3,"Close – 4 follow-ups sent",IF(AA418="",IF(Y418="","Make first contact",""),IF(TODAY()&gt;AA418,"OVERDUE follow-up",IF(TODAY()=AA418,"Follow up today","")))))))))</f>
        <v/>
      </c>
    </row>
    <row r="419" customFormat="false" ht="15" hidden="false" customHeight="false" outlineLevel="0" collapsed="false">
      <c r="A419" s="17"/>
      <c r="B419" s="40"/>
      <c r="C419" s="17"/>
      <c r="D419" s="17"/>
      <c r="E419" s="17"/>
      <c r="F419" s="17"/>
      <c r="G419" s="17"/>
      <c r="H419" s="42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44" t="str">
        <f aca="false">IF(OR(D419="",COUNTA(N419:S419)=0),"",SUMIFS(Settings!$AA$2:$AA$21,Settings!$Y$2:$Y$21,"Budget AED 5k+/mo?",Settings!$Z$2:$Z$21,N419)+SUMIFS(Settings!$AA$2:$AA$21,Settings!$Y$2:$Y$21,"Decision-maker?",Settings!$Z$2:$Z$21,O419)+SUMIFS(Settings!$AA$2:$AA$21,Settings!$Y$2:$Y$21,"Someone on camera?",Settings!$Z$2:$Z$21,P419)+SUMIFS(Settings!$AA$2:$AA$21,Settings!$Y$2:$Y$21,"OK with 3-month term?",Settings!$Z$2:$Z$21,Q419)+SUMIFS(Settings!$AA$2:$AA$21,Settings!$Y$2:$Y$21,"Start timeline",Settings!$Z$2:$Z$21,R419)+SUMIFS(Settings!$AA$2:$AA$21,Settings!$Y$2:$Y$21,"Social media gap",Settings!$Z$2:$Z$21,S419)+IF(E419="",0,IF(COUNTIF(Settings!$AC$2:$AC$6,E419)&gt;0,Settings!$AA$20,Settings!$AA$21)))</f>
        <v/>
      </c>
      <c r="U419" s="44" t="str">
        <f aca="false">IF(D419="","",IF(COUNTA(N419:S419)=0,"Not scored",IF(COUNTA(N419:S419)&lt;6,"Partly scored ("&amp;COUNTA(N419:S419)&amp;"/6)",IF(T419&gt;=Settings!$S$8,"Hot",IF(T419&gt;=Settings!$S$9,"Warm","Cold")))))</f>
        <v/>
      </c>
      <c r="V419" s="44" t="str">
        <f aca="false">IF(D419="","",IF(AND(N419="No",P419="No"),"🚩 Budget  ·  🚩 No one on camera",IF(N419="No","🚩 Budget under AED 5k",IF(P419="No","🚩 No one on camera",""))))</f>
        <v/>
      </c>
      <c r="W419" s="17"/>
      <c r="X419" s="17"/>
      <c r="Y419" s="40"/>
      <c r="Z419" s="17"/>
      <c r="AA419" s="45" t="str">
        <f aca="false">IF(OR(D419="",Y419="",OR(X419="Contract signed + paid",X419="Closed – No response",X419="Lost"),N(Z419)&gt;=Settings!$S$3),"",Y419+Settings!$S$2)</f>
        <v/>
      </c>
      <c r="AB419" s="40"/>
      <c r="AC419" s="41"/>
      <c r="AD419" s="17"/>
      <c r="AE419" s="17"/>
      <c r="AF419" s="17"/>
      <c r="AG419" s="46" t="str">
        <f aca="true">IF(OR(D419="",B419=""),"",INT(TODAY()-B419))</f>
        <v/>
      </c>
      <c r="AH419" s="44" t="str">
        <f aca="true">IF(D419="","",IF(OR(COUNTIFS(Clients!$C$2:$C$501,D419,Clients!$S$2:$S$501,"Paid")&gt;0,AND(H419&lt;&gt;"",COUNTIFS(Clients!$E$2:$E$501,H419,Clients!$S$2:$S$501,"Paid")&gt;0)),"⚠ Refunded before – no free video",IF(OR(X419="Contract signed + paid",X419="Closed – No response",X419="Lost"),"",IF(X419="","Set a stage",IF(AND(X419="Proposal sent",COUNTA(N419:S419)&lt;6),"Score this lead – proposal sent unscored",IF(N(Z419)&gt;=Settings!$S$3,"Close – 4 follow-ups sent",IF(AA419="",IF(Y419="","Make first contact",""),IF(TODAY()&gt;AA419,"OVERDUE follow-up",IF(TODAY()=AA419,"Follow up today","")))))))))</f>
        <v/>
      </c>
    </row>
    <row r="420" customFormat="false" ht="15" hidden="false" customHeight="false" outlineLevel="0" collapsed="false">
      <c r="A420" s="17"/>
      <c r="B420" s="40"/>
      <c r="C420" s="17"/>
      <c r="D420" s="17"/>
      <c r="E420" s="17"/>
      <c r="F420" s="17"/>
      <c r="G420" s="17"/>
      <c r="H420" s="42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44" t="str">
        <f aca="false">IF(OR(D420="",COUNTA(N420:S420)=0),"",SUMIFS(Settings!$AA$2:$AA$21,Settings!$Y$2:$Y$21,"Budget AED 5k+/mo?",Settings!$Z$2:$Z$21,N420)+SUMIFS(Settings!$AA$2:$AA$21,Settings!$Y$2:$Y$21,"Decision-maker?",Settings!$Z$2:$Z$21,O420)+SUMIFS(Settings!$AA$2:$AA$21,Settings!$Y$2:$Y$21,"Someone on camera?",Settings!$Z$2:$Z$21,P420)+SUMIFS(Settings!$AA$2:$AA$21,Settings!$Y$2:$Y$21,"OK with 3-month term?",Settings!$Z$2:$Z$21,Q420)+SUMIFS(Settings!$AA$2:$AA$21,Settings!$Y$2:$Y$21,"Start timeline",Settings!$Z$2:$Z$21,R420)+SUMIFS(Settings!$AA$2:$AA$21,Settings!$Y$2:$Y$21,"Social media gap",Settings!$Z$2:$Z$21,S420)+IF(E420="",0,IF(COUNTIF(Settings!$AC$2:$AC$6,E420)&gt;0,Settings!$AA$20,Settings!$AA$21)))</f>
        <v/>
      </c>
      <c r="U420" s="44" t="str">
        <f aca="false">IF(D420="","",IF(COUNTA(N420:S420)=0,"Not scored",IF(COUNTA(N420:S420)&lt;6,"Partly scored ("&amp;COUNTA(N420:S420)&amp;"/6)",IF(T420&gt;=Settings!$S$8,"Hot",IF(T420&gt;=Settings!$S$9,"Warm","Cold")))))</f>
        <v/>
      </c>
      <c r="V420" s="44" t="str">
        <f aca="false">IF(D420="","",IF(AND(N420="No",P420="No"),"🚩 Budget  ·  🚩 No one on camera",IF(N420="No","🚩 Budget under AED 5k",IF(P420="No","🚩 No one on camera",""))))</f>
        <v/>
      </c>
      <c r="W420" s="17"/>
      <c r="X420" s="17"/>
      <c r="Y420" s="40"/>
      <c r="Z420" s="17"/>
      <c r="AA420" s="45" t="str">
        <f aca="false">IF(OR(D420="",Y420="",OR(X420="Contract signed + paid",X420="Closed – No response",X420="Lost"),N(Z420)&gt;=Settings!$S$3),"",Y420+Settings!$S$2)</f>
        <v/>
      </c>
      <c r="AB420" s="40"/>
      <c r="AC420" s="41"/>
      <c r="AD420" s="17"/>
      <c r="AE420" s="17"/>
      <c r="AF420" s="17"/>
      <c r="AG420" s="46" t="str">
        <f aca="true">IF(OR(D420="",B420=""),"",INT(TODAY()-B420))</f>
        <v/>
      </c>
      <c r="AH420" s="44" t="str">
        <f aca="true">IF(D420="","",IF(OR(COUNTIFS(Clients!$C$2:$C$501,D420,Clients!$S$2:$S$501,"Paid")&gt;0,AND(H420&lt;&gt;"",COUNTIFS(Clients!$E$2:$E$501,H420,Clients!$S$2:$S$501,"Paid")&gt;0)),"⚠ Refunded before – no free video",IF(OR(X420="Contract signed + paid",X420="Closed – No response",X420="Lost"),"",IF(X420="","Set a stage",IF(AND(X420="Proposal sent",COUNTA(N420:S420)&lt;6),"Score this lead – proposal sent unscored",IF(N(Z420)&gt;=Settings!$S$3,"Close – 4 follow-ups sent",IF(AA420="",IF(Y420="","Make first contact",""),IF(TODAY()&gt;AA420,"OVERDUE follow-up",IF(TODAY()=AA420,"Follow up today","")))))))))</f>
        <v/>
      </c>
    </row>
    <row r="421" customFormat="false" ht="15" hidden="false" customHeight="false" outlineLevel="0" collapsed="false">
      <c r="A421" s="17"/>
      <c r="B421" s="40"/>
      <c r="C421" s="17"/>
      <c r="D421" s="17"/>
      <c r="E421" s="17"/>
      <c r="F421" s="17"/>
      <c r="G421" s="17"/>
      <c r="H421" s="42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44" t="str">
        <f aca="false">IF(OR(D421="",COUNTA(N421:S421)=0),"",SUMIFS(Settings!$AA$2:$AA$21,Settings!$Y$2:$Y$21,"Budget AED 5k+/mo?",Settings!$Z$2:$Z$21,N421)+SUMIFS(Settings!$AA$2:$AA$21,Settings!$Y$2:$Y$21,"Decision-maker?",Settings!$Z$2:$Z$21,O421)+SUMIFS(Settings!$AA$2:$AA$21,Settings!$Y$2:$Y$21,"Someone on camera?",Settings!$Z$2:$Z$21,P421)+SUMIFS(Settings!$AA$2:$AA$21,Settings!$Y$2:$Y$21,"OK with 3-month term?",Settings!$Z$2:$Z$21,Q421)+SUMIFS(Settings!$AA$2:$AA$21,Settings!$Y$2:$Y$21,"Start timeline",Settings!$Z$2:$Z$21,R421)+SUMIFS(Settings!$AA$2:$AA$21,Settings!$Y$2:$Y$21,"Social media gap",Settings!$Z$2:$Z$21,S421)+IF(E421="",0,IF(COUNTIF(Settings!$AC$2:$AC$6,E421)&gt;0,Settings!$AA$20,Settings!$AA$21)))</f>
        <v/>
      </c>
      <c r="U421" s="44" t="str">
        <f aca="false">IF(D421="","",IF(COUNTA(N421:S421)=0,"Not scored",IF(COUNTA(N421:S421)&lt;6,"Partly scored ("&amp;COUNTA(N421:S421)&amp;"/6)",IF(T421&gt;=Settings!$S$8,"Hot",IF(T421&gt;=Settings!$S$9,"Warm","Cold")))))</f>
        <v/>
      </c>
      <c r="V421" s="44" t="str">
        <f aca="false">IF(D421="","",IF(AND(N421="No",P421="No"),"🚩 Budget  ·  🚩 No one on camera",IF(N421="No","🚩 Budget under AED 5k",IF(P421="No","🚩 No one on camera",""))))</f>
        <v/>
      </c>
      <c r="W421" s="17"/>
      <c r="X421" s="17"/>
      <c r="Y421" s="40"/>
      <c r="Z421" s="17"/>
      <c r="AA421" s="45" t="str">
        <f aca="false">IF(OR(D421="",Y421="",OR(X421="Contract signed + paid",X421="Closed – No response",X421="Lost"),N(Z421)&gt;=Settings!$S$3),"",Y421+Settings!$S$2)</f>
        <v/>
      </c>
      <c r="AB421" s="40"/>
      <c r="AC421" s="41"/>
      <c r="AD421" s="17"/>
      <c r="AE421" s="17"/>
      <c r="AF421" s="17"/>
      <c r="AG421" s="46" t="str">
        <f aca="true">IF(OR(D421="",B421=""),"",INT(TODAY()-B421))</f>
        <v/>
      </c>
      <c r="AH421" s="44" t="str">
        <f aca="true">IF(D421="","",IF(OR(COUNTIFS(Clients!$C$2:$C$501,D421,Clients!$S$2:$S$501,"Paid")&gt;0,AND(H421&lt;&gt;"",COUNTIFS(Clients!$E$2:$E$501,H421,Clients!$S$2:$S$501,"Paid")&gt;0)),"⚠ Refunded before – no free video",IF(OR(X421="Contract signed + paid",X421="Closed – No response",X421="Lost"),"",IF(X421="","Set a stage",IF(AND(X421="Proposal sent",COUNTA(N421:S421)&lt;6),"Score this lead – proposal sent unscored",IF(N(Z421)&gt;=Settings!$S$3,"Close – 4 follow-ups sent",IF(AA421="",IF(Y421="","Make first contact",""),IF(TODAY()&gt;AA421,"OVERDUE follow-up",IF(TODAY()=AA421,"Follow up today","")))))))))</f>
        <v/>
      </c>
    </row>
    <row r="422" customFormat="false" ht="15" hidden="false" customHeight="false" outlineLevel="0" collapsed="false">
      <c r="A422" s="17"/>
      <c r="B422" s="40"/>
      <c r="C422" s="17"/>
      <c r="D422" s="17"/>
      <c r="E422" s="17"/>
      <c r="F422" s="17"/>
      <c r="G422" s="17"/>
      <c r="H422" s="42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44" t="str">
        <f aca="false">IF(OR(D422="",COUNTA(N422:S422)=0),"",SUMIFS(Settings!$AA$2:$AA$21,Settings!$Y$2:$Y$21,"Budget AED 5k+/mo?",Settings!$Z$2:$Z$21,N422)+SUMIFS(Settings!$AA$2:$AA$21,Settings!$Y$2:$Y$21,"Decision-maker?",Settings!$Z$2:$Z$21,O422)+SUMIFS(Settings!$AA$2:$AA$21,Settings!$Y$2:$Y$21,"Someone on camera?",Settings!$Z$2:$Z$21,P422)+SUMIFS(Settings!$AA$2:$AA$21,Settings!$Y$2:$Y$21,"OK with 3-month term?",Settings!$Z$2:$Z$21,Q422)+SUMIFS(Settings!$AA$2:$AA$21,Settings!$Y$2:$Y$21,"Start timeline",Settings!$Z$2:$Z$21,R422)+SUMIFS(Settings!$AA$2:$AA$21,Settings!$Y$2:$Y$21,"Social media gap",Settings!$Z$2:$Z$21,S422)+IF(E422="",0,IF(COUNTIF(Settings!$AC$2:$AC$6,E422)&gt;0,Settings!$AA$20,Settings!$AA$21)))</f>
        <v/>
      </c>
      <c r="U422" s="44" t="str">
        <f aca="false">IF(D422="","",IF(COUNTA(N422:S422)=0,"Not scored",IF(COUNTA(N422:S422)&lt;6,"Partly scored ("&amp;COUNTA(N422:S422)&amp;"/6)",IF(T422&gt;=Settings!$S$8,"Hot",IF(T422&gt;=Settings!$S$9,"Warm","Cold")))))</f>
        <v/>
      </c>
      <c r="V422" s="44" t="str">
        <f aca="false">IF(D422="","",IF(AND(N422="No",P422="No"),"🚩 Budget  ·  🚩 No one on camera",IF(N422="No","🚩 Budget under AED 5k",IF(P422="No","🚩 No one on camera",""))))</f>
        <v/>
      </c>
      <c r="W422" s="17"/>
      <c r="X422" s="17"/>
      <c r="Y422" s="40"/>
      <c r="Z422" s="17"/>
      <c r="AA422" s="45" t="str">
        <f aca="false">IF(OR(D422="",Y422="",OR(X422="Contract signed + paid",X422="Closed – No response",X422="Lost"),N(Z422)&gt;=Settings!$S$3),"",Y422+Settings!$S$2)</f>
        <v/>
      </c>
      <c r="AB422" s="40"/>
      <c r="AC422" s="41"/>
      <c r="AD422" s="17"/>
      <c r="AE422" s="17"/>
      <c r="AF422" s="17"/>
      <c r="AG422" s="46" t="str">
        <f aca="true">IF(OR(D422="",B422=""),"",INT(TODAY()-B422))</f>
        <v/>
      </c>
      <c r="AH422" s="44" t="str">
        <f aca="true">IF(D422="","",IF(OR(COUNTIFS(Clients!$C$2:$C$501,D422,Clients!$S$2:$S$501,"Paid")&gt;0,AND(H422&lt;&gt;"",COUNTIFS(Clients!$E$2:$E$501,H422,Clients!$S$2:$S$501,"Paid")&gt;0)),"⚠ Refunded before – no free video",IF(OR(X422="Contract signed + paid",X422="Closed – No response",X422="Lost"),"",IF(X422="","Set a stage",IF(AND(X422="Proposal sent",COUNTA(N422:S422)&lt;6),"Score this lead – proposal sent unscored",IF(N(Z422)&gt;=Settings!$S$3,"Close – 4 follow-ups sent",IF(AA422="",IF(Y422="","Make first contact",""),IF(TODAY()&gt;AA422,"OVERDUE follow-up",IF(TODAY()=AA422,"Follow up today","")))))))))</f>
        <v/>
      </c>
    </row>
    <row r="423" customFormat="false" ht="15" hidden="false" customHeight="false" outlineLevel="0" collapsed="false">
      <c r="A423" s="17"/>
      <c r="B423" s="40"/>
      <c r="C423" s="17"/>
      <c r="D423" s="17"/>
      <c r="E423" s="17"/>
      <c r="F423" s="17"/>
      <c r="G423" s="17"/>
      <c r="H423" s="42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44" t="str">
        <f aca="false">IF(OR(D423="",COUNTA(N423:S423)=0),"",SUMIFS(Settings!$AA$2:$AA$21,Settings!$Y$2:$Y$21,"Budget AED 5k+/mo?",Settings!$Z$2:$Z$21,N423)+SUMIFS(Settings!$AA$2:$AA$21,Settings!$Y$2:$Y$21,"Decision-maker?",Settings!$Z$2:$Z$21,O423)+SUMIFS(Settings!$AA$2:$AA$21,Settings!$Y$2:$Y$21,"Someone on camera?",Settings!$Z$2:$Z$21,P423)+SUMIFS(Settings!$AA$2:$AA$21,Settings!$Y$2:$Y$21,"OK with 3-month term?",Settings!$Z$2:$Z$21,Q423)+SUMIFS(Settings!$AA$2:$AA$21,Settings!$Y$2:$Y$21,"Start timeline",Settings!$Z$2:$Z$21,R423)+SUMIFS(Settings!$AA$2:$AA$21,Settings!$Y$2:$Y$21,"Social media gap",Settings!$Z$2:$Z$21,S423)+IF(E423="",0,IF(COUNTIF(Settings!$AC$2:$AC$6,E423)&gt;0,Settings!$AA$20,Settings!$AA$21)))</f>
        <v/>
      </c>
      <c r="U423" s="44" t="str">
        <f aca="false">IF(D423="","",IF(COUNTA(N423:S423)=0,"Not scored",IF(COUNTA(N423:S423)&lt;6,"Partly scored ("&amp;COUNTA(N423:S423)&amp;"/6)",IF(T423&gt;=Settings!$S$8,"Hot",IF(T423&gt;=Settings!$S$9,"Warm","Cold")))))</f>
        <v/>
      </c>
      <c r="V423" s="44" t="str">
        <f aca="false">IF(D423="","",IF(AND(N423="No",P423="No"),"🚩 Budget  ·  🚩 No one on camera",IF(N423="No","🚩 Budget under AED 5k",IF(P423="No","🚩 No one on camera",""))))</f>
        <v/>
      </c>
      <c r="W423" s="17"/>
      <c r="X423" s="17"/>
      <c r="Y423" s="40"/>
      <c r="Z423" s="17"/>
      <c r="AA423" s="45" t="str">
        <f aca="false">IF(OR(D423="",Y423="",OR(X423="Contract signed + paid",X423="Closed – No response",X423="Lost"),N(Z423)&gt;=Settings!$S$3),"",Y423+Settings!$S$2)</f>
        <v/>
      </c>
      <c r="AB423" s="40"/>
      <c r="AC423" s="41"/>
      <c r="AD423" s="17"/>
      <c r="AE423" s="17"/>
      <c r="AF423" s="17"/>
      <c r="AG423" s="46" t="str">
        <f aca="true">IF(OR(D423="",B423=""),"",INT(TODAY()-B423))</f>
        <v/>
      </c>
      <c r="AH423" s="44" t="str">
        <f aca="true">IF(D423="","",IF(OR(COUNTIFS(Clients!$C$2:$C$501,D423,Clients!$S$2:$S$501,"Paid")&gt;0,AND(H423&lt;&gt;"",COUNTIFS(Clients!$E$2:$E$501,H423,Clients!$S$2:$S$501,"Paid")&gt;0)),"⚠ Refunded before – no free video",IF(OR(X423="Contract signed + paid",X423="Closed – No response",X423="Lost"),"",IF(X423="","Set a stage",IF(AND(X423="Proposal sent",COUNTA(N423:S423)&lt;6),"Score this lead – proposal sent unscored",IF(N(Z423)&gt;=Settings!$S$3,"Close – 4 follow-ups sent",IF(AA423="",IF(Y423="","Make first contact",""),IF(TODAY()&gt;AA423,"OVERDUE follow-up",IF(TODAY()=AA423,"Follow up today","")))))))))</f>
        <v/>
      </c>
    </row>
    <row r="424" customFormat="false" ht="15" hidden="false" customHeight="false" outlineLevel="0" collapsed="false">
      <c r="A424" s="17"/>
      <c r="B424" s="40"/>
      <c r="C424" s="17"/>
      <c r="D424" s="17"/>
      <c r="E424" s="17"/>
      <c r="F424" s="17"/>
      <c r="G424" s="17"/>
      <c r="H424" s="42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44" t="str">
        <f aca="false">IF(OR(D424="",COUNTA(N424:S424)=0),"",SUMIFS(Settings!$AA$2:$AA$21,Settings!$Y$2:$Y$21,"Budget AED 5k+/mo?",Settings!$Z$2:$Z$21,N424)+SUMIFS(Settings!$AA$2:$AA$21,Settings!$Y$2:$Y$21,"Decision-maker?",Settings!$Z$2:$Z$21,O424)+SUMIFS(Settings!$AA$2:$AA$21,Settings!$Y$2:$Y$21,"Someone on camera?",Settings!$Z$2:$Z$21,P424)+SUMIFS(Settings!$AA$2:$AA$21,Settings!$Y$2:$Y$21,"OK with 3-month term?",Settings!$Z$2:$Z$21,Q424)+SUMIFS(Settings!$AA$2:$AA$21,Settings!$Y$2:$Y$21,"Start timeline",Settings!$Z$2:$Z$21,R424)+SUMIFS(Settings!$AA$2:$AA$21,Settings!$Y$2:$Y$21,"Social media gap",Settings!$Z$2:$Z$21,S424)+IF(E424="",0,IF(COUNTIF(Settings!$AC$2:$AC$6,E424)&gt;0,Settings!$AA$20,Settings!$AA$21)))</f>
        <v/>
      </c>
      <c r="U424" s="44" t="str">
        <f aca="false">IF(D424="","",IF(COUNTA(N424:S424)=0,"Not scored",IF(COUNTA(N424:S424)&lt;6,"Partly scored ("&amp;COUNTA(N424:S424)&amp;"/6)",IF(T424&gt;=Settings!$S$8,"Hot",IF(T424&gt;=Settings!$S$9,"Warm","Cold")))))</f>
        <v/>
      </c>
      <c r="V424" s="44" t="str">
        <f aca="false">IF(D424="","",IF(AND(N424="No",P424="No"),"🚩 Budget  ·  🚩 No one on camera",IF(N424="No","🚩 Budget under AED 5k",IF(P424="No","🚩 No one on camera",""))))</f>
        <v/>
      </c>
      <c r="W424" s="17"/>
      <c r="X424" s="17"/>
      <c r="Y424" s="40"/>
      <c r="Z424" s="17"/>
      <c r="AA424" s="45" t="str">
        <f aca="false">IF(OR(D424="",Y424="",OR(X424="Contract signed + paid",X424="Closed – No response",X424="Lost"),N(Z424)&gt;=Settings!$S$3),"",Y424+Settings!$S$2)</f>
        <v/>
      </c>
      <c r="AB424" s="40"/>
      <c r="AC424" s="41"/>
      <c r="AD424" s="17"/>
      <c r="AE424" s="17"/>
      <c r="AF424" s="17"/>
      <c r="AG424" s="46" t="str">
        <f aca="true">IF(OR(D424="",B424=""),"",INT(TODAY()-B424))</f>
        <v/>
      </c>
      <c r="AH424" s="44" t="str">
        <f aca="true">IF(D424="","",IF(OR(COUNTIFS(Clients!$C$2:$C$501,D424,Clients!$S$2:$S$501,"Paid")&gt;0,AND(H424&lt;&gt;"",COUNTIFS(Clients!$E$2:$E$501,H424,Clients!$S$2:$S$501,"Paid")&gt;0)),"⚠ Refunded before – no free video",IF(OR(X424="Contract signed + paid",X424="Closed – No response",X424="Lost"),"",IF(X424="","Set a stage",IF(AND(X424="Proposal sent",COUNTA(N424:S424)&lt;6),"Score this lead – proposal sent unscored",IF(N(Z424)&gt;=Settings!$S$3,"Close – 4 follow-ups sent",IF(AA424="",IF(Y424="","Make first contact",""),IF(TODAY()&gt;AA424,"OVERDUE follow-up",IF(TODAY()=AA424,"Follow up today","")))))))))</f>
        <v/>
      </c>
    </row>
    <row r="425" customFormat="false" ht="15" hidden="false" customHeight="false" outlineLevel="0" collapsed="false">
      <c r="A425" s="17"/>
      <c r="B425" s="40"/>
      <c r="C425" s="17"/>
      <c r="D425" s="17"/>
      <c r="E425" s="17"/>
      <c r="F425" s="17"/>
      <c r="G425" s="17"/>
      <c r="H425" s="42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44" t="str">
        <f aca="false">IF(OR(D425="",COUNTA(N425:S425)=0),"",SUMIFS(Settings!$AA$2:$AA$21,Settings!$Y$2:$Y$21,"Budget AED 5k+/mo?",Settings!$Z$2:$Z$21,N425)+SUMIFS(Settings!$AA$2:$AA$21,Settings!$Y$2:$Y$21,"Decision-maker?",Settings!$Z$2:$Z$21,O425)+SUMIFS(Settings!$AA$2:$AA$21,Settings!$Y$2:$Y$21,"Someone on camera?",Settings!$Z$2:$Z$21,P425)+SUMIFS(Settings!$AA$2:$AA$21,Settings!$Y$2:$Y$21,"OK with 3-month term?",Settings!$Z$2:$Z$21,Q425)+SUMIFS(Settings!$AA$2:$AA$21,Settings!$Y$2:$Y$21,"Start timeline",Settings!$Z$2:$Z$21,R425)+SUMIFS(Settings!$AA$2:$AA$21,Settings!$Y$2:$Y$21,"Social media gap",Settings!$Z$2:$Z$21,S425)+IF(E425="",0,IF(COUNTIF(Settings!$AC$2:$AC$6,E425)&gt;0,Settings!$AA$20,Settings!$AA$21)))</f>
        <v/>
      </c>
      <c r="U425" s="44" t="str">
        <f aca="false">IF(D425="","",IF(COUNTA(N425:S425)=0,"Not scored",IF(COUNTA(N425:S425)&lt;6,"Partly scored ("&amp;COUNTA(N425:S425)&amp;"/6)",IF(T425&gt;=Settings!$S$8,"Hot",IF(T425&gt;=Settings!$S$9,"Warm","Cold")))))</f>
        <v/>
      </c>
      <c r="V425" s="44" t="str">
        <f aca="false">IF(D425="","",IF(AND(N425="No",P425="No"),"🚩 Budget  ·  🚩 No one on camera",IF(N425="No","🚩 Budget under AED 5k",IF(P425="No","🚩 No one on camera",""))))</f>
        <v/>
      </c>
      <c r="W425" s="17"/>
      <c r="X425" s="17"/>
      <c r="Y425" s="40"/>
      <c r="Z425" s="17"/>
      <c r="AA425" s="45" t="str">
        <f aca="false">IF(OR(D425="",Y425="",OR(X425="Contract signed + paid",X425="Closed – No response",X425="Lost"),N(Z425)&gt;=Settings!$S$3),"",Y425+Settings!$S$2)</f>
        <v/>
      </c>
      <c r="AB425" s="40"/>
      <c r="AC425" s="41"/>
      <c r="AD425" s="17"/>
      <c r="AE425" s="17"/>
      <c r="AF425" s="17"/>
      <c r="AG425" s="46" t="str">
        <f aca="true">IF(OR(D425="",B425=""),"",INT(TODAY()-B425))</f>
        <v/>
      </c>
      <c r="AH425" s="44" t="str">
        <f aca="true">IF(D425="","",IF(OR(COUNTIFS(Clients!$C$2:$C$501,D425,Clients!$S$2:$S$501,"Paid")&gt;0,AND(H425&lt;&gt;"",COUNTIFS(Clients!$E$2:$E$501,H425,Clients!$S$2:$S$501,"Paid")&gt;0)),"⚠ Refunded before – no free video",IF(OR(X425="Contract signed + paid",X425="Closed – No response",X425="Lost"),"",IF(X425="","Set a stage",IF(AND(X425="Proposal sent",COUNTA(N425:S425)&lt;6),"Score this lead – proposal sent unscored",IF(N(Z425)&gt;=Settings!$S$3,"Close – 4 follow-ups sent",IF(AA425="",IF(Y425="","Make first contact",""),IF(TODAY()&gt;AA425,"OVERDUE follow-up",IF(TODAY()=AA425,"Follow up today","")))))))))</f>
        <v/>
      </c>
    </row>
    <row r="426" customFormat="false" ht="15" hidden="false" customHeight="false" outlineLevel="0" collapsed="false">
      <c r="A426" s="17"/>
      <c r="B426" s="40"/>
      <c r="C426" s="17"/>
      <c r="D426" s="17"/>
      <c r="E426" s="17"/>
      <c r="F426" s="17"/>
      <c r="G426" s="17"/>
      <c r="H426" s="42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44" t="str">
        <f aca="false">IF(OR(D426="",COUNTA(N426:S426)=0),"",SUMIFS(Settings!$AA$2:$AA$21,Settings!$Y$2:$Y$21,"Budget AED 5k+/mo?",Settings!$Z$2:$Z$21,N426)+SUMIFS(Settings!$AA$2:$AA$21,Settings!$Y$2:$Y$21,"Decision-maker?",Settings!$Z$2:$Z$21,O426)+SUMIFS(Settings!$AA$2:$AA$21,Settings!$Y$2:$Y$21,"Someone on camera?",Settings!$Z$2:$Z$21,P426)+SUMIFS(Settings!$AA$2:$AA$21,Settings!$Y$2:$Y$21,"OK with 3-month term?",Settings!$Z$2:$Z$21,Q426)+SUMIFS(Settings!$AA$2:$AA$21,Settings!$Y$2:$Y$21,"Start timeline",Settings!$Z$2:$Z$21,R426)+SUMIFS(Settings!$AA$2:$AA$21,Settings!$Y$2:$Y$21,"Social media gap",Settings!$Z$2:$Z$21,S426)+IF(E426="",0,IF(COUNTIF(Settings!$AC$2:$AC$6,E426)&gt;0,Settings!$AA$20,Settings!$AA$21)))</f>
        <v/>
      </c>
      <c r="U426" s="44" t="str">
        <f aca="false">IF(D426="","",IF(COUNTA(N426:S426)=0,"Not scored",IF(COUNTA(N426:S426)&lt;6,"Partly scored ("&amp;COUNTA(N426:S426)&amp;"/6)",IF(T426&gt;=Settings!$S$8,"Hot",IF(T426&gt;=Settings!$S$9,"Warm","Cold")))))</f>
        <v/>
      </c>
      <c r="V426" s="44" t="str">
        <f aca="false">IF(D426="","",IF(AND(N426="No",P426="No"),"🚩 Budget  ·  🚩 No one on camera",IF(N426="No","🚩 Budget under AED 5k",IF(P426="No","🚩 No one on camera",""))))</f>
        <v/>
      </c>
      <c r="W426" s="17"/>
      <c r="X426" s="17"/>
      <c r="Y426" s="40"/>
      <c r="Z426" s="17"/>
      <c r="AA426" s="45" t="str">
        <f aca="false">IF(OR(D426="",Y426="",OR(X426="Contract signed + paid",X426="Closed – No response",X426="Lost"),N(Z426)&gt;=Settings!$S$3),"",Y426+Settings!$S$2)</f>
        <v/>
      </c>
      <c r="AB426" s="40"/>
      <c r="AC426" s="41"/>
      <c r="AD426" s="17"/>
      <c r="AE426" s="17"/>
      <c r="AF426" s="17"/>
      <c r="AG426" s="46" t="str">
        <f aca="true">IF(OR(D426="",B426=""),"",INT(TODAY()-B426))</f>
        <v/>
      </c>
      <c r="AH426" s="44" t="str">
        <f aca="true">IF(D426="","",IF(OR(COUNTIFS(Clients!$C$2:$C$501,D426,Clients!$S$2:$S$501,"Paid")&gt;0,AND(H426&lt;&gt;"",COUNTIFS(Clients!$E$2:$E$501,H426,Clients!$S$2:$S$501,"Paid")&gt;0)),"⚠ Refunded before – no free video",IF(OR(X426="Contract signed + paid",X426="Closed – No response",X426="Lost"),"",IF(X426="","Set a stage",IF(AND(X426="Proposal sent",COUNTA(N426:S426)&lt;6),"Score this lead – proposal sent unscored",IF(N(Z426)&gt;=Settings!$S$3,"Close – 4 follow-ups sent",IF(AA426="",IF(Y426="","Make first contact",""),IF(TODAY()&gt;AA426,"OVERDUE follow-up",IF(TODAY()=AA426,"Follow up today","")))))))))</f>
        <v/>
      </c>
    </row>
    <row r="427" customFormat="false" ht="15" hidden="false" customHeight="false" outlineLevel="0" collapsed="false">
      <c r="A427" s="17"/>
      <c r="B427" s="40"/>
      <c r="C427" s="17"/>
      <c r="D427" s="17"/>
      <c r="E427" s="17"/>
      <c r="F427" s="17"/>
      <c r="G427" s="17"/>
      <c r="H427" s="42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44" t="str">
        <f aca="false">IF(OR(D427="",COUNTA(N427:S427)=0),"",SUMIFS(Settings!$AA$2:$AA$21,Settings!$Y$2:$Y$21,"Budget AED 5k+/mo?",Settings!$Z$2:$Z$21,N427)+SUMIFS(Settings!$AA$2:$AA$21,Settings!$Y$2:$Y$21,"Decision-maker?",Settings!$Z$2:$Z$21,O427)+SUMIFS(Settings!$AA$2:$AA$21,Settings!$Y$2:$Y$21,"Someone on camera?",Settings!$Z$2:$Z$21,P427)+SUMIFS(Settings!$AA$2:$AA$21,Settings!$Y$2:$Y$21,"OK with 3-month term?",Settings!$Z$2:$Z$21,Q427)+SUMIFS(Settings!$AA$2:$AA$21,Settings!$Y$2:$Y$21,"Start timeline",Settings!$Z$2:$Z$21,R427)+SUMIFS(Settings!$AA$2:$AA$21,Settings!$Y$2:$Y$21,"Social media gap",Settings!$Z$2:$Z$21,S427)+IF(E427="",0,IF(COUNTIF(Settings!$AC$2:$AC$6,E427)&gt;0,Settings!$AA$20,Settings!$AA$21)))</f>
        <v/>
      </c>
      <c r="U427" s="44" t="str">
        <f aca="false">IF(D427="","",IF(COUNTA(N427:S427)=0,"Not scored",IF(COUNTA(N427:S427)&lt;6,"Partly scored ("&amp;COUNTA(N427:S427)&amp;"/6)",IF(T427&gt;=Settings!$S$8,"Hot",IF(T427&gt;=Settings!$S$9,"Warm","Cold")))))</f>
        <v/>
      </c>
      <c r="V427" s="44" t="str">
        <f aca="false">IF(D427="","",IF(AND(N427="No",P427="No"),"🚩 Budget  ·  🚩 No one on camera",IF(N427="No","🚩 Budget under AED 5k",IF(P427="No","🚩 No one on camera",""))))</f>
        <v/>
      </c>
      <c r="W427" s="17"/>
      <c r="X427" s="17"/>
      <c r="Y427" s="40"/>
      <c r="Z427" s="17"/>
      <c r="AA427" s="45" t="str">
        <f aca="false">IF(OR(D427="",Y427="",OR(X427="Contract signed + paid",X427="Closed – No response",X427="Lost"),N(Z427)&gt;=Settings!$S$3),"",Y427+Settings!$S$2)</f>
        <v/>
      </c>
      <c r="AB427" s="40"/>
      <c r="AC427" s="41"/>
      <c r="AD427" s="17"/>
      <c r="AE427" s="17"/>
      <c r="AF427" s="17"/>
      <c r="AG427" s="46" t="str">
        <f aca="true">IF(OR(D427="",B427=""),"",INT(TODAY()-B427))</f>
        <v/>
      </c>
      <c r="AH427" s="44" t="str">
        <f aca="true">IF(D427="","",IF(OR(COUNTIFS(Clients!$C$2:$C$501,D427,Clients!$S$2:$S$501,"Paid")&gt;0,AND(H427&lt;&gt;"",COUNTIFS(Clients!$E$2:$E$501,H427,Clients!$S$2:$S$501,"Paid")&gt;0)),"⚠ Refunded before – no free video",IF(OR(X427="Contract signed + paid",X427="Closed – No response",X427="Lost"),"",IF(X427="","Set a stage",IF(AND(X427="Proposal sent",COUNTA(N427:S427)&lt;6),"Score this lead – proposal sent unscored",IF(N(Z427)&gt;=Settings!$S$3,"Close – 4 follow-ups sent",IF(AA427="",IF(Y427="","Make first contact",""),IF(TODAY()&gt;AA427,"OVERDUE follow-up",IF(TODAY()=AA427,"Follow up today","")))))))))</f>
        <v/>
      </c>
    </row>
    <row r="428" customFormat="false" ht="15" hidden="false" customHeight="false" outlineLevel="0" collapsed="false">
      <c r="A428" s="17"/>
      <c r="B428" s="40"/>
      <c r="C428" s="17"/>
      <c r="D428" s="17"/>
      <c r="E428" s="17"/>
      <c r="F428" s="17"/>
      <c r="G428" s="17"/>
      <c r="H428" s="42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44" t="str">
        <f aca="false">IF(OR(D428="",COUNTA(N428:S428)=0),"",SUMIFS(Settings!$AA$2:$AA$21,Settings!$Y$2:$Y$21,"Budget AED 5k+/mo?",Settings!$Z$2:$Z$21,N428)+SUMIFS(Settings!$AA$2:$AA$21,Settings!$Y$2:$Y$21,"Decision-maker?",Settings!$Z$2:$Z$21,O428)+SUMIFS(Settings!$AA$2:$AA$21,Settings!$Y$2:$Y$21,"Someone on camera?",Settings!$Z$2:$Z$21,P428)+SUMIFS(Settings!$AA$2:$AA$21,Settings!$Y$2:$Y$21,"OK with 3-month term?",Settings!$Z$2:$Z$21,Q428)+SUMIFS(Settings!$AA$2:$AA$21,Settings!$Y$2:$Y$21,"Start timeline",Settings!$Z$2:$Z$21,R428)+SUMIFS(Settings!$AA$2:$AA$21,Settings!$Y$2:$Y$21,"Social media gap",Settings!$Z$2:$Z$21,S428)+IF(E428="",0,IF(COUNTIF(Settings!$AC$2:$AC$6,E428)&gt;0,Settings!$AA$20,Settings!$AA$21)))</f>
        <v/>
      </c>
      <c r="U428" s="44" t="str">
        <f aca="false">IF(D428="","",IF(COUNTA(N428:S428)=0,"Not scored",IF(COUNTA(N428:S428)&lt;6,"Partly scored ("&amp;COUNTA(N428:S428)&amp;"/6)",IF(T428&gt;=Settings!$S$8,"Hot",IF(T428&gt;=Settings!$S$9,"Warm","Cold")))))</f>
        <v/>
      </c>
      <c r="V428" s="44" t="str">
        <f aca="false">IF(D428="","",IF(AND(N428="No",P428="No"),"🚩 Budget  ·  🚩 No one on camera",IF(N428="No","🚩 Budget under AED 5k",IF(P428="No","🚩 No one on camera",""))))</f>
        <v/>
      </c>
      <c r="W428" s="17"/>
      <c r="X428" s="17"/>
      <c r="Y428" s="40"/>
      <c r="Z428" s="17"/>
      <c r="AA428" s="45" t="str">
        <f aca="false">IF(OR(D428="",Y428="",OR(X428="Contract signed + paid",X428="Closed – No response",X428="Lost"),N(Z428)&gt;=Settings!$S$3),"",Y428+Settings!$S$2)</f>
        <v/>
      </c>
      <c r="AB428" s="40"/>
      <c r="AC428" s="41"/>
      <c r="AD428" s="17"/>
      <c r="AE428" s="17"/>
      <c r="AF428" s="17"/>
      <c r="AG428" s="46" t="str">
        <f aca="true">IF(OR(D428="",B428=""),"",INT(TODAY()-B428))</f>
        <v/>
      </c>
      <c r="AH428" s="44" t="str">
        <f aca="true">IF(D428="","",IF(OR(COUNTIFS(Clients!$C$2:$C$501,D428,Clients!$S$2:$S$501,"Paid")&gt;0,AND(H428&lt;&gt;"",COUNTIFS(Clients!$E$2:$E$501,H428,Clients!$S$2:$S$501,"Paid")&gt;0)),"⚠ Refunded before – no free video",IF(OR(X428="Contract signed + paid",X428="Closed – No response",X428="Lost"),"",IF(X428="","Set a stage",IF(AND(X428="Proposal sent",COUNTA(N428:S428)&lt;6),"Score this lead – proposal sent unscored",IF(N(Z428)&gt;=Settings!$S$3,"Close – 4 follow-ups sent",IF(AA428="",IF(Y428="","Make first contact",""),IF(TODAY()&gt;AA428,"OVERDUE follow-up",IF(TODAY()=AA428,"Follow up today","")))))))))</f>
        <v/>
      </c>
    </row>
    <row r="429" customFormat="false" ht="15" hidden="false" customHeight="false" outlineLevel="0" collapsed="false">
      <c r="A429" s="17"/>
      <c r="B429" s="40"/>
      <c r="C429" s="17"/>
      <c r="D429" s="17"/>
      <c r="E429" s="17"/>
      <c r="F429" s="17"/>
      <c r="G429" s="17"/>
      <c r="H429" s="42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44" t="str">
        <f aca="false">IF(OR(D429="",COUNTA(N429:S429)=0),"",SUMIFS(Settings!$AA$2:$AA$21,Settings!$Y$2:$Y$21,"Budget AED 5k+/mo?",Settings!$Z$2:$Z$21,N429)+SUMIFS(Settings!$AA$2:$AA$21,Settings!$Y$2:$Y$21,"Decision-maker?",Settings!$Z$2:$Z$21,O429)+SUMIFS(Settings!$AA$2:$AA$21,Settings!$Y$2:$Y$21,"Someone on camera?",Settings!$Z$2:$Z$21,P429)+SUMIFS(Settings!$AA$2:$AA$21,Settings!$Y$2:$Y$21,"OK with 3-month term?",Settings!$Z$2:$Z$21,Q429)+SUMIFS(Settings!$AA$2:$AA$21,Settings!$Y$2:$Y$21,"Start timeline",Settings!$Z$2:$Z$21,R429)+SUMIFS(Settings!$AA$2:$AA$21,Settings!$Y$2:$Y$21,"Social media gap",Settings!$Z$2:$Z$21,S429)+IF(E429="",0,IF(COUNTIF(Settings!$AC$2:$AC$6,E429)&gt;0,Settings!$AA$20,Settings!$AA$21)))</f>
        <v/>
      </c>
      <c r="U429" s="44" t="str">
        <f aca="false">IF(D429="","",IF(COUNTA(N429:S429)=0,"Not scored",IF(COUNTA(N429:S429)&lt;6,"Partly scored ("&amp;COUNTA(N429:S429)&amp;"/6)",IF(T429&gt;=Settings!$S$8,"Hot",IF(T429&gt;=Settings!$S$9,"Warm","Cold")))))</f>
        <v/>
      </c>
      <c r="V429" s="44" t="str">
        <f aca="false">IF(D429="","",IF(AND(N429="No",P429="No"),"🚩 Budget  ·  🚩 No one on camera",IF(N429="No","🚩 Budget under AED 5k",IF(P429="No","🚩 No one on camera",""))))</f>
        <v/>
      </c>
      <c r="W429" s="17"/>
      <c r="X429" s="17"/>
      <c r="Y429" s="40"/>
      <c r="Z429" s="17"/>
      <c r="AA429" s="45" t="str">
        <f aca="false">IF(OR(D429="",Y429="",OR(X429="Contract signed + paid",X429="Closed – No response",X429="Lost"),N(Z429)&gt;=Settings!$S$3),"",Y429+Settings!$S$2)</f>
        <v/>
      </c>
      <c r="AB429" s="40"/>
      <c r="AC429" s="41"/>
      <c r="AD429" s="17"/>
      <c r="AE429" s="17"/>
      <c r="AF429" s="17"/>
      <c r="AG429" s="46" t="str">
        <f aca="true">IF(OR(D429="",B429=""),"",INT(TODAY()-B429))</f>
        <v/>
      </c>
      <c r="AH429" s="44" t="str">
        <f aca="true">IF(D429="","",IF(OR(COUNTIFS(Clients!$C$2:$C$501,D429,Clients!$S$2:$S$501,"Paid")&gt;0,AND(H429&lt;&gt;"",COUNTIFS(Clients!$E$2:$E$501,H429,Clients!$S$2:$S$501,"Paid")&gt;0)),"⚠ Refunded before – no free video",IF(OR(X429="Contract signed + paid",X429="Closed – No response",X429="Lost"),"",IF(X429="","Set a stage",IF(AND(X429="Proposal sent",COUNTA(N429:S429)&lt;6),"Score this lead – proposal sent unscored",IF(N(Z429)&gt;=Settings!$S$3,"Close – 4 follow-ups sent",IF(AA429="",IF(Y429="","Make first contact",""),IF(TODAY()&gt;AA429,"OVERDUE follow-up",IF(TODAY()=AA429,"Follow up today","")))))))))</f>
        <v/>
      </c>
    </row>
    <row r="430" customFormat="false" ht="15" hidden="false" customHeight="false" outlineLevel="0" collapsed="false">
      <c r="A430" s="17"/>
      <c r="B430" s="40"/>
      <c r="C430" s="17"/>
      <c r="D430" s="17"/>
      <c r="E430" s="17"/>
      <c r="F430" s="17"/>
      <c r="G430" s="17"/>
      <c r="H430" s="42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44" t="str">
        <f aca="false">IF(OR(D430="",COUNTA(N430:S430)=0),"",SUMIFS(Settings!$AA$2:$AA$21,Settings!$Y$2:$Y$21,"Budget AED 5k+/mo?",Settings!$Z$2:$Z$21,N430)+SUMIFS(Settings!$AA$2:$AA$21,Settings!$Y$2:$Y$21,"Decision-maker?",Settings!$Z$2:$Z$21,O430)+SUMIFS(Settings!$AA$2:$AA$21,Settings!$Y$2:$Y$21,"Someone on camera?",Settings!$Z$2:$Z$21,P430)+SUMIFS(Settings!$AA$2:$AA$21,Settings!$Y$2:$Y$21,"OK with 3-month term?",Settings!$Z$2:$Z$21,Q430)+SUMIFS(Settings!$AA$2:$AA$21,Settings!$Y$2:$Y$21,"Start timeline",Settings!$Z$2:$Z$21,R430)+SUMIFS(Settings!$AA$2:$AA$21,Settings!$Y$2:$Y$21,"Social media gap",Settings!$Z$2:$Z$21,S430)+IF(E430="",0,IF(COUNTIF(Settings!$AC$2:$AC$6,E430)&gt;0,Settings!$AA$20,Settings!$AA$21)))</f>
        <v/>
      </c>
      <c r="U430" s="44" t="str">
        <f aca="false">IF(D430="","",IF(COUNTA(N430:S430)=0,"Not scored",IF(COUNTA(N430:S430)&lt;6,"Partly scored ("&amp;COUNTA(N430:S430)&amp;"/6)",IF(T430&gt;=Settings!$S$8,"Hot",IF(T430&gt;=Settings!$S$9,"Warm","Cold")))))</f>
        <v/>
      </c>
      <c r="V430" s="44" t="str">
        <f aca="false">IF(D430="","",IF(AND(N430="No",P430="No"),"🚩 Budget  ·  🚩 No one on camera",IF(N430="No","🚩 Budget under AED 5k",IF(P430="No","🚩 No one on camera",""))))</f>
        <v/>
      </c>
      <c r="W430" s="17"/>
      <c r="X430" s="17"/>
      <c r="Y430" s="40"/>
      <c r="Z430" s="17"/>
      <c r="AA430" s="45" t="str">
        <f aca="false">IF(OR(D430="",Y430="",OR(X430="Contract signed + paid",X430="Closed – No response",X430="Lost"),N(Z430)&gt;=Settings!$S$3),"",Y430+Settings!$S$2)</f>
        <v/>
      </c>
      <c r="AB430" s="40"/>
      <c r="AC430" s="41"/>
      <c r="AD430" s="17"/>
      <c r="AE430" s="17"/>
      <c r="AF430" s="17"/>
      <c r="AG430" s="46" t="str">
        <f aca="true">IF(OR(D430="",B430=""),"",INT(TODAY()-B430))</f>
        <v/>
      </c>
      <c r="AH430" s="44" t="str">
        <f aca="true">IF(D430="","",IF(OR(COUNTIFS(Clients!$C$2:$C$501,D430,Clients!$S$2:$S$501,"Paid")&gt;0,AND(H430&lt;&gt;"",COUNTIFS(Clients!$E$2:$E$501,H430,Clients!$S$2:$S$501,"Paid")&gt;0)),"⚠ Refunded before – no free video",IF(OR(X430="Contract signed + paid",X430="Closed – No response",X430="Lost"),"",IF(X430="","Set a stage",IF(AND(X430="Proposal sent",COUNTA(N430:S430)&lt;6),"Score this lead – proposal sent unscored",IF(N(Z430)&gt;=Settings!$S$3,"Close – 4 follow-ups sent",IF(AA430="",IF(Y430="","Make first contact",""),IF(TODAY()&gt;AA430,"OVERDUE follow-up",IF(TODAY()=AA430,"Follow up today","")))))))))</f>
        <v/>
      </c>
    </row>
    <row r="431" customFormat="false" ht="15" hidden="false" customHeight="false" outlineLevel="0" collapsed="false">
      <c r="A431" s="17"/>
      <c r="B431" s="40"/>
      <c r="C431" s="17"/>
      <c r="D431" s="17"/>
      <c r="E431" s="17"/>
      <c r="F431" s="17"/>
      <c r="G431" s="17"/>
      <c r="H431" s="42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44" t="str">
        <f aca="false">IF(OR(D431="",COUNTA(N431:S431)=0),"",SUMIFS(Settings!$AA$2:$AA$21,Settings!$Y$2:$Y$21,"Budget AED 5k+/mo?",Settings!$Z$2:$Z$21,N431)+SUMIFS(Settings!$AA$2:$AA$21,Settings!$Y$2:$Y$21,"Decision-maker?",Settings!$Z$2:$Z$21,O431)+SUMIFS(Settings!$AA$2:$AA$21,Settings!$Y$2:$Y$21,"Someone on camera?",Settings!$Z$2:$Z$21,P431)+SUMIFS(Settings!$AA$2:$AA$21,Settings!$Y$2:$Y$21,"OK with 3-month term?",Settings!$Z$2:$Z$21,Q431)+SUMIFS(Settings!$AA$2:$AA$21,Settings!$Y$2:$Y$21,"Start timeline",Settings!$Z$2:$Z$21,R431)+SUMIFS(Settings!$AA$2:$AA$21,Settings!$Y$2:$Y$21,"Social media gap",Settings!$Z$2:$Z$21,S431)+IF(E431="",0,IF(COUNTIF(Settings!$AC$2:$AC$6,E431)&gt;0,Settings!$AA$20,Settings!$AA$21)))</f>
        <v/>
      </c>
      <c r="U431" s="44" t="str">
        <f aca="false">IF(D431="","",IF(COUNTA(N431:S431)=0,"Not scored",IF(COUNTA(N431:S431)&lt;6,"Partly scored ("&amp;COUNTA(N431:S431)&amp;"/6)",IF(T431&gt;=Settings!$S$8,"Hot",IF(T431&gt;=Settings!$S$9,"Warm","Cold")))))</f>
        <v/>
      </c>
      <c r="V431" s="44" t="str">
        <f aca="false">IF(D431="","",IF(AND(N431="No",P431="No"),"🚩 Budget  ·  🚩 No one on camera",IF(N431="No","🚩 Budget under AED 5k",IF(P431="No","🚩 No one on camera",""))))</f>
        <v/>
      </c>
      <c r="W431" s="17"/>
      <c r="X431" s="17"/>
      <c r="Y431" s="40"/>
      <c r="Z431" s="17"/>
      <c r="AA431" s="45" t="str">
        <f aca="false">IF(OR(D431="",Y431="",OR(X431="Contract signed + paid",X431="Closed – No response",X431="Lost"),N(Z431)&gt;=Settings!$S$3),"",Y431+Settings!$S$2)</f>
        <v/>
      </c>
      <c r="AB431" s="40"/>
      <c r="AC431" s="41"/>
      <c r="AD431" s="17"/>
      <c r="AE431" s="17"/>
      <c r="AF431" s="17"/>
      <c r="AG431" s="46" t="str">
        <f aca="true">IF(OR(D431="",B431=""),"",INT(TODAY()-B431))</f>
        <v/>
      </c>
      <c r="AH431" s="44" t="str">
        <f aca="true">IF(D431="","",IF(OR(COUNTIFS(Clients!$C$2:$C$501,D431,Clients!$S$2:$S$501,"Paid")&gt;0,AND(H431&lt;&gt;"",COUNTIFS(Clients!$E$2:$E$501,H431,Clients!$S$2:$S$501,"Paid")&gt;0)),"⚠ Refunded before – no free video",IF(OR(X431="Contract signed + paid",X431="Closed – No response",X431="Lost"),"",IF(X431="","Set a stage",IF(AND(X431="Proposal sent",COUNTA(N431:S431)&lt;6),"Score this lead – proposal sent unscored",IF(N(Z431)&gt;=Settings!$S$3,"Close – 4 follow-ups sent",IF(AA431="",IF(Y431="","Make first contact",""),IF(TODAY()&gt;AA431,"OVERDUE follow-up",IF(TODAY()=AA431,"Follow up today","")))))))))</f>
        <v/>
      </c>
    </row>
    <row r="432" customFormat="false" ht="15" hidden="false" customHeight="false" outlineLevel="0" collapsed="false">
      <c r="A432" s="17"/>
      <c r="B432" s="40"/>
      <c r="C432" s="17"/>
      <c r="D432" s="17"/>
      <c r="E432" s="17"/>
      <c r="F432" s="17"/>
      <c r="G432" s="17"/>
      <c r="H432" s="42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44" t="str">
        <f aca="false">IF(OR(D432="",COUNTA(N432:S432)=0),"",SUMIFS(Settings!$AA$2:$AA$21,Settings!$Y$2:$Y$21,"Budget AED 5k+/mo?",Settings!$Z$2:$Z$21,N432)+SUMIFS(Settings!$AA$2:$AA$21,Settings!$Y$2:$Y$21,"Decision-maker?",Settings!$Z$2:$Z$21,O432)+SUMIFS(Settings!$AA$2:$AA$21,Settings!$Y$2:$Y$21,"Someone on camera?",Settings!$Z$2:$Z$21,P432)+SUMIFS(Settings!$AA$2:$AA$21,Settings!$Y$2:$Y$21,"OK with 3-month term?",Settings!$Z$2:$Z$21,Q432)+SUMIFS(Settings!$AA$2:$AA$21,Settings!$Y$2:$Y$21,"Start timeline",Settings!$Z$2:$Z$21,R432)+SUMIFS(Settings!$AA$2:$AA$21,Settings!$Y$2:$Y$21,"Social media gap",Settings!$Z$2:$Z$21,S432)+IF(E432="",0,IF(COUNTIF(Settings!$AC$2:$AC$6,E432)&gt;0,Settings!$AA$20,Settings!$AA$21)))</f>
        <v/>
      </c>
      <c r="U432" s="44" t="str">
        <f aca="false">IF(D432="","",IF(COUNTA(N432:S432)=0,"Not scored",IF(COUNTA(N432:S432)&lt;6,"Partly scored ("&amp;COUNTA(N432:S432)&amp;"/6)",IF(T432&gt;=Settings!$S$8,"Hot",IF(T432&gt;=Settings!$S$9,"Warm","Cold")))))</f>
        <v/>
      </c>
      <c r="V432" s="44" t="str">
        <f aca="false">IF(D432="","",IF(AND(N432="No",P432="No"),"🚩 Budget  ·  🚩 No one on camera",IF(N432="No","🚩 Budget under AED 5k",IF(P432="No","🚩 No one on camera",""))))</f>
        <v/>
      </c>
      <c r="W432" s="17"/>
      <c r="X432" s="17"/>
      <c r="Y432" s="40"/>
      <c r="Z432" s="17"/>
      <c r="AA432" s="45" t="str">
        <f aca="false">IF(OR(D432="",Y432="",OR(X432="Contract signed + paid",X432="Closed – No response",X432="Lost"),N(Z432)&gt;=Settings!$S$3),"",Y432+Settings!$S$2)</f>
        <v/>
      </c>
      <c r="AB432" s="40"/>
      <c r="AC432" s="41"/>
      <c r="AD432" s="17"/>
      <c r="AE432" s="17"/>
      <c r="AF432" s="17"/>
      <c r="AG432" s="46" t="str">
        <f aca="true">IF(OR(D432="",B432=""),"",INT(TODAY()-B432))</f>
        <v/>
      </c>
      <c r="AH432" s="44" t="str">
        <f aca="true">IF(D432="","",IF(OR(COUNTIFS(Clients!$C$2:$C$501,D432,Clients!$S$2:$S$501,"Paid")&gt;0,AND(H432&lt;&gt;"",COUNTIFS(Clients!$E$2:$E$501,H432,Clients!$S$2:$S$501,"Paid")&gt;0)),"⚠ Refunded before – no free video",IF(OR(X432="Contract signed + paid",X432="Closed – No response",X432="Lost"),"",IF(X432="","Set a stage",IF(AND(X432="Proposal sent",COUNTA(N432:S432)&lt;6),"Score this lead – proposal sent unscored",IF(N(Z432)&gt;=Settings!$S$3,"Close – 4 follow-ups sent",IF(AA432="",IF(Y432="","Make first contact",""),IF(TODAY()&gt;AA432,"OVERDUE follow-up",IF(TODAY()=AA432,"Follow up today","")))))))))</f>
        <v/>
      </c>
    </row>
    <row r="433" customFormat="false" ht="15" hidden="false" customHeight="false" outlineLevel="0" collapsed="false">
      <c r="A433" s="17"/>
      <c r="B433" s="40"/>
      <c r="C433" s="17"/>
      <c r="D433" s="17"/>
      <c r="E433" s="17"/>
      <c r="F433" s="17"/>
      <c r="G433" s="17"/>
      <c r="H433" s="42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44" t="str">
        <f aca="false">IF(OR(D433="",COUNTA(N433:S433)=0),"",SUMIFS(Settings!$AA$2:$AA$21,Settings!$Y$2:$Y$21,"Budget AED 5k+/mo?",Settings!$Z$2:$Z$21,N433)+SUMIFS(Settings!$AA$2:$AA$21,Settings!$Y$2:$Y$21,"Decision-maker?",Settings!$Z$2:$Z$21,O433)+SUMIFS(Settings!$AA$2:$AA$21,Settings!$Y$2:$Y$21,"Someone on camera?",Settings!$Z$2:$Z$21,P433)+SUMIFS(Settings!$AA$2:$AA$21,Settings!$Y$2:$Y$21,"OK with 3-month term?",Settings!$Z$2:$Z$21,Q433)+SUMIFS(Settings!$AA$2:$AA$21,Settings!$Y$2:$Y$21,"Start timeline",Settings!$Z$2:$Z$21,R433)+SUMIFS(Settings!$AA$2:$AA$21,Settings!$Y$2:$Y$21,"Social media gap",Settings!$Z$2:$Z$21,S433)+IF(E433="",0,IF(COUNTIF(Settings!$AC$2:$AC$6,E433)&gt;0,Settings!$AA$20,Settings!$AA$21)))</f>
        <v/>
      </c>
      <c r="U433" s="44" t="str">
        <f aca="false">IF(D433="","",IF(COUNTA(N433:S433)=0,"Not scored",IF(COUNTA(N433:S433)&lt;6,"Partly scored ("&amp;COUNTA(N433:S433)&amp;"/6)",IF(T433&gt;=Settings!$S$8,"Hot",IF(T433&gt;=Settings!$S$9,"Warm","Cold")))))</f>
        <v/>
      </c>
      <c r="V433" s="44" t="str">
        <f aca="false">IF(D433="","",IF(AND(N433="No",P433="No"),"🚩 Budget  ·  🚩 No one on camera",IF(N433="No","🚩 Budget under AED 5k",IF(P433="No","🚩 No one on camera",""))))</f>
        <v/>
      </c>
      <c r="W433" s="17"/>
      <c r="X433" s="17"/>
      <c r="Y433" s="40"/>
      <c r="Z433" s="17"/>
      <c r="AA433" s="45" t="str">
        <f aca="false">IF(OR(D433="",Y433="",OR(X433="Contract signed + paid",X433="Closed – No response",X433="Lost"),N(Z433)&gt;=Settings!$S$3),"",Y433+Settings!$S$2)</f>
        <v/>
      </c>
      <c r="AB433" s="40"/>
      <c r="AC433" s="41"/>
      <c r="AD433" s="17"/>
      <c r="AE433" s="17"/>
      <c r="AF433" s="17"/>
      <c r="AG433" s="46" t="str">
        <f aca="true">IF(OR(D433="",B433=""),"",INT(TODAY()-B433))</f>
        <v/>
      </c>
      <c r="AH433" s="44" t="str">
        <f aca="true">IF(D433="","",IF(OR(COUNTIFS(Clients!$C$2:$C$501,D433,Clients!$S$2:$S$501,"Paid")&gt;0,AND(H433&lt;&gt;"",COUNTIFS(Clients!$E$2:$E$501,H433,Clients!$S$2:$S$501,"Paid")&gt;0)),"⚠ Refunded before – no free video",IF(OR(X433="Contract signed + paid",X433="Closed – No response",X433="Lost"),"",IF(X433="","Set a stage",IF(AND(X433="Proposal sent",COUNTA(N433:S433)&lt;6),"Score this lead – proposal sent unscored",IF(N(Z433)&gt;=Settings!$S$3,"Close – 4 follow-ups sent",IF(AA433="",IF(Y433="","Make first contact",""),IF(TODAY()&gt;AA433,"OVERDUE follow-up",IF(TODAY()=AA433,"Follow up today","")))))))))</f>
        <v/>
      </c>
    </row>
    <row r="434" customFormat="false" ht="15" hidden="false" customHeight="false" outlineLevel="0" collapsed="false">
      <c r="A434" s="17"/>
      <c r="B434" s="40"/>
      <c r="C434" s="17"/>
      <c r="D434" s="17"/>
      <c r="E434" s="17"/>
      <c r="F434" s="17"/>
      <c r="G434" s="17"/>
      <c r="H434" s="42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44" t="str">
        <f aca="false">IF(OR(D434="",COUNTA(N434:S434)=0),"",SUMIFS(Settings!$AA$2:$AA$21,Settings!$Y$2:$Y$21,"Budget AED 5k+/mo?",Settings!$Z$2:$Z$21,N434)+SUMIFS(Settings!$AA$2:$AA$21,Settings!$Y$2:$Y$21,"Decision-maker?",Settings!$Z$2:$Z$21,O434)+SUMIFS(Settings!$AA$2:$AA$21,Settings!$Y$2:$Y$21,"Someone on camera?",Settings!$Z$2:$Z$21,P434)+SUMIFS(Settings!$AA$2:$AA$21,Settings!$Y$2:$Y$21,"OK with 3-month term?",Settings!$Z$2:$Z$21,Q434)+SUMIFS(Settings!$AA$2:$AA$21,Settings!$Y$2:$Y$21,"Start timeline",Settings!$Z$2:$Z$21,R434)+SUMIFS(Settings!$AA$2:$AA$21,Settings!$Y$2:$Y$21,"Social media gap",Settings!$Z$2:$Z$21,S434)+IF(E434="",0,IF(COUNTIF(Settings!$AC$2:$AC$6,E434)&gt;0,Settings!$AA$20,Settings!$AA$21)))</f>
        <v/>
      </c>
      <c r="U434" s="44" t="str">
        <f aca="false">IF(D434="","",IF(COUNTA(N434:S434)=0,"Not scored",IF(COUNTA(N434:S434)&lt;6,"Partly scored ("&amp;COUNTA(N434:S434)&amp;"/6)",IF(T434&gt;=Settings!$S$8,"Hot",IF(T434&gt;=Settings!$S$9,"Warm","Cold")))))</f>
        <v/>
      </c>
      <c r="V434" s="44" t="str">
        <f aca="false">IF(D434="","",IF(AND(N434="No",P434="No"),"🚩 Budget  ·  🚩 No one on camera",IF(N434="No","🚩 Budget under AED 5k",IF(P434="No","🚩 No one on camera",""))))</f>
        <v/>
      </c>
      <c r="W434" s="17"/>
      <c r="X434" s="17"/>
      <c r="Y434" s="40"/>
      <c r="Z434" s="17"/>
      <c r="AA434" s="45" t="str">
        <f aca="false">IF(OR(D434="",Y434="",OR(X434="Contract signed + paid",X434="Closed – No response",X434="Lost"),N(Z434)&gt;=Settings!$S$3),"",Y434+Settings!$S$2)</f>
        <v/>
      </c>
      <c r="AB434" s="40"/>
      <c r="AC434" s="41"/>
      <c r="AD434" s="17"/>
      <c r="AE434" s="17"/>
      <c r="AF434" s="17"/>
      <c r="AG434" s="46" t="str">
        <f aca="true">IF(OR(D434="",B434=""),"",INT(TODAY()-B434))</f>
        <v/>
      </c>
      <c r="AH434" s="44" t="str">
        <f aca="true">IF(D434="","",IF(OR(COUNTIFS(Clients!$C$2:$C$501,D434,Clients!$S$2:$S$501,"Paid")&gt;0,AND(H434&lt;&gt;"",COUNTIFS(Clients!$E$2:$E$501,H434,Clients!$S$2:$S$501,"Paid")&gt;0)),"⚠ Refunded before – no free video",IF(OR(X434="Contract signed + paid",X434="Closed – No response",X434="Lost"),"",IF(X434="","Set a stage",IF(AND(X434="Proposal sent",COUNTA(N434:S434)&lt;6),"Score this lead – proposal sent unscored",IF(N(Z434)&gt;=Settings!$S$3,"Close – 4 follow-ups sent",IF(AA434="",IF(Y434="","Make first contact",""),IF(TODAY()&gt;AA434,"OVERDUE follow-up",IF(TODAY()=AA434,"Follow up today","")))))))))</f>
        <v/>
      </c>
    </row>
    <row r="435" customFormat="false" ht="15" hidden="false" customHeight="false" outlineLevel="0" collapsed="false">
      <c r="A435" s="17"/>
      <c r="B435" s="40"/>
      <c r="C435" s="17"/>
      <c r="D435" s="17"/>
      <c r="E435" s="17"/>
      <c r="F435" s="17"/>
      <c r="G435" s="17"/>
      <c r="H435" s="42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44" t="str">
        <f aca="false">IF(OR(D435="",COUNTA(N435:S435)=0),"",SUMIFS(Settings!$AA$2:$AA$21,Settings!$Y$2:$Y$21,"Budget AED 5k+/mo?",Settings!$Z$2:$Z$21,N435)+SUMIFS(Settings!$AA$2:$AA$21,Settings!$Y$2:$Y$21,"Decision-maker?",Settings!$Z$2:$Z$21,O435)+SUMIFS(Settings!$AA$2:$AA$21,Settings!$Y$2:$Y$21,"Someone on camera?",Settings!$Z$2:$Z$21,P435)+SUMIFS(Settings!$AA$2:$AA$21,Settings!$Y$2:$Y$21,"OK with 3-month term?",Settings!$Z$2:$Z$21,Q435)+SUMIFS(Settings!$AA$2:$AA$21,Settings!$Y$2:$Y$21,"Start timeline",Settings!$Z$2:$Z$21,R435)+SUMIFS(Settings!$AA$2:$AA$21,Settings!$Y$2:$Y$21,"Social media gap",Settings!$Z$2:$Z$21,S435)+IF(E435="",0,IF(COUNTIF(Settings!$AC$2:$AC$6,E435)&gt;0,Settings!$AA$20,Settings!$AA$21)))</f>
        <v/>
      </c>
      <c r="U435" s="44" t="str">
        <f aca="false">IF(D435="","",IF(COUNTA(N435:S435)=0,"Not scored",IF(COUNTA(N435:S435)&lt;6,"Partly scored ("&amp;COUNTA(N435:S435)&amp;"/6)",IF(T435&gt;=Settings!$S$8,"Hot",IF(T435&gt;=Settings!$S$9,"Warm","Cold")))))</f>
        <v/>
      </c>
      <c r="V435" s="44" t="str">
        <f aca="false">IF(D435="","",IF(AND(N435="No",P435="No"),"🚩 Budget  ·  🚩 No one on camera",IF(N435="No","🚩 Budget under AED 5k",IF(P435="No","🚩 No one on camera",""))))</f>
        <v/>
      </c>
      <c r="W435" s="17"/>
      <c r="X435" s="17"/>
      <c r="Y435" s="40"/>
      <c r="Z435" s="17"/>
      <c r="AA435" s="45" t="str">
        <f aca="false">IF(OR(D435="",Y435="",OR(X435="Contract signed + paid",X435="Closed – No response",X435="Lost"),N(Z435)&gt;=Settings!$S$3),"",Y435+Settings!$S$2)</f>
        <v/>
      </c>
      <c r="AB435" s="40"/>
      <c r="AC435" s="41"/>
      <c r="AD435" s="17"/>
      <c r="AE435" s="17"/>
      <c r="AF435" s="17"/>
      <c r="AG435" s="46" t="str">
        <f aca="true">IF(OR(D435="",B435=""),"",INT(TODAY()-B435))</f>
        <v/>
      </c>
      <c r="AH435" s="44" t="str">
        <f aca="true">IF(D435="","",IF(OR(COUNTIFS(Clients!$C$2:$C$501,D435,Clients!$S$2:$S$501,"Paid")&gt;0,AND(H435&lt;&gt;"",COUNTIFS(Clients!$E$2:$E$501,H435,Clients!$S$2:$S$501,"Paid")&gt;0)),"⚠ Refunded before – no free video",IF(OR(X435="Contract signed + paid",X435="Closed – No response",X435="Lost"),"",IF(X435="","Set a stage",IF(AND(X435="Proposal sent",COUNTA(N435:S435)&lt;6),"Score this lead – proposal sent unscored",IF(N(Z435)&gt;=Settings!$S$3,"Close – 4 follow-ups sent",IF(AA435="",IF(Y435="","Make first contact",""),IF(TODAY()&gt;AA435,"OVERDUE follow-up",IF(TODAY()=AA435,"Follow up today","")))))))))</f>
        <v/>
      </c>
    </row>
    <row r="436" customFormat="false" ht="15" hidden="false" customHeight="false" outlineLevel="0" collapsed="false">
      <c r="A436" s="17"/>
      <c r="B436" s="40"/>
      <c r="C436" s="17"/>
      <c r="D436" s="17"/>
      <c r="E436" s="17"/>
      <c r="F436" s="17"/>
      <c r="G436" s="17"/>
      <c r="H436" s="42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44" t="str">
        <f aca="false">IF(OR(D436="",COUNTA(N436:S436)=0),"",SUMIFS(Settings!$AA$2:$AA$21,Settings!$Y$2:$Y$21,"Budget AED 5k+/mo?",Settings!$Z$2:$Z$21,N436)+SUMIFS(Settings!$AA$2:$AA$21,Settings!$Y$2:$Y$21,"Decision-maker?",Settings!$Z$2:$Z$21,O436)+SUMIFS(Settings!$AA$2:$AA$21,Settings!$Y$2:$Y$21,"Someone on camera?",Settings!$Z$2:$Z$21,P436)+SUMIFS(Settings!$AA$2:$AA$21,Settings!$Y$2:$Y$21,"OK with 3-month term?",Settings!$Z$2:$Z$21,Q436)+SUMIFS(Settings!$AA$2:$AA$21,Settings!$Y$2:$Y$21,"Start timeline",Settings!$Z$2:$Z$21,R436)+SUMIFS(Settings!$AA$2:$AA$21,Settings!$Y$2:$Y$21,"Social media gap",Settings!$Z$2:$Z$21,S436)+IF(E436="",0,IF(COUNTIF(Settings!$AC$2:$AC$6,E436)&gt;0,Settings!$AA$20,Settings!$AA$21)))</f>
        <v/>
      </c>
      <c r="U436" s="44" t="str">
        <f aca="false">IF(D436="","",IF(COUNTA(N436:S436)=0,"Not scored",IF(COUNTA(N436:S436)&lt;6,"Partly scored ("&amp;COUNTA(N436:S436)&amp;"/6)",IF(T436&gt;=Settings!$S$8,"Hot",IF(T436&gt;=Settings!$S$9,"Warm","Cold")))))</f>
        <v/>
      </c>
      <c r="V436" s="44" t="str">
        <f aca="false">IF(D436="","",IF(AND(N436="No",P436="No"),"🚩 Budget  ·  🚩 No one on camera",IF(N436="No","🚩 Budget under AED 5k",IF(P436="No","🚩 No one on camera",""))))</f>
        <v/>
      </c>
      <c r="W436" s="17"/>
      <c r="X436" s="17"/>
      <c r="Y436" s="40"/>
      <c r="Z436" s="17"/>
      <c r="AA436" s="45" t="str">
        <f aca="false">IF(OR(D436="",Y436="",OR(X436="Contract signed + paid",X436="Closed – No response",X436="Lost"),N(Z436)&gt;=Settings!$S$3),"",Y436+Settings!$S$2)</f>
        <v/>
      </c>
      <c r="AB436" s="40"/>
      <c r="AC436" s="41"/>
      <c r="AD436" s="17"/>
      <c r="AE436" s="17"/>
      <c r="AF436" s="17"/>
      <c r="AG436" s="46" t="str">
        <f aca="true">IF(OR(D436="",B436=""),"",INT(TODAY()-B436))</f>
        <v/>
      </c>
      <c r="AH436" s="44" t="str">
        <f aca="true">IF(D436="","",IF(OR(COUNTIFS(Clients!$C$2:$C$501,D436,Clients!$S$2:$S$501,"Paid")&gt;0,AND(H436&lt;&gt;"",COUNTIFS(Clients!$E$2:$E$501,H436,Clients!$S$2:$S$501,"Paid")&gt;0)),"⚠ Refunded before – no free video",IF(OR(X436="Contract signed + paid",X436="Closed – No response",X436="Lost"),"",IF(X436="","Set a stage",IF(AND(X436="Proposal sent",COUNTA(N436:S436)&lt;6),"Score this lead – proposal sent unscored",IF(N(Z436)&gt;=Settings!$S$3,"Close – 4 follow-ups sent",IF(AA436="",IF(Y436="","Make first contact",""),IF(TODAY()&gt;AA436,"OVERDUE follow-up",IF(TODAY()=AA436,"Follow up today","")))))))))</f>
        <v/>
      </c>
    </row>
    <row r="437" customFormat="false" ht="15" hidden="false" customHeight="false" outlineLevel="0" collapsed="false">
      <c r="A437" s="17"/>
      <c r="B437" s="40"/>
      <c r="C437" s="17"/>
      <c r="D437" s="17"/>
      <c r="E437" s="17"/>
      <c r="F437" s="17"/>
      <c r="G437" s="17"/>
      <c r="H437" s="42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44" t="str">
        <f aca="false">IF(OR(D437="",COUNTA(N437:S437)=0),"",SUMIFS(Settings!$AA$2:$AA$21,Settings!$Y$2:$Y$21,"Budget AED 5k+/mo?",Settings!$Z$2:$Z$21,N437)+SUMIFS(Settings!$AA$2:$AA$21,Settings!$Y$2:$Y$21,"Decision-maker?",Settings!$Z$2:$Z$21,O437)+SUMIFS(Settings!$AA$2:$AA$21,Settings!$Y$2:$Y$21,"Someone on camera?",Settings!$Z$2:$Z$21,P437)+SUMIFS(Settings!$AA$2:$AA$21,Settings!$Y$2:$Y$21,"OK with 3-month term?",Settings!$Z$2:$Z$21,Q437)+SUMIFS(Settings!$AA$2:$AA$21,Settings!$Y$2:$Y$21,"Start timeline",Settings!$Z$2:$Z$21,R437)+SUMIFS(Settings!$AA$2:$AA$21,Settings!$Y$2:$Y$21,"Social media gap",Settings!$Z$2:$Z$21,S437)+IF(E437="",0,IF(COUNTIF(Settings!$AC$2:$AC$6,E437)&gt;0,Settings!$AA$20,Settings!$AA$21)))</f>
        <v/>
      </c>
      <c r="U437" s="44" t="str">
        <f aca="false">IF(D437="","",IF(COUNTA(N437:S437)=0,"Not scored",IF(COUNTA(N437:S437)&lt;6,"Partly scored ("&amp;COUNTA(N437:S437)&amp;"/6)",IF(T437&gt;=Settings!$S$8,"Hot",IF(T437&gt;=Settings!$S$9,"Warm","Cold")))))</f>
        <v/>
      </c>
      <c r="V437" s="44" t="str">
        <f aca="false">IF(D437="","",IF(AND(N437="No",P437="No"),"🚩 Budget  ·  🚩 No one on camera",IF(N437="No","🚩 Budget under AED 5k",IF(P437="No","🚩 No one on camera",""))))</f>
        <v/>
      </c>
      <c r="W437" s="17"/>
      <c r="X437" s="17"/>
      <c r="Y437" s="40"/>
      <c r="Z437" s="17"/>
      <c r="AA437" s="45" t="str">
        <f aca="false">IF(OR(D437="",Y437="",OR(X437="Contract signed + paid",X437="Closed – No response",X437="Lost"),N(Z437)&gt;=Settings!$S$3),"",Y437+Settings!$S$2)</f>
        <v/>
      </c>
      <c r="AB437" s="40"/>
      <c r="AC437" s="41"/>
      <c r="AD437" s="17"/>
      <c r="AE437" s="17"/>
      <c r="AF437" s="17"/>
      <c r="AG437" s="46" t="str">
        <f aca="true">IF(OR(D437="",B437=""),"",INT(TODAY()-B437))</f>
        <v/>
      </c>
      <c r="AH437" s="44" t="str">
        <f aca="true">IF(D437="","",IF(OR(COUNTIFS(Clients!$C$2:$C$501,D437,Clients!$S$2:$S$501,"Paid")&gt;0,AND(H437&lt;&gt;"",COUNTIFS(Clients!$E$2:$E$501,H437,Clients!$S$2:$S$501,"Paid")&gt;0)),"⚠ Refunded before – no free video",IF(OR(X437="Contract signed + paid",X437="Closed – No response",X437="Lost"),"",IF(X437="","Set a stage",IF(AND(X437="Proposal sent",COUNTA(N437:S437)&lt;6),"Score this lead – proposal sent unscored",IF(N(Z437)&gt;=Settings!$S$3,"Close – 4 follow-ups sent",IF(AA437="",IF(Y437="","Make first contact",""),IF(TODAY()&gt;AA437,"OVERDUE follow-up",IF(TODAY()=AA437,"Follow up today","")))))))))</f>
        <v/>
      </c>
    </row>
    <row r="438" customFormat="false" ht="15" hidden="false" customHeight="false" outlineLevel="0" collapsed="false">
      <c r="A438" s="17"/>
      <c r="B438" s="40"/>
      <c r="C438" s="17"/>
      <c r="D438" s="17"/>
      <c r="E438" s="17"/>
      <c r="F438" s="17"/>
      <c r="G438" s="17"/>
      <c r="H438" s="42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44" t="str">
        <f aca="false">IF(OR(D438="",COUNTA(N438:S438)=0),"",SUMIFS(Settings!$AA$2:$AA$21,Settings!$Y$2:$Y$21,"Budget AED 5k+/mo?",Settings!$Z$2:$Z$21,N438)+SUMIFS(Settings!$AA$2:$AA$21,Settings!$Y$2:$Y$21,"Decision-maker?",Settings!$Z$2:$Z$21,O438)+SUMIFS(Settings!$AA$2:$AA$21,Settings!$Y$2:$Y$21,"Someone on camera?",Settings!$Z$2:$Z$21,P438)+SUMIFS(Settings!$AA$2:$AA$21,Settings!$Y$2:$Y$21,"OK with 3-month term?",Settings!$Z$2:$Z$21,Q438)+SUMIFS(Settings!$AA$2:$AA$21,Settings!$Y$2:$Y$21,"Start timeline",Settings!$Z$2:$Z$21,R438)+SUMIFS(Settings!$AA$2:$AA$21,Settings!$Y$2:$Y$21,"Social media gap",Settings!$Z$2:$Z$21,S438)+IF(E438="",0,IF(COUNTIF(Settings!$AC$2:$AC$6,E438)&gt;0,Settings!$AA$20,Settings!$AA$21)))</f>
        <v/>
      </c>
      <c r="U438" s="44" t="str">
        <f aca="false">IF(D438="","",IF(COUNTA(N438:S438)=0,"Not scored",IF(COUNTA(N438:S438)&lt;6,"Partly scored ("&amp;COUNTA(N438:S438)&amp;"/6)",IF(T438&gt;=Settings!$S$8,"Hot",IF(T438&gt;=Settings!$S$9,"Warm","Cold")))))</f>
        <v/>
      </c>
      <c r="V438" s="44" t="str">
        <f aca="false">IF(D438="","",IF(AND(N438="No",P438="No"),"🚩 Budget  ·  🚩 No one on camera",IF(N438="No","🚩 Budget under AED 5k",IF(P438="No","🚩 No one on camera",""))))</f>
        <v/>
      </c>
      <c r="W438" s="17"/>
      <c r="X438" s="17"/>
      <c r="Y438" s="40"/>
      <c r="Z438" s="17"/>
      <c r="AA438" s="45" t="str">
        <f aca="false">IF(OR(D438="",Y438="",OR(X438="Contract signed + paid",X438="Closed – No response",X438="Lost"),N(Z438)&gt;=Settings!$S$3),"",Y438+Settings!$S$2)</f>
        <v/>
      </c>
      <c r="AB438" s="40"/>
      <c r="AC438" s="41"/>
      <c r="AD438" s="17"/>
      <c r="AE438" s="17"/>
      <c r="AF438" s="17"/>
      <c r="AG438" s="46" t="str">
        <f aca="true">IF(OR(D438="",B438=""),"",INT(TODAY()-B438))</f>
        <v/>
      </c>
      <c r="AH438" s="44" t="str">
        <f aca="true">IF(D438="","",IF(OR(COUNTIFS(Clients!$C$2:$C$501,D438,Clients!$S$2:$S$501,"Paid")&gt;0,AND(H438&lt;&gt;"",COUNTIFS(Clients!$E$2:$E$501,H438,Clients!$S$2:$S$501,"Paid")&gt;0)),"⚠ Refunded before – no free video",IF(OR(X438="Contract signed + paid",X438="Closed – No response",X438="Lost"),"",IF(X438="","Set a stage",IF(AND(X438="Proposal sent",COUNTA(N438:S438)&lt;6),"Score this lead – proposal sent unscored",IF(N(Z438)&gt;=Settings!$S$3,"Close – 4 follow-ups sent",IF(AA438="",IF(Y438="","Make first contact",""),IF(TODAY()&gt;AA438,"OVERDUE follow-up",IF(TODAY()=AA438,"Follow up today","")))))))))</f>
        <v/>
      </c>
    </row>
    <row r="439" customFormat="false" ht="15" hidden="false" customHeight="false" outlineLevel="0" collapsed="false">
      <c r="A439" s="17"/>
      <c r="B439" s="40"/>
      <c r="C439" s="17"/>
      <c r="D439" s="17"/>
      <c r="E439" s="17"/>
      <c r="F439" s="17"/>
      <c r="G439" s="17"/>
      <c r="H439" s="42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44" t="str">
        <f aca="false">IF(OR(D439="",COUNTA(N439:S439)=0),"",SUMIFS(Settings!$AA$2:$AA$21,Settings!$Y$2:$Y$21,"Budget AED 5k+/mo?",Settings!$Z$2:$Z$21,N439)+SUMIFS(Settings!$AA$2:$AA$21,Settings!$Y$2:$Y$21,"Decision-maker?",Settings!$Z$2:$Z$21,O439)+SUMIFS(Settings!$AA$2:$AA$21,Settings!$Y$2:$Y$21,"Someone on camera?",Settings!$Z$2:$Z$21,P439)+SUMIFS(Settings!$AA$2:$AA$21,Settings!$Y$2:$Y$21,"OK with 3-month term?",Settings!$Z$2:$Z$21,Q439)+SUMIFS(Settings!$AA$2:$AA$21,Settings!$Y$2:$Y$21,"Start timeline",Settings!$Z$2:$Z$21,R439)+SUMIFS(Settings!$AA$2:$AA$21,Settings!$Y$2:$Y$21,"Social media gap",Settings!$Z$2:$Z$21,S439)+IF(E439="",0,IF(COUNTIF(Settings!$AC$2:$AC$6,E439)&gt;0,Settings!$AA$20,Settings!$AA$21)))</f>
        <v/>
      </c>
      <c r="U439" s="44" t="str">
        <f aca="false">IF(D439="","",IF(COUNTA(N439:S439)=0,"Not scored",IF(COUNTA(N439:S439)&lt;6,"Partly scored ("&amp;COUNTA(N439:S439)&amp;"/6)",IF(T439&gt;=Settings!$S$8,"Hot",IF(T439&gt;=Settings!$S$9,"Warm","Cold")))))</f>
        <v/>
      </c>
      <c r="V439" s="44" t="str">
        <f aca="false">IF(D439="","",IF(AND(N439="No",P439="No"),"🚩 Budget  ·  🚩 No one on camera",IF(N439="No","🚩 Budget under AED 5k",IF(P439="No","🚩 No one on camera",""))))</f>
        <v/>
      </c>
      <c r="W439" s="17"/>
      <c r="X439" s="17"/>
      <c r="Y439" s="40"/>
      <c r="Z439" s="17"/>
      <c r="AA439" s="45" t="str">
        <f aca="false">IF(OR(D439="",Y439="",OR(X439="Contract signed + paid",X439="Closed – No response",X439="Lost"),N(Z439)&gt;=Settings!$S$3),"",Y439+Settings!$S$2)</f>
        <v/>
      </c>
      <c r="AB439" s="40"/>
      <c r="AC439" s="41"/>
      <c r="AD439" s="17"/>
      <c r="AE439" s="17"/>
      <c r="AF439" s="17"/>
      <c r="AG439" s="46" t="str">
        <f aca="true">IF(OR(D439="",B439=""),"",INT(TODAY()-B439))</f>
        <v/>
      </c>
      <c r="AH439" s="44" t="str">
        <f aca="true">IF(D439="","",IF(OR(COUNTIFS(Clients!$C$2:$C$501,D439,Clients!$S$2:$S$501,"Paid")&gt;0,AND(H439&lt;&gt;"",COUNTIFS(Clients!$E$2:$E$501,H439,Clients!$S$2:$S$501,"Paid")&gt;0)),"⚠ Refunded before – no free video",IF(OR(X439="Contract signed + paid",X439="Closed – No response",X439="Lost"),"",IF(X439="","Set a stage",IF(AND(X439="Proposal sent",COUNTA(N439:S439)&lt;6),"Score this lead – proposal sent unscored",IF(N(Z439)&gt;=Settings!$S$3,"Close – 4 follow-ups sent",IF(AA439="",IF(Y439="","Make first contact",""),IF(TODAY()&gt;AA439,"OVERDUE follow-up",IF(TODAY()=AA439,"Follow up today","")))))))))</f>
        <v/>
      </c>
    </row>
    <row r="440" customFormat="false" ht="15" hidden="false" customHeight="false" outlineLevel="0" collapsed="false">
      <c r="A440" s="17"/>
      <c r="B440" s="40"/>
      <c r="C440" s="17"/>
      <c r="D440" s="17"/>
      <c r="E440" s="17"/>
      <c r="F440" s="17"/>
      <c r="G440" s="17"/>
      <c r="H440" s="42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44" t="str">
        <f aca="false">IF(OR(D440="",COUNTA(N440:S440)=0),"",SUMIFS(Settings!$AA$2:$AA$21,Settings!$Y$2:$Y$21,"Budget AED 5k+/mo?",Settings!$Z$2:$Z$21,N440)+SUMIFS(Settings!$AA$2:$AA$21,Settings!$Y$2:$Y$21,"Decision-maker?",Settings!$Z$2:$Z$21,O440)+SUMIFS(Settings!$AA$2:$AA$21,Settings!$Y$2:$Y$21,"Someone on camera?",Settings!$Z$2:$Z$21,P440)+SUMIFS(Settings!$AA$2:$AA$21,Settings!$Y$2:$Y$21,"OK with 3-month term?",Settings!$Z$2:$Z$21,Q440)+SUMIFS(Settings!$AA$2:$AA$21,Settings!$Y$2:$Y$21,"Start timeline",Settings!$Z$2:$Z$21,R440)+SUMIFS(Settings!$AA$2:$AA$21,Settings!$Y$2:$Y$21,"Social media gap",Settings!$Z$2:$Z$21,S440)+IF(E440="",0,IF(COUNTIF(Settings!$AC$2:$AC$6,E440)&gt;0,Settings!$AA$20,Settings!$AA$21)))</f>
        <v/>
      </c>
      <c r="U440" s="44" t="str">
        <f aca="false">IF(D440="","",IF(COUNTA(N440:S440)=0,"Not scored",IF(COUNTA(N440:S440)&lt;6,"Partly scored ("&amp;COUNTA(N440:S440)&amp;"/6)",IF(T440&gt;=Settings!$S$8,"Hot",IF(T440&gt;=Settings!$S$9,"Warm","Cold")))))</f>
        <v/>
      </c>
      <c r="V440" s="44" t="str">
        <f aca="false">IF(D440="","",IF(AND(N440="No",P440="No"),"🚩 Budget  ·  🚩 No one on camera",IF(N440="No","🚩 Budget under AED 5k",IF(P440="No","🚩 No one on camera",""))))</f>
        <v/>
      </c>
      <c r="W440" s="17"/>
      <c r="X440" s="17"/>
      <c r="Y440" s="40"/>
      <c r="Z440" s="17"/>
      <c r="AA440" s="45" t="str">
        <f aca="false">IF(OR(D440="",Y440="",OR(X440="Contract signed + paid",X440="Closed – No response",X440="Lost"),N(Z440)&gt;=Settings!$S$3),"",Y440+Settings!$S$2)</f>
        <v/>
      </c>
      <c r="AB440" s="40"/>
      <c r="AC440" s="41"/>
      <c r="AD440" s="17"/>
      <c r="AE440" s="17"/>
      <c r="AF440" s="17"/>
      <c r="AG440" s="46" t="str">
        <f aca="true">IF(OR(D440="",B440=""),"",INT(TODAY()-B440))</f>
        <v/>
      </c>
      <c r="AH440" s="44" t="str">
        <f aca="true">IF(D440="","",IF(OR(COUNTIFS(Clients!$C$2:$C$501,D440,Clients!$S$2:$S$501,"Paid")&gt;0,AND(H440&lt;&gt;"",COUNTIFS(Clients!$E$2:$E$501,H440,Clients!$S$2:$S$501,"Paid")&gt;0)),"⚠ Refunded before – no free video",IF(OR(X440="Contract signed + paid",X440="Closed – No response",X440="Lost"),"",IF(X440="","Set a stage",IF(AND(X440="Proposal sent",COUNTA(N440:S440)&lt;6),"Score this lead – proposal sent unscored",IF(N(Z440)&gt;=Settings!$S$3,"Close – 4 follow-ups sent",IF(AA440="",IF(Y440="","Make first contact",""),IF(TODAY()&gt;AA440,"OVERDUE follow-up",IF(TODAY()=AA440,"Follow up today","")))))))))</f>
        <v/>
      </c>
    </row>
    <row r="441" customFormat="false" ht="15" hidden="false" customHeight="false" outlineLevel="0" collapsed="false">
      <c r="A441" s="17"/>
      <c r="B441" s="40"/>
      <c r="C441" s="17"/>
      <c r="D441" s="17"/>
      <c r="E441" s="17"/>
      <c r="F441" s="17"/>
      <c r="G441" s="17"/>
      <c r="H441" s="42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44" t="str">
        <f aca="false">IF(OR(D441="",COUNTA(N441:S441)=0),"",SUMIFS(Settings!$AA$2:$AA$21,Settings!$Y$2:$Y$21,"Budget AED 5k+/mo?",Settings!$Z$2:$Z$21,N441)+SUMIFS(Settings!$AA$2:$AA$21,Settings!$Y$2:$Y$21,"Decision-maker?",Settings!$Z$2:$Z$21,O441)+SUMIFS(Settings!$AA$2:$AA$21,Settings!$Y$2:$Y$21,"Someone on camera?",Settings!$Z$2:$Z$21,P441)+SUMIFS(Settings!$AA$2:$AA$21,Settings!$Y$2:$Y$21,"OK with 3-month term?",Settings!$Z$2:$Z$21,Q441)+SUMIFS(Settings!$AA$2:$AA$21,Settings!$Y$2:$Y$21,"Start timeline",Settings!$Z$2:$Z$21,R441)+SUMIFS(Settings!$AA$2:$AA$21,Settings!$Y$2:$Y$21,"Social media gap",Settings!$Z$2:$Z$21,S441)+IF(E441="",0,IF(COUNTIF(Settings!$AC$2:$AC$6,E441)&gt;0,Settings!$AA$20,Settings!$AA$21)))</f>
        <v/>
      </c>
      <c r="U441" s="44" t="str">
        <f aca="false">IF(D441="","",IF(COUNTA(N441:S441)=0,"Not scored",IF(COUNTA(N441:S441)&lt;6,"Partly scored ("&amp;COUNTA(N441:S441)&amp;"/6)",IF(T441&gt;=Settings!$S$8,"Hot",IF(T441&gt;=Settings!$S$9,"Warm","Cold")))))</f>
        <v/>
      </c>
      <c r="V441" s="44" t="str">
        <f aca="false">IF(D441="","",IF(AND(N441="No",P441="No"),"🚩 Budget  ·  🚩 No one on camera",IF(N441="No","🚩 Budget under AED 5k",IF(P441="No","🚩 No one on camera",""))))</f>
        <v/>
      </c>
      <c r="W441" s="17"/>
      <c r="X441" s="17"/>
      <c r="Y441" s="40"/>
      <c r="Z441" s="17"/>
      <c r="AA441" s="45" t="str">
        <f aca="false">IF(OR(D441="",Y441="",OR(X441="Contract signed + paid",X441="Closed – No response",X441="Lost"),N(Z441)&gt;=Settings!$S$3),"",Y441+Settings!$S$2)</f>
        <v/>
      </c>
      <c r="AB441" s="40"/>
      <c r="AC441" s="41"/>
      <c r="AD441" s="17"/>
      <c r="AE441" s="17"/>
      <c r="AF441" s="17"/>
      <c r="AG441" s="46" t="str">
        <f aca="true">IF(OR(D441="",B441=""),"",INT(TODAY()-B441))</f>
        <v/>
      </c>
      <c r="AH441" s="44" t="str">
        <f aca="true">IF(D441="","",IF(OR(COUNTIFS(Clients!$C$2:$C$501,D441,Clients!$S$2:$S$501,"Paid")&gt;0,AND(H441&lt;&gt;"",COUNTIFS(Clients!$E$2:$E$501,H441,Clients!$S$2:$S$501,"Paid")&gt;0)),"⚠ Refunded before – no free video",IF(OR(X441="Contract signed + paid",X441="Closed – No response",X441="Lost"),"",IF(X441="","Set a stage",IF(AND(X441="Proposal sent",COUNTA(N441:S441)&lt;6),"Score this lead – proposal sent unscored",IF(N(Z441)&gt;=Settings!$S$3,"Close – 4 follow-ups sent",IF(AA441="",IF(Y441="","Make first contact",""),IF(TODAY()&gt;AA441,"OVERDUE follow-up",IF(TODAY()=AA441,"Follow up today","")))))))))</f>
        <v/>
      </c>
    </row>
    <row r="442" customFormat="false" ht="15" hidden="false" customHeight="false" outlineLevel="0" collapsed="false">
      <c r="A442" s="17"/>
      <c r="B442" s="40"/>
      <c r="C442" s="17"/>
      <c r="D442" s="17"/>
      <c r="E442" s="17"/>
      <c r="F442" s="17"/>
      <c r="G442" s="17"/>
      <c r="H442" s="42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44" t="str">
        <f aca="false">IF(OR(D442="",COUNTA(N442:S442)=0),"",SUMIFS(Settings!$AA$2:$AA$21,Settings!$Y$2:$Y$21,"Budget AED 5k+/mo?",Settings!$Z$2:$Z$21,N442)+SUMIFS(Settings!$AA$2:$AA$21,Settings!$Y$2:$Y$21,"Decision-maker?",Settings!$Z$2:$Z$21,O442)+SUMIFS(Settings!$AA$2:$AA$21,Settings!$Y$2:$Y$21,"Someone on camera?",Settings!$Z$2:$Z$21,P442)+SUMIFS(Settings!$AA$2:$AA$21,Settings!$Y$2:$Y$21,"OK with 3-month term?",Settings!$Z$2:$Z$21,Q442)+SUMIFS(Settings!$AA$2:$AA$21,Settings!$Y$2:$Y$21,"Start timeline",Settings!$Z$2:$Z$21,R442)+SUMIFS(Settings!$AA$2:$AA$21,Settings!$Y$2:$Y$21,"Social media gap",Settings!$Z$2:$Z$21,S442)+IF(E442="",0,IF(COUNTIF(Settings!$AC$2:$AC$6,E442)&gt;0,Settings!$AA$20,Settings!$AA$21)))</f>
        <v/>
      </c>
      <c r="U442" s="44" t="str">
        <f aca="false">IF(D442="","",IF(COUNTA(N442:S442)=0,"Not scored",IF(COUNTA(N442:S442)&lt;6,"Partly scored ("&amp;COUNTA(N442:S442)&amp;"/6)",IF(T442&gt;=Settings!$S$8,"Hot",IF(T442&gt;=Settings!$S$9,"Warm","Cold")))))</f>
        <v/>
      </c>
      <c r="V442" s="44" t="str">
        <f aca="false">IF(D442="","",IF(AND(N442="No",P442="No"),"🚩 Budget  ·  🚩 No one on camera",IF(N442="No","🚩 Budget under AED 5k",IF(P442="No","🚩 No one on camera",""))))</f>
        <v/>
      </c>
      <c r="W442" s="17"/>
      <c r="X442" s="17"/>
      <c r="Y442" s="40"/>
      <c r="Z442" s="17"/>
      <c r="AA442" s="45" t="str">
        <f aca="false">IF(OR(D442="",Y442="",OR(X442="Contract signed + paid",X442="Closed – No response",X442="Lost"),N(Z442)&gt;=Settings!$S$3),"",Y442+Settings!$S$2)</f>
        <v/>
      </c>
      <c r="AB442" s="40"/>
      <c r="AC442" s="41"/>
      <c r="AD442" s="17"/>
      <c r="AE442" s="17"/>
      <c r="AF442" s="17"/>
      <c r="AG442" s="46" t="str">
        <f aca="true">IF(OR(D442="",B442=""),"",INT(TODAY()-B442))</f>
        <v/>
      </c>
      <c r="AH442" s="44" t="str">
        <f aca="true">IF(D442="","",IF(OR(COUNTIFS(Clients!$C$2:$C$501,D442,Clients!$S$2:$S$501,"Paid")&gt;0,AND(H442&lt;&gt;"",COUNTIFS(Clients!$E$2:$E$501,H442,Clients!$S$2:$S$501,"Paid")&gt;0)),"⚠ Refunded before – no free video",IF(OR(X442="Contract signed + paid",X442="Closed – No response",X442="Lost"),"",IF(X442="","Set a stage",IF(AND(X442="Proposal sent",COUNTA(N442:S442)&lt;6),"Score this lead – proposal sent unscored",IF(N(Z442)&gt;=Settings!$S$3,"Close – 4 follow-ups sent",IF(AA442="",IF(Y442="","Make first contact",""),IF(TODAY()&gt;AA442,"OVERDUE follow-up",IF(TODAY()=AA442,"Follow up today","")))))))))</f>
        <v/>
      </c>
    </row>
    <row r="443" customFormat="false" ht="15" hidden="false" customHeight="false" outlineLevel="0" collapsed="false">
      <c r="A443" s="17"/>
      <c r="B443" s="40"/>
      <c r="C443" s="17"/>
      <c r="D443" s="17"/>
      <c r="E443" s="17"/>
      <c r="F443" s="17"/>
      <c r="G443" s="17"/>
      <c r="H443" s="42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44" t="str">
        <f aca="false">IF(OR(D443="",COUNTA(N443:S443)=0),"",SUMIFS(Settings!$AA$2:$AA$21,Settings!$Y$2:$Y$21,"Budget AED 5k+/mo?",Settings!$Z$2:$Z$21,N443)+SUMIFS(Settings!$AA$2:$AA$21,Settings!$Y$2:$Y$21,"Decision-maker?",Settings!$Z$2:$Z$21,O443)+SUMIFS(Settings!$AA$2:$AA$21,Settings!$Y$2:$Y$21,"Someone on camera?",Settings!$Z$2:$Z$21,P443)+SUMIFS(Settings!$AA$2:$AA$21,Settings!$Y$2:$Y$21,"OK with 3-month term?",Settings!$Z$2:$Z$21,Q443)+SUMIFS(Settings!$AA$2:$AA$21,Settings!$Y$2:$Y$21,"Start timeline",Settings!$Z$2:$Z$21,R443)+SUMIFS(Settings!$AA$2:$AA$21,Settings!$Y$2:$Y$21,"Social media gap",Settings!$Z$2:$Z$21,S443)+IF(E443="",0,IF(COUNTIF(Settings!$AC$2:$AC$6,E443)&gt;0,Settings!$AA$20,Settings!$AA$21)))</f>
        <v/>
      </c>
      <c r="U443" s="44" t="str">
        <f aca="false">IF(D443="","",IF(COUNTA(N443:S443)=0,"Not scored",IF(COUNTA(N443:S443)&lt;6,"Partly scored ("&amp;COUNTA(N443:S443)&amp;"/6)",IF(T443&gt;=Settings!$S$8,"Hot",IF(T443&gt;=Settings!$S$9,"Warm","Cold")))))</f>
        <v/>
      </c>
      <c r="V443" s="44" t="str">
        <f aca="false">IF(D443="","",IF(AND(N443="No",P443="No"),"🚩 Budget  ·  🚩 No one on camera",IF(N443="No","🚩 Budget under AED 5k",IF(P443="No","🚩 No one on camera",""))))</f>
        <v/>
      </c>
      <c r="W443" s="17"/>
      <c r="X443" s="17"/>
      <c r="Y443" s="40"/>
      <c r="Z443" s="17"/>
      <c r="AA443" s="45" t="str">
        <f aca="false">IF(OR(D443="",Y443="",OR(X443="Contract signed + paid",X443="Closed – No response",X443="Lost"),N(Z443)&gt;=Settings!$S$3),"",Y443+Settings!$S$2)</f>
        <v/>
      </c>
      <c r="AB443" s="40"/>
      <c r="AC443" s="41"/>
      <c r="AD443" s="17"/>
      <c r="AE443" s="17"/>
      <c r="AF443" s="17"/>
      <c r="AG443" s="46" t="str">
        <f aca="true">IF(OR(D443="",B443=""),"",INT(TODAY()-B443))</f>
        <v/>
      </c>
      <c r="AH443" s="44" t="str">
        <f aca="true">IF(D443="","",IF(OR(COUNTIFS(Clients!$C$2:$C$501,D443,Clients!$S$2:$S$501,"Paid")&gt;0,AND(H443&lt;&gt;"",COUNTIFS(Clients!$E$2:$E$501,H443,Clients!$S$2:$S$501,"Paid")&gt;0)),"⚠ Refunded before – no free video",IF(OR(X443="Contract signed + paid",X443="Closed – No response",X443="Lost"),"",IF(X443="","Set a stage",IF(AND(X443="Proposal sent",COUNTA(N443:S443)&lt;6),"Score this lead – proposal sent unscored",IF(N(Z443)&gt;=Settings!$S$3,"Close – 4 follow-ups sent",IF(AA443="",IF(Y443="","Make first contact",""),IF(TODAY()&gt;AA443,"OVERDUE follow-up",IF(TODAY()=AA443,"Follow up today","")))))))))</f>
        <v/>
      </c>
    </row>
    <row r="444" customFormat="false" ht="15" hidden="false" customHeight="false" outlineLevel="0" collapsed="false">
      <c r="A444" s="17"/>
      <c r="B444" s="40"/>
      <c r="C444" s="17"/>
      <c r="D444" s="17"/>
      <c r="E444" s="17"/>
      <c r="F444" s="17"/>
      <c r="G444" s="17"/>
      <c r="H444" s="42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44" t="str">
        <f aca="false">IF(OR(D444="",COUNTA(N444:S444)=0),"",SUMIFS(Settings!$AA$2:$AA$21,Settings!$Y$2:$Y$21,"Budget AED 5k+/mo?",Settings!$Z$2:$Z$21,N444)+SUMIFS(Settings!$AA$2:$AA$21,Settings!$Y$2:$Y$21,"Decision-maker?",Settings!$Z$2:$Z$21,O444)+SUMIFS(Settings!$AA$2:$AA$21,Settings!$Y$2:$Y$21,"Someone on camera?",Settings!$Z$2:$Z$21,P444)+SUMIFS(Settings!$AA$2:$AA$21,Settings!$Y$2:$Y$21,"OK with 3-month term?",Settings!$Z$2:$Z$21,Q444)+SUMIFS(Settings!$AA$2:$AA$21,Settings!$Y$2:$Y$21,"Start timeline",Settings!$Z$2:$Z$21,R444)+SUMIFS(Settings!$AA$2:$AA$21,Settings!$Y$2:$Y$21,"Social media gap",Settings!$Z$2:$Z$21,S444)+IF(E444="",0,IF(COUNTIF(Settings!$AC$2:$AC$6,E444)&gt;0,Settings!$AA$20,Settings!$AA$21)))</f>
        <v/>
      </c>
      <c r="U444" s="44" t="str">
        <f aca="false">IF(D444="","",IF(COUNTA(N444:S444)=0,"Not scored",IF(COUNTA(N444:S444)&lt;6,"Partly scored ("&amp;COUNTA(N444:S444)&amp;"/6)",IF(T444&gt;=Settings!$S$8,"Hot",IF(T444&gt;=Settings!$S$9,"Warm","Cold")))))</f>
        <v/>
      </c>
      <c r="V444" s="44" t="str">
        <f aca="false">IF(D444="","",IF(AND(N444="No",P444="No"),"🚩 Budget  ·  🚩 No one on camera",IF(N444="No","🚩 Budget under AED 5k",IF(P444="No","🚩 No one on camera",""))))</f>
        <v/>
      </c>
      <c r="W444" s="17"/>
      <c r="X444" s="17"/>
      <c r="Y444" s="40"/>
      <c r="Z444" s="17"/>
      <c r="AA444" s="45" t="str">
        <f aca="false">IF(OR(D444="",Y444="",OR(X444="Contract signed + paid",X444="Closed – No response",X444="Lost"),N(Z444)&gt;=Settings!$S$3),"",Y444+Settings!$S$2)</f>
        <v/>
      </c>
      <c r="AB444" s="40"/>
      <c r="AC444" s="41"/>
      <c r="AD444" s="17"/>
      <c r="AE444" s="17"/>
      <c r="AF444" s="17"/>
      <c r="AG444" s="46" t="str">
        <f aca="true">IF(OR(D444="",B444=""),"",INT(TODAY()-B444))</f>
        <v/>
      </c>
      <c r="AH444" s="44" t="str">
        <f aca="true">IF(D444="","",IF(OR(COUNTIFS(Clients!$C$2:$C$501,D444,Clients!$S$2:$S$501,"Paid")&gt;0,AND(H444&lt;&gt;"",COUNTIFS(Clients!$E$2:$E$501,H444,Clients!$S$2:$S$501,"Paid")&gt;0)),"⚠ Refunded before – no free video",IF(OR(X444="Contract signed + paid",X444="Closed – No response",X444="Lost"),"",IF(X444="","Set a stage",IF(AND(X444="Proposal sent",COUNTA(N444:S444)&lt;6),"Score this lead – proposal sent unscored",IF(N(Z444)&gt;=Settings!$S$3,"Close – 4 follow-ups sent",IF(AA444="",IF(Y444="","Make first contact",""),IF(TODAY()&gt;AA444,"OVERDUE follow-up",IF(TODAY()=AA444,"Follow up today","")))))))))</f>
        <v/>
      </c>
    </row>
    <row r="445" customFormat="false" ht="15" hidden="false" customHeight="false" outlineLevel="0" collapsed="false">
      <c r="A445" s="17"/>
      <c r="B445" s="40"/>
      <c r="C445" s="17"/>
      <c r="D445" s="17"/>
      <c r="E445" s="17"/>
      <c r="F445" s="17"/>
      <c r="G445" s="17"/>
      <c r="H445" s="42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44" t="str">
        <f aca="false">IF(OR(D445="",COUNTA(N445:S445)=0),"",SUMIFS(Settings!$AA$2:$AA$21,Settings!$Y$2:$Y$21,"Budget AED 5k+/mo?",Settings!$Z$2:$Z$21,N445)+SUMIFS(Settings!$AA$2:$AA$21,Settings!$Y$2:$Y$21,"Decision-maker?",Settings!$Z$2:$Z$21,O445)+SUMIFS(Settings!$AA$2:$AA$21,Settings!$Y$2:$Y$21,"Someone on camera?",Settings!$Z$2:$Z$21,P445)+SUMIFS(Settings!$AA$2:$AA$21,Settings!$Y$2:$Y$21,"OK with 3-month term?",Settings!$Z$2:$Z$21,Q445)+SUMIFS(Settings!$AA$2:$AA$21,Settings!$Y$2:$Y$21,"Start timeline",Settings!$Z$2:$Z$21,R445)+SUMIFS(Settings!$AA$2:$AA$21,Settings!$Y$2:$Y$21,"Social media gap",Settings!$Z$2:$Z$21,S445)+IF(E445="",0,IF(COUNTIF(Settings!$AC$2:$AC$6,E445)&gt;0,Settings!$AA$20,Settings!$AA$21)))</f>
        <v/>
      </c>
      <c r="U445" s="44" t="str">
        <f aca="false">IF(D445="","",IF(COUNTA(N445:S445)=0,"Not scored",IF(COUNTA(N445:S445)&lt;6,"Partly scored ("&amp;COUNTA(N445:S445)&amp;"/6)",IF(T445&gt;=Settings!$S$8,"Hot",IF(T445&gt;=Settings!$S$9,"Warm","Cold")))))</f>
        <v/>
      </c>
      <c r="V445" s="44" t="str">
        <f aca="false">IF(D445="","",IF(AND(N445="No",P445="No"),"🚩 Budget  ·  🚩 No one on camera",IF(N445="No","🚩 Budget under AED 5k",IF(P445="No","🚩 No one on camera",""))))</f>
        <v/>
      </c>
      <c r="W445" s="17"/>
      <c r="X445" s="17"/>
      <c r="Y445" s="40"/>
      <c r="Z445" s="17"/>
      <c r="AA445" s="45" t="str">
        <f aca="false">IF(OR(D445="",Y445="",OR(X445="Contract signed + paid",X445="Closed – No response",X445="Lost"),N(Z445)&gt;=Settings!$S$3),"",Y445+Settings!$S$2)</f>
        <v/>
      </c>
      <c r="AB445" s="40"/>
      <c r="AC445" s="41"/>
      <c r="AD445" s="17"/>
      <c r="AE445" s="17"/>
      <c r="AF445" s="17"/>
      <c r="AG445" s="46" t="str">
        <f aca="true">IF(OR(D445="",B445=""),"",INT(TODAY()-B445))</f>
        <v/>
      </c>
      <c r="AH445" s="44" t="str">
        <f aca="true">IF(D445="","",IF(OR(COUNTIFS(Clients!$C$2:$C$501,D445,Clients!$S$2:$S$501,"Paid")&gt;0,AND(H445&lt;&gt;"",COUNTIFS(Clients!$E$2:$E$501,H445,Clients!$S$2:$S$501,"Paid")&gt;0)),"⚠ Refunded before – no free video",IF(OR(X445="Contract signed + paid",X445="Closed – No response",X445="Lost"),"",IF(X445="","Set a stage",IF(AND(X445="Proposal sent",COUNTA(N445:S445)&lt;6),"Score this lead – proposal sent unscored",IF(N(Z445)&gt;=Settings!$S$3,"Close – 4 follow-ups sent",IF(AA445="",IF(Y445="","Make first contact",""),IF(TODAY()&gt;AA445,"OVERDUE follow-up",IF(TODAY()=AA445,"Follow up today","")))))))))</f>
        <v/>
      </c>
    </row>
    <row r="446" customFormat="false" ht="15" hidden="false" customHeight="false" outlineLevel="0" collapsed="false">
      <c r="A446" s="17"/>
      <c r="B446" s="40"/>
      <c r="C446" s="17"/>
      <c r="D446" s="17"/>
      <c r="E446" s="17"/>
      <c r="F446" s="17"/>
      <c r="G446" s="17"/>
      <c r="H446" s="42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44" t="str">
        <f aca="false">IF(OR(D446="",COUNTA(N446:S446)=0),"",SUMIFS(Settings!$AA$2:$AA$21,Settings!$Y$2:$Y$21,"Budget AED 5k+/mo?",Settings!$Z$2:$Z$21,N446)+SUMIFS(Settings!$AA$2:$AA$21,Settings!$Y$2:$Y$21,"Decision-maker?",Settings!$Z$2:$Z$21,O446)+SUMIFS(Settings!$AA$2:$AA$21,Settings!$Y$2:$Y$21,"Someone on camera?",Settings!$Z$2:$Z$21,P446)+SUMIFS(Settings!$AA$2:$AA$21,Settings!$Y$2:$Y$21,"OK with 3-month term?",Settings!$Z$2:$Z$21,Q446)+SUMIFS(Settings!$AA$2:$AA$21,Settings!$Y$2:$Y$21,"Start timeline",Settings!$Z$2:$Z$21,R446)+SUMIFS(Settings!$AA$2:$AA$21,Settings!$Y$2:$Y$21,"Social media gap",Settings!$Z$2:$Z$21,S446)+IF(E446="",0,IF(COUNTIF(Settings!$AC$2:$AC$6,E446)&gt;0,Settings!$AA$20,Settings!$AA$21)))</f>
        <v/>
      </c>
      <c r="U446" s="44" t="str">
        <f aca="false">IF(D446="","",IF(COUNTA(N446:S446)=0,"Not scored",IF(COUNTA(N446:S446)&lt;6,"Partly scored ("&amp;COUNTA(N446:S446)&amp;"/6)",IF(T446&gt;=Settings!$S$8,"Hot",IF(T446&gt;=Settings!$S$9,"Warm","Cold")))))</f>
        <v/>
      </c>
      <c r="V446" s="44" t="str">
        <f aca="false">IF(D446="","",IF(AND(N446="No",P446="No"),"🚩 Budget  ·  🚩 No one on camera",IF(N446="No","🚩 Budget under AED 5k",IF(P446="No","🚩 No one on camera",""))))</f>
        <v/>
      </c>
      <c r="W446" s="17"/>
      <c r="X446" s="17"/>
      <c r="Y446" s="40"/>
      <c r="Z446" s="17"/>
      <c r="AA446" s="45" t="str">
        <f aca="false">IF(OR(D446="",Y446="",OR(X446="Contract signed + paid",X446="Closed – No response",X446="Lost"),N(Z446)&gt;=Settings!$S$3),"",Y446+Settings!$S$2)</f>
        <v/>
      </c>
      <c r="AB446" s="40"/>
      <c r="AC446" s="41"/>
      <c r="AD446" s="17"/>
      <c r="AE446" s="17"/>
      <c r="AF446" s="17"/>
      <c r="AG446" s="46" t="str">
        <f aca="true">IF(OR(D446="",B446=""),"",INT(TODAY()-B446))</f>
        <v/>
      </c>
      <c r="AH446" s="44" t="str">
        <f aca="true">IF(D446="","",IF(OR(COUNTIFS(Clients!$C$2:$C$501,D446,Clients!$S$2:$S$501,"Paid")&gt;0,AND(H446&lt;&gt;"",COUNTIFS(Clients!$E$2:$E$501,H446,Clients!$S$2:$S$501,"Paid")&gt;0)),"⚠ Refunded before – no free video",IF(OR(X446="Contract signed + paid",X446="Closed – No response",X446="Lost"),"",IF(X446="","Set a stage",IF(AND(X446="Proposal sent",COUNTA(N446:S446)&lt;6),"Score this lead – proposal sent unscored",IF(N(Z446)&gt;=Settings!$S$3,"Close – 4 follow-ups sent",IF(AA446="",IF(Y446="","Make first contact",""),IF(TODAY()&gt;AA446,"OVERDUE follow-up",IF(TODAY()=AA446,"Follow up today","")))))))))</f>
        <v/>
      </c>
    </row>
    <row r="447" customFormat="false" ht="15" hidden="false" customHeight="false" outlineLevel="0" collapsed="false">
      <c r="A447" s="17"/>
      <c r="B447" s="40"/>
      <c r="C447" s="17"/>
      <c r="D447" s="17"/>
      <c r="E447" s="17"/>
      <c r="F447" s="17"/>
      <c r="G447" s="17"/>
      <c r="H447" s="42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44" t="str">
        <f aca="false">IF(OR(D447="",COUNTA(N447:S447)=0),"",SUMIFS(Settings!$AA$2:$AA$21,Settings!$Y$2:$Y$21,"Budget AED 5k+/mo?",Settings!$Z$2:$Z$21,N447)+SUMIFS(Settings!$AA$2:$AA$21,Settings!$Y$2:$Y$21,"Decision-maker?",Settings!$Z$2:$Z$21,O447)+SUMIFS(Settings!$AA$2:$AA$21,Settings!$Y$2:$Y$21,"Someone on camera?",Settings!$Z$2:$Z$21,P447)+SUMIFS(Settings!$AA$2:$AA$21,Settings!$Y$2:$Y$21,"OK with 3-month term?",Settings!$Z$2:$Z$21,Q447)+SUMIFS(Settings!$AA$2:$AA$21,Settings!$Y$2:$Y$21,"Start timeline",Settings!$Z$2:$Z$21,R447)+SUMIFS(Settings!$AA$2:$AA$21,Settings!$Y$2:$Y$21,"Social media gap",Settings!$Z$2:$Z$21,S447)+IF(E447="",0,IF(COUNTIF(Settings!$AC$2:$AC$6,E447)&gt;0,Settings!$AA$20,Settings!$AA$21)))</f>
        <v/>
      </c>
      <c r="U447" s="44" t="str">
        <f aca="false">IF(D447="","",IF(COUNTA(N447:S447)=0,"Not scored",IF(COUNTA(N447:S447)&lt;6,"Partly scored ("&amp;COUNTA(N447:S447)&amp;"/6)",IF(T447&gt;=Settings!$S$8,"Hot",IF(T447&gt;=Settings!$S$9,"Warm","Cold")))))</f>
        <v/>
      </c>
      <c r="V447" s="44" t="str">
        <f aca="false">IF(D447="","",IF(AND(N447="No",P447="No"),"🚩 Budget  ·  🚩 No one on camera",IF(N447="No","🚩 Budget under AED 5k",IF(P447="No","🚩 No one on camera",""))))</f>
        <v/>
      </c>
      <c r="W447" s="17"/>
      <c r="X447" s="17"/>
      <c r="Y447" s="40"/>
      <c r="Z447" s="17"/>
      <c r="AA447" s="45" t="str">
        <f aca="false">IF(OR(D447="",Y447="",OR(X447="Contract signed + paid",X447="Closed – No response",X447="Lost"),N(Z447)&gt;=Settings!$S$3),"",Y447+Settings!$S$2)</f>
        <v/>
      </c>
      <c r="AB447" s="40"/>
      <c r="AC447" s="41"/>
      <c r="AD447" s="17"/>
      <c r="AE447" s="17"/>
      <c r="AF447" s="17"/>
      <c r="AG447" s="46" t="str">
        <f aca="true">IF(OR(D447="",B447=""),"",INT(TODAY()-B447))</f>
        <v/>
      </c>
      <c r="AH447" s="44" t="str">
        <f aca="true">IF(D447="","",IF(OR(COUNTIFS(Clients!$C$2:$C$501,D447,Clients!$S$2:$S$501,"Paid")&gt;0,AND(H447&lt;&gt;"",COUNTIFS(Clients!$E$2:$E$501,H447,Clients!$S$2:$S$501,"Paid")&gt;0)),"⚠ Refunded before – no free video",IF(OR(X447="Contract signed + paid",X447="Closed – No response",X447="Lost"),"",IF(X447="","Set a stage",IF(AND(X447="Proposal sent",COUNTA(N447:S447)&lt;6),"Score this lead – proposal sent unscored",IF(N(Z447)&gt;=Settings!$S$3,"Close – 4 follow-ups sent",IF(AA447="",IF(Y447="","Make first contact",""),IF(TODAY()&gt;AA447,"OVERDUE follow-up",IF(TODAY()=AA447,"Follow up today","")))))))))</f>
        <v/>
      </c>
    </row>
    <row r="448" customFormat="false" ht="15" hidden="false" customHeight="false" outlineLevel="0" collapsed="false">
      <c r="A448" s="17"/>
      <c r="B448" s="40"/>
      <c r="C448" s="17"/>
      <c r="D448" s="17"/>
      <c r="E448" s="17"/>
      <c r="F448" s="17"/>
      <c r="G448" s="17"/>
      <c r="H448" s="42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44" t="str">
        <f aca="false">IF(OR(D448="",COUNTA(N448:S448)=0),"",SUMIFS(Settings!$AA$2:$AA$21,Settings!$Y$2:$Y$21,"Budget AED 5k+/mo?",Settings!$Z$2:$Z$21,N448)+SUMIFS(Settings!$AA$2:$AA$21,Settings!$Y$2:$Y$21,"Decision-maker?",Settings!$Z$2:$Z$21,O448)+SUMIFS(Settings!$AA$2:$AA$21,Settings!$Y$2:$Y$21,"Someone on camera?",Settings!$Z$2:$Z$21,P448)+SUMIFS(Settings!$AA$2:$AA$21,Settings!$Y$2:$Y$21,"OK with 3-month term?",Settings!$Z$2:$Z$21,Q448)+SUMIFS(Settings!$AA$2:$AA$21,Settings!$Y$2:$Y$21,"Start timeline",Settings!$Z$2:$Z$21,R448)+SUMIFS(Settings!$AA$2:$AA$21,Settings!$Y$2:$Y$21,"Social media gap",Settings!$Z$2:$Z$21,S448)+IF(E448="",0,IF(COUNTIF(Settings!$AC$2:$AC$6,E448)&gt;0,Settings!$AA$20,Settings!$AA$21)))</f>
        <v/>
      </c>
      <c r="U448" s="44" t="str">
        <f aca="false">IF(D448="","",IF(COUNTA(N448:S448)=0,"Not scored",IF(COUNTA(N448:S448)&lt;6,"Partly scored ("&amp;COUNTA(N448:S448)&amp;"/6)",IF(T448&gt;=Settings!$S$8,"Hot",IF(T448&gt;=Settings!$S$9,"Warm","Cold")))))</f>
        <v/>
      </c>
      <c r="V448" s="44" t="str">
        <f aca="false">IF(D448="","",IF(AND(N448="No",P448="No"),"🚩 Budget  ·  🚩 No one on camera",IF(N448="No","🚩 Budget under AED 5k",IF(P448="No","🚩 No one on camera",""))))</f>
        <v/>
      </c>
      <c r="W448" s="17"/>
      <c r="X448" s="17"/>
      <c r="Y448" s="40"/>
      <c r="Z448" s="17"/>
      <c r="AA448" s="45" t="str">
        <f aca="false">IF(OR(D448="",Y448="",OR(X448="Contract signed + paid",X448="Closed – No response",X448="Lost"),N(Z448)&gt;=Settings!$S$3),"",Y448+Settings!$S$2)</f>
        <v/>
      </c>
      <c r="AB448" s="40"/>
      <c r="AC448" s="41"/>
      <c r="AD448" s="17"/>
      <c r="AE448" s="17"/>
      <c r="AF448" s="17"/>
      <c r="AG448" s="46" t="str">
        <f aca="true">IF(OR(D448="",B448=""),"",INT(TODAY()-B448))</f>
        <v/>
      </c>
      <c r="AH448" s="44" t="str">
        <f aca="true">IF(D448="","",IF(OR(COUNTIFS(Clients!$C$2:$C$501,D448,Clients!$S$2:$S$501,"Paid")&gt;0,AND(H448&lt;&gt;"",COUNTIFS(Clients!$E$2:$E$501,H448,Clients!$S$2:$S$501,"Paid")&gt;0)),"⚠ Refunded before – no free video",IF(OR(X448="Contract signed + paid",X448="Closed – No response",X448="Lost"),"",IF(X448="","Set a stage",IF(AND(X448="Proposal sent",COUNTA(N448:S448)&lt;6),"Score this lead – proposal sent unscored",IF(N(Z448)&gt;=Settings!$S$3,"Close – 4 follow-ups sent",IF(AA448="",IF(Y448="","Make first contact",""),IF(TODAY()&gt;AA448,"OVERDUE follow-up",IF(TODAY()=AA448,"Follow up today","")))))))))</f>
        <v/>
      </c>
    </row>
    <row r="449" customFormat="false" ht="15" hidden="false" customHeight="false" outlineLevel="0" collapsed="false">
      <c r="A449" s="17"/>
      <c r="B449" s="40"/>
      <c r="C449" s="17"/>
      <c r="D449" s="17"/>
      <c r="E449" s="17"/>
      <c r="F449" s="17"/>
      <c r="G449" s="17"/>
      <c r="H449" s="42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44" t="str">
        <f aca="false">IF(OR(D449="",COUNTA(N449:S449)=0),"",SUMIFS(Settings!$AA$2:$AA$21,Settings!$Y$2:$Y$21,"Budget AED 5k+/mo?",Settings!$Z$2:$Z$21,N449)+SUMIFS(Settings!$AA$2:$AA$21,Settings!$Y$2:$Y$21,"Decision-maker?",Settings!$Z$2:$Z$21,O449)+SUMIFS(Settings!$AA$2:$AA$21,Settings!$Y$2:$Y$21,"Someone on camera?",Settings!$Z$2:$Z$21,P449)+SUMIFS(Settings!$AA$2:$AA$21,Settings!$Y$2:$Y$21,"OK with 3-month term?",Settings!$Z$2:$Z$21,Q449)+SUMIFS(Settings!$AA$2:$AA$21,Settings!$Y$2:$Y$21,"Start timeline",Settings!$Z$2:$Z$21,R449)+SUMIFS(Settings!$AA$2:$AA$21,Settings!$Y$2:$Y$21,"Social media gap",Settings!$Z$2:$Z$21,S449)+IF(E449="",0,IF(COUNTIF(Settings!$AC$2:$AC$6,E449)&gt;0,Settings!$AA$20,Settings!$AA$21)))</f>
        <v/>
      </c>
      <c r="U449" s="44" t="str">
        <f aca="false">IF(D449="","",IF(COUNTA(N449:S449)=0,"Not scored",IF(COUNTA(N449:S449)&lt;6,"Partly scored ("&amp;COUNTA(N449:S449)&amp;"/6)",IF(T449&gt;=Settings!$S$8,"Hot",IF(T449&gt;=Settings!$S$9,"Warm","Cold")))))</f>
        <v/>
      </c>
      <c r="V449" s="44" t="str">
        <f aca="false">IF(D449="","",IF(AND(N449="No",P449="No"),"🚩 Budget  ·  🚩 No one on camera",IF(N449="No","🚩 Budget under AED 5k",IF(P449="No","🚩 No one on camera",""))))</f>
        <v/>
      </c>
      <c r="W449" s="17"/>
      <c r="X449" s="17"/>
      <c r="Y449" s="40"/>
      <c r="Z449" s="17"/>
      <c r="AA449" s="45" t="str">
        <f aca="false">IF(OR(D449="",Y449="",OR(X449="Contract signed + paid",X449="Closed – No response",X449="Lost"),N(Z449)&gt;=Settings!$S$3),"",Y449+Settings!$S$2)</f>
        <v/>
      </c>
      <c r="AB449" s="40"/>
      <c r="AC449" s="41"/>
      <c r="AD449" s="17"/>
      <c r="AE449" s="17"/>
      <c r="AF449" s="17"/>
      <c r="AG449" s="46" t="str">
        <f aca="true">IF(OR(D449="",B449=""),"",INT(TODAY()-B449))</f>
        <v/>
      </c>
      <c r="AH449" s="44" t="str">
        <f aca="true">IF(D449="","",IF(OR(COUNTIFS(Clients!$C$2:$C$501,D449,Clients!$S$2:$S$501,"Paid")&gt;0,AND(H449&lt;&gt;"",COUNTIFS(Clients!$E$2:$E$501,H449,Clients!$S$2:$S$501,"Paid")&gt;0)),"⚠ Refunded before – no free video",IF(OR(X449="Contract signed + paid",X449="Closed – No response",X449="Lost"),"",IF(X449="","Set a stage",IF(AND(X449="Proposal sent",COUNTA(N449:S449)&lt;6),"Score this lead – proposal sent unscored",IF(N(Z449)&gt;=Settings!$S$3,"Close – 4 follow-ups sent",IF(AA449="",IF(Y449="","Make first contact",""),IF(TODAY()&gt;AA449,"OVERDUE follow-up",IF(TODAY()=AA449,"Follow up today","")))))))))</f>
        <v/>
      </c>
    </row>
    <row r="450" customFormat="false" ht="15" hidden="false" customHeight="false" outlineLevel="0" collapsed="false">
      <c r="A450" s="17"/>
      <c r="B450" s="40"/>
      <c r="C450" s="17"/>
      <c r="D450" s="17"/>
      <c r="E450" s="17"/>
      <c r="F450" s="17"/>
      <c r="G450" s="17"/>
      <c r="H450" s="42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44" t="str">
        <f aca="false">IF(OR(D450="",COUNTA(N450:S450)=0),"",SUMIFS(Settings!$AA$2:$AA$21,Settings!$Y$2:$Y$21,"Budget AED 5k+/mo?",Settings!$Z$2:$Z$21,N450)+SUMIFS(Settings!$AA$2:$AA$21,Settings!$Y$2:$Y$21,"Decision-maker?",Settings!$Z$2:$Z$21,O450)+SUMIFS(Settings!$AA$2:$AA$21,Settings!$Y$2:$Y$21,"Someone on camera?",Settings!$Z$2:$Z$21,P450)+SUMIFS(Settings!$AA$2:$AA$21,Settings!$Y$2:$Y$21,"OK with 3-month term?",Settings!$Z$2:$Z$21,Q450)+SUMIFS(Settings!$AA$2:$AA$21,Settings!$Y$2:$Y$21,"Start timeline",Settings!$Z$2:$Z$21,R450)+SUMIFS(Settings!$AA$2:$AA$21,Settings!$Y$2:$Y$21,"Social media gap",Settings!$Z$2:$Z$21,S450)+IF(E450="",0,IF(COUNTIF(Settings!$AC$2:$AC$6,E450)&gt;0,Settings!$AA$20,Settings!$AA$21)))</f>
        <v/>
      </c>
      <c r="U450" s="44" t="str">
        <f aca="false">IF(D450="","",IF(COUNTA(N450:S450)=0,"Not scored",IF(COUNTA(N450:S450)&lt;6,"Partly scored ("&amp;COUNTA(N450:S450)&amp;"/6)",IF(T450&gt;=Settings!$S$8,"Hot",IF(T450&gt;=Settings!$S$9,"Warm","Cold")))))</f>
        <v/>
      </c>
      <c r="V450" s="44" t="str">
        <f aca="false">IF(D450="","",IF(AND(N450="No",P450="No"),"🚩 Budget  ·  🚩 No one on camera",IF(N450="No","🚩 Budget under AED 5k",IF(P450="No","🚩 No one on camera",""))))</f>
        <v/>
      </c>
      <c r="W450" s="17"/>
      <c r="X450" s="17"/>
      <c r="Y450" s="40"/>
      <c r="Z450" s="17"/>
      <c r="AA450" s="45" t="str">
        <f aca="false">IF(OR(D450="",Y450="",OR(X450="Contract signed + paid",X450="Closed – No response",X450="Lost"),N(Z450)&gt;=Settings!$S$3),"",Y450+Settings!$S$2)</f>
        <v/>
      </c>
      <c r="AB450" s="40"/>
      <c r="AC450" s="41"/>
      <c r="AD450" s="17"/>
      <c r="AE450" s="17"/>
      <c r="AF450" s="17"/>
      <c r="AG450" s="46" t="str">
        <f aca="true">IF(OR(D450="",B450=""),"",INT(TODAY()-B450))</f>
        <v/>
      </c>
      <c r="AH450" s="44" t="str">
        <f aca="true">IF(D450="","",IF(OR(COUNTIFS(Clients!$C$2:$C$501,D450,Clients!$S$2:$S$501,"Paid")&gt;0,AND(H450&lt;&gt;"",COUNTIFS(Clients!$E$2:$E$501,H450,Clients!$S$2:$S$501,"Paid")&gt;0)),"⚠ Refunded before – no free video",IF(OR(X450="Contract signed + paid",X450="Closed – No response",X450="Lost"),"",IF(X450="","Set a stage",IF(AND(X450="Proposal sent",COUNTA(N450:S450)&lt;6),"Score this lead – proposal sent unscored",IF(N(Z450)&gt;=Settings!$S$3,"Close – 4 follow-ups sent",IF(AA450="",IF(Y450="","Make first contact",""),IF(TODAY()&gt;AA450,"OVERDUE follow-up",IF(TODAY()=AA450,"Follow up today","")))))))))</f>
        <v/>
      </c>
    </row>
    <row r="451" customFormat="false" ht="15" hidden="false" customHeight="false" outlineLevel="0" collapsed="false">
      <c r="A451" s="17"/>
      <c r="B451" s="40"/>
      <c r="C451" s="17"/>
      <c r="D451" s="17"/>
      <c r="E451" s="17"/>
      <c r="F451" s="17"/>
      <c r="G451" s="17"/>
      <c r="H451" s="42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44" t="str">
        <f aca="false">IF(OR(D451="",COUNTA(N451:S451)=0),"",SUMIFS(Settings!$AA$2:$AA$21,Settings!$Y$2:$Y$21,"Budget AED 5k+/mo?",Settings!$Z$2:$Z$21,N451)+SUMIFS(Settings!$AA$2:$AA$21,Settings!$Y$2:$Y$21,"Decision-maker?",Settings!$Z$2:$Z$21,O451)+SUMIFS(Settings!$AA$2:$AA$21,Settings!$Y$2:$Y$21,"Someone on camera?",Settings!$Z$2:$Z$21,P451)+SUMIFS(Settings!$AA$2:$AA$21,Settings!$Y$2:$Y$21,"OK with 3-month term?",Settings!$Z$2:$Z$21,Q451)+SUMIFS(Settings!$AA$2:$AA$21,Settings!$Y$2:$Y$21,"Start timeline",Settings!$Z$2:$Z$21,R451)+SUMIFS(Settings!$AA$2:$AA$21,Settings!$Y$2:$Y$21,"Social media gap",Settings!$Z$2:$Z$21,S451)+IF(E451="",0,IF(COUNTIF(Settings!$AC$2:$AC$6,E451)&gt;0,Settings!$AA$20,Settings!$AA$21)))</f>
        <v/>
      </c>
      <c r="U451" s="44" t="str">
        <f aca="false">IF(D451="","",IF(COUNTA(N451:S451)=0,"Not scored",IF(COUNTA(N451:S451)&lt;6,"Partly scored ("&amp;COUNTA(N451:S451)&amp;"/6)",IF(T451&gt;=Settings!$S$8,"Hot",IF(T451&gt;=Settings!$S$9,"Warm","Cold")))))</f>
        <v/>
      </c>
      <c r="V451" s="44" t="str">
        <f aca="false">IF(D451="","",IF(AND(N451="No",P451="No"),"🚩 Budget  ·  🚩 No one on camera",IF(N451="No","🚩 Budget under AED 5k",IF(P451="No","🚩 No one on camera",""))))</f>
        <v/>
      </c>
      <c r="W451" s="17"/>
      <c r="X451" s="17"/>
      <c r="Y451" s="40"/>
      <c r="Z451" s="17"/>
      <c r="AA451" s="45" t="str">
        <f aca="false">IF(OR(D451="",Y451="",OR(X451="Contract signed + paid",X451="Closed – No response",X451="Lost"),N(Z451)&gt;=Settings!$S$3),"",Y451+Settings!$S$2)</f>
        <v/>
      </c>
      <c r="AB451" s="40"/>
      <c r="AC451" s="41"/>
      <c r="AD451" s="17"/>
      <c r="AE451" s="17"/>
      <c r="AF451" s="17"/>
      <c r="AG451" s="46" t="str">
        <f aca="true">IF(OR(D451="",B451=""),"",INT(TODAY()-B451))</f>
        <v/>
      </c>
      <c r="AH451" s="44" t="str">
        <f aca="true">IF(D451="","",IF(OR(COUNTIFS(Clients!$C$2:$C$501,D451,Clients!$S$2:$S$501,"Paid")&gt;0,AND(H451&lt;&gt;"",COUNTIFS(Clients!$E$2:$E$501,H451,Clients!$S$2:$S$501,"Paid")&gt;0)),"⚠ Refunded before – no free video",IF(OR(X451="Contract signed + paid",X451="Closed – No response",X451="Lost"),"",IF(X451="","Set a stage",IF(AND(X451="Proposal sent",COUNTA(N451:S451)&lt;6),"Score this lead – proposal sent unscored",IF(N(Z451)&gt;=Settings!$S$3,"Close – 4 follow-ups sent",IF(AA451="",IF(Y451="","Make first contact",""),IF(TODAY()&gt;AA451,"OVERDUE follow-up",IF(TODAY()=AA451,"Follow up today","")))))))))</f>
        <v/>
      </c>
    </row>
    <row r="452" customFormat="false" ht="15" hidden="false" customHeight="false" outlineLevel="0" collapsed="false">
      <c r="A452" s="17"/>
      <c r="B452" s="40"/>
      <c r="C452" s="17"/>
      <c r="D452" s="17"/>
      <c r="E452" s="17"/>
      <c r="F452" s="17"/>
      <c r="G452" s="17"/>
      <c r="H452" s="42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44" t="str">
        <f aca="false">IF(OR(D452="",COUNTA(N452:S452)=0),"",SUMIFS(Settings!$AA$2:$AA$21,Settings!$Y$2:$Y$21,"Budget AED 5k+/mo?",Settings!$Z$2:$Z$21,N452)+SUMIFS(Settings!$AA$2:$AA$21,Settings!$Y$2:$Y$21,"Decision-maker?",Settings!$Z$2:$Z$21,O452)+SUMIFS(Settings!$AA$2:$AA$21,Settings!$Y$2:$Y$21,"Someone on camera?",Settings!$Z$2:$Z$21,P452)+SUMIFS(Settings!$AA$2:$AA$21,Settings!$Y$2:$Y$21,"OK with 3-month term?",Settings!$Z$2:$Z$21,Q452)+SUMIFS(Settings!$AA$2:$AA$21,Settings!$Y$2:$Y$21,"Start timeline",Settings!$Z$2:$Z$21,R452)+SUMIFS(Settings!$AA$2:$AA$21,Settings!$Y$2:$Y$21,"Social media gap",Settings!$Z$2:$Z$21,S452)+IF(E452="",0,IF(COUNTIF(Settings!$AC$2:$AC$6,E452)&gt;0,Settings!$AA$20,Settings!$AA$21)))</f>
        <v/>
      </c>
      <c r="U452" s="44" t="str">
        <f aca="false">IF(D452="","",IF(COUNTA(N452:S452)=0,"Not scored",IF(COUNTA(N452:S452)&lt;6,"Partly scored ("&amp;COUNTA(N452:S452)&amp;"/6)",IF(T452&gt;=Settings!$S$8,"Hot",IF(T452&gt;=Settings!$S$9,"Warm","Cold")))))</f>
        <v/>
      </c>
      <c r="V452" s="44" t="str">
        <f aca="false">IF(D452="","",IF(AND(N452="No",P452="No"),"🚩 Budget  ·  🚩 No one on camera",IF(N452="No","🚩 Budget under AED 5k",IF(P452="No","🚩 No one on camera",""))))</f>
        <v/>
      </c>
      <c r="W452" s="17"/>
      <c r="X452" s="17"/>
      <c r="Y452" s="40"/>
      <c r="Z452" s="17"/>
      <c r="AA452" s="45" t="str">
        <f aca="false">IF(OR(D452="",Y452="",OR(X452="Contract signed + paid",X452="Closed – No response",X452="Lost"),N(Z452)&gt;=Settings!$S$3),"",Y452+Settings!$S$2)</f>
        <v/>
      </c>
      <c r="AB452" s="40"/>
      <c r="AC452" s="41"/>
      <c r="AD452" s="17"/>
      <c r="AE452" s="17"/>
      <c r="AF452" s="17"/>
      <c r="AG452" s="46" t="str">
        <f aca="true">IF(OR(D452="",B452=""),"",INT(TODAY()-B452))</f>
        <v/>
      </c>
      <c r="AH452" s="44" t="str">
        <f aca="true">IF(D452="","",IF(OR(COUNTIFS(Clients!$C$2:$C$501,D452,Clients!$S$2:$S$501,"Paid")&gt;0,AND(H452&lt;&gt;"",COUNTIFS(Clients!$E$2:$E$501,H452,Clients!$S$2:$S$501,"Paid")&gt;0)),"⚠ Refunded before – no free video",IF(OR(X452="Contract signed + paid",X452="Closed – No response",X452="Lost"),"",IF(X452="","Set a stage",IF(AND(X452="Proposal sent",COUNTA(N452:S452)&lt;6),"Score this lead – proposal sent unscored",IF(N(Z452)&gt;=Settings!$S$3,"Close – 4 follow-ups sent",IF(AA452="",IF(Y452="","Make first contact",""),IF(TODAY()&gt;AA452,"OVERDUE follow-up",IF(TODAY()=AA452,"Follow up today","")))))))))</f>
        <v/>
      </c>
    </row>
    <row r="453" customFormat="false" ht="15" hidden="false" customHeight="false" outlineLevel="0" collapsed="false">
      <c r="A453" s="17"/>
      <c r="B453" s="40"/>
      <c r="C453" s="17"/>
      <c r="D453" s="17"/>
      <c r="E453" s="17"/>
      <c r="F453" s="17"/>
      <c r="G453" s="17"/>
      <c r="H453" s="42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44" t="str">
        <f aca="false">IF(OR(D453="",COUNTA(N453:S453)=0),"",SUMIFS(Settings!$AA$2:$AA$21,Settings!$Y$2:$Y$21,"Budget AED 5k+/mo?",Settings!$Z$2:$Z$21,N453)+SUMIFS(Settings!$AA$2:$AA$21,Settings!$Y$2:$Y$21,"Decision-maker?",Settings!$Z$2:$Z$21,O453)+SUMIFS(Settings!$AA$2:$AA$21,Settings!$Y$2:$Y$21,"Someone on camera?",Settings!$Z$2:$Z$21,P453)+SUMIFS(Settings!$AA$2:$AA$21,Settings!$Y$2:$Y$21,"OK with 3-month term?",Settings!$Z$2:$Z$21,Q453)+SUMIFS(Settings!$AA$2:$AA$21,Settings!$Y$2:$Y$21,"Start timeline",Settings!$Z$2:$Z$21,R453)+SUMIFS(Settings!$AA$2:$AA$21,Settings!$Y$2:$Y$21,"Social media gap",Settings!$Z$2:$Z$21,S453)+IF(E453="",0,IF(COUNTIF(Settings!$AC$2:$AC$6,E453)&gt;0,Settings!$AA$20,Settings!$AA$21)))</f>
        <v/>
      </c>
      <c r="U453" s="44" t="str">
        <f aca="false">IF(D453="","",IF(COUNTA(N453:S453)=0,"Not scored",IF(COUNTA(N453:S453)&lt;6,"Partly scored ("&amp;COUNTA(N453:S453)&amp;"/6)",IF(T453&gt;=Settings!$S$8,"Hot",IF(T453&gt;=Settings!$S$9,"Warm","Cold")))))</f>
        <v/>
      </c>
      <c r="V453" s="44" t="str">
        <f aca="false">IF(D453="","",IF(AND(N453="No",P453="No"),"🚩 Budget  ·  🚩 No one on camera",IF(N453="No","🚩 Budget under AED 5k",IF(P453="No","🚩 No one on camera",""))))</f>
        <v/>
      </c>
      <c r="W453" s="17"/>
      <c r="X453" s="17"/>
      <c r="Y453" s="40"/>
      <c r="Z453" s="17"/>
      <c r="AA453" s="45" t="str">
        <f aca="false">IF(OR(D453="",Y453="",OR(X453="Contract signed + paid",X453="Closed – No response",X453="Lost"),N(Z453)&gt;=Settings!$S$3),"",Y453+Settings!$S$2)</f>
        <v/>
      </c>
      <c r="AB453" s="40"/>
      <c r="AC453" s="41"/>
      <c r="AD453" s="17"/>
      <c r="AE453" s="17"/>
      <c r="AF453" s="17"/>
      <c r="AG453" s="46" t="str">
        <f aca="true">IF(OR(D453="",B453=""),"",INT(TODAY()-B453))</f>
        <v/>
      </c>
      <c r="AH453" s="44" t="str">
        <f aca="true">IF(D453="","",IF(OR(COUNTIFS(Clients!$C$2:$C$501,D453,Clients!$S$2:$S$501,"Paid")&gt;0,AND(H453&lt;&gt;"",COUNTIFS(Clients!$E$2:$E$501,H453,Clients!$S$2:$S$501,"Paid")&gt;0)),"⚠ Refunded before – no free video",IF(OR(X453="Contract signed + paid",X453="Closed – No response",X453="Lost"),"",IF(X453="","Set a stage",IF(AND(X453="Proposal sent",COUNTA(N453:S453)&lt;6),"Score this lead – proposal sent unscored",IF(N(Z453)&gt;=Settings!$S$3,"Close – 4 follow-ups sent",IF(AA453="",IF(Y453="","Make first contact",""),IF(TODAY()&gt;AA453,"OVERDUE follow-up",IF(TODAY()=AA453,"Follow up today","")))))))))</f>
        <v/>
      </c>
    </row>
    <row r="454" customFormat="false" ht="15" hidden="false" customHeight="false" outlineLevel="0" collapsed="false">
      <c r="A454" s="17"/>
      <c r="B454" s="40"/>
      <c r="C454" s="17"/>
      <c r="D454" s="17"/>
      <c r="E454" s="17"/>
      <c r="F454" s="17"/>
      <c r="G454" s="17"/>
      <c r="H454" s="42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44" t="str">
        <f aca="false">IF(OR(D454="",COUNTA(N454:S454)=0),"",SUMIFS(Settings!$AA$2:$AA$21,Settings!$Y$2:$Y$21,"Budget AED 5k+/mo?",Settings!$Z$2:$Z$21,N454)+SUMIFS(Settings!$AA$2:$AA$21,Settings!$Y$2:$Y$21,"Decision-maker?",Settings!$Z$2:$Z$21,O454)+SUMIFS(Settings!$AA$2:$AA$21,Settings!$Y$2:$Y$21,"Someone on camera?",Settings!$Z$2:$Z$21,P454)+SUMIFS(Settings!$AA$2:$AA$21,Settings!$Y$2:$Y$21,"OK with 3-month term?",Settings!$Z$2:$Z$21,Q454)+SUMIFS(Settings!$AA$2:$AA$21,Settings!$Y$2:$Y$21,"Start timeline",Settings!$Z$2:$Z$21,R454)+SUMIFS(Settings!$AA$2:$AA$21,Settings!$Y$2:$Y$21,"Social media gap",Settings!$Z$2:$Z$21,S454)+IF(E454="",0,IF(COUNTIF(Settings!$AC$2:$AC$6,E454)&gt;0,Settings!$AA$20,Settings!$AA$21)))</f>
        <v/>
      </c>
      <c r="U454" s="44" t="str">
        <f aca="false">IF(D454="","",IF(COUNTA(N454:S454)=0,"Not scored",IF(COUNTA(N454:S454)&lt;6,"Partly scored ("&amp;COUNTA(N454:S454)&amp;"/6)",IF(T454&gt;=Settings!$S$8,"Hot",IF(T454&gt;=Settings!$S$9,"Warm","Cold")))))</f>
        <v/>
      </c>
      <c r="V454" s="44" t="str">
        <f aca="false">IF(D454="","",IF(AND(N454="No",P454="No"),"🚩 Budget  ·  🚩 No one on camera",IF(N454="No","🚩 Budget under AED 5k",IF(P454="No","🚩 No one on camera",""))))</f>
        <v/>
      </c>
      <c r="W454" s="17"/>
      <c r="X454" s="17"/>
      <c r="Y454" s="40"/>
      <c r="Z454" s="17"/>
      <c r="AA454" s="45" t="str">
        <f aca="false">IF(OR(D454="",Y454="",OR(X454="Contract signed + paid",X454="Closed – No response",X454="Lost"),N(Z454)&gt;=Settings!$S$3),"",Y454+Settings!$S$2)</f>
        <v/>
      </c>
      <c r="AB454" s="40"/>
      <c r="AC454" s="41"/>
      <c r="AD454" s="17"/>
      <c r="AE454" s="17"/>
      <c r="AF454" s="17"/>
      <c r="AG454" s="46" t="str">
        <f aca="true">IF(OR(D454="",B454=""),"",INT(TODAY()-B454))</f>
        <v/>
      </c>
      <c r="AH454" s="44" t="str">
        <f aca="true">IF(D454="","",IF(OR(COUNTIFS(Clients!$C$2:$C$501,D454,Clients!$S$2:$S$501,"Paid")&gt;0,AND(H454&lt;&gt;"",COUNTIFS(Clients!$E$2:$E$501,H454,Clients!$S$2:$S$501,"Paid")&gt;0)),"⚠ Refunded before – no free video",IF(OR(X454="Contract signed + paid",X454="Closed – No response",X454="Lost"),"",IF(X454="","Set a stage",IF(AND(X454="Proposal sent",COUNTA(N454:S454)&lt;6),"Score this lead – proposal sent unscored",IF(N(Z454)&gt;=Settings!$S$3,"Close – 4 follow-ups sent",IF(AA454="",IF(Y454="","Make first contact",""),IF(TODAY()&gt;AA454,"OVERDUE follow-up",IF(TODAY()=AA454,"Follow up today","")))))))))</f>
        <v/>
      </c>
    </row>
    <row r="455" customFormat="false" ht="15" hidden="false" customHeight="false" outlineLevel="0" collapsed="false">
      <c r="A455" s="17"/>
      <c r="B455" s="40"/>
      <c r="C455" s="17"/>
      <c r="D455" s="17"/>
      <c r="E455" s="17"/>
      <c r="F455" s="17"/>
      <c r="G455" s="17"/>
      <c r="H455" s="42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44" t="str">
        <f aca="false">IF(OR(D455="",COUNTA(N455:S455)=0),"",SUMIFS(Settings!$AA$2:$AA$21,Settings!$Y$2:$Y$21,"Budget AED 5k+/mo?",Settings!$Z$2:$Z$21,N455)+SUMIFS(Settings!$AA$2:$AA$21,Settings!$Y$2:$Y$21,"Decision-maker?",Settings!$Z$2:$Z$21,O455)+SUMIFS(Settings!$AA$2:$AA$21,Settings!$Y$2:$Y$21,"Someone on camera?",Settings!$Z$2:$Z$21,P455)+SUMIFS(Settings!$AA$2:$AA$21,Settings!$Y$2:$Y$21,"OK with 3-month term?",Settings!$Z$2:$Z$21,Q455)+SUMIFS(Settings!$AA$2:$AA$21,Settings!$Y$2:$Y$21,"Start timeline",Settings!$Z$2:$Z$21,R455)+SUMIFS(Settings!$AA$2:$AA$21,Settings!$Y$2:$Y$21,"Social media gap",Settings!$Z$2:$Z$21,S455)+IF(E455="",0,IF(COUNTIF(Settings!$AC$2:$AC$6,E455)&gt;0,Settings!$AA$20,Settings!$AA$21)))</f>
        <v/>
      </c>
      <c r="U455" s="44" t="str">
        <f aca="false">IF(D455="","",IF(COUNTA(N455:S455)=0,"Not scored",IF(COUNTA(N455:S455)&lt;6,"Partly scored ("&amp;COUNTA(N455:S455)&amp;"/6)",IF(T455&gt;=Settings!$S$8,"Hot",IF(T455&gt;=Settings!$S$9,"Warm","Cold")))))</f>
        <v/>
      </c>
      <c r="V455" s="44" t="str">
        <f aca="false">IF(D455="","",IF(AND(N455="No",P455="No"),"🚩 Budget  ·  🚩 No one on camera",IF(N455="No","🚩 Budget under AED 5k",IF(P455="No","🚩 No one on camera",""))))</f>
        <v/>
      </c>
      <c r="W455" s="17"/>
      <c r="X455" s="17"/>
      <c r="Y455" s="40"/>
      <c r="Z455" s="17"/>
      <c r="AA455" s="45" t="str">
        <f aca="false">IF(OR(D455="",Y455="",OR(X455="Contract signed + paid",X455="Closed – No response",X455="Lost"),N(Z455)&gt;=Settings!$S$3),"",Y455+Settings!$S$2)</f>
        <v/>
      </c>
      <c r="AB455" s="40"/>
      <c r="AC455" s="41"/>
      <c r="AD455" s="17"/>
      <c r="AE455" s="17"/>
      <c r="AF455" s="17"/>
      <c r="AG455" s="46" t="str">
        <f aca="true">IF(OR(D455="",B455=""),"",INT(TODAY()-B455))</f>
        <v/>
      </c>
      <c r="AH455" s="44" t="str">
        <f aca="true">IF(D455="","",IF(OR(COUNTIFS(Clients!$C$2:$C$501,D455,Clients!$S$2:$S$501,"Paid")&gt;0,AND(H455&lt;&gt;"",COUNTIFS(Clients!$E$2:$E$501,H455,Clients!$S$2:$S$501,"Paid")&gt;0)),"⚠ Refunded before – no free video",IF(OR(X455="Contract signed + paid",X455="Closed – No response",X455="Lost"),"",IF(X455="","Set a stage",IF(AND(X455="Proposal sent",COUNTA(N455:S455)&lt;6),"Score this lead – proposal sent unscored",IF(N(Z455)&gt;=Settings!$S$3,"Close – 4 follow-ups sent",IF(AA455="",IF(Y455="","Make first contact",""),IF(TODAY()&gt;AA455,"OVERDUE follow-up",IF(TODAY()=AA455,"Follow up today","")))))))))</f>
        <v/>
      </c>
    </row>
    <row r="456" customFormat="false" ht="15" hidden="false" customHeight="false" outlineLevel="0" collapsed="false">
      <c r="A456" s="17"/>
      <c r="B456" s="40"/>
      <c r="C456" s="17"/>
      <c r="D456" s="17"/>
      <c r="E456" s="17"/>
      <c r="F456" s="17"/>
      <c r="G456" s="17"/>
      <c r="H456" s="42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44" t="str">
        <f aca="false">IF(OR(D456="",COUNTA(N456:S456)=0),"",SUMIFS(Settings!$AA$2:$AA$21,Settings!$Y$2:$Y$21,"Budget AED 5k+/mo?",Settings!$Z$2:$Z$21,N456)+SUMIFS(Settings!$AA$2:$AA$21,Settings!$Y$2:$Y$21,"Decision-maker?",Settings!$Z$2:$Z$21,O456)+SUMIFS(Settings!$AA$2:$AA$21,Settings!$Y$2:$Y$21,"Someone on camera?",Settings!$Z$2:$Z$21,P456)+SUMIFS(Settings!$AA$2:$AA$21,Settings!$Y$2:$Y$21,"OK with 3-month term?",Settings!$Z$2:$Z$21,Q456)+SUMIFS(Settings!$AA$2:$AA$21,Settings!$Y$2:$Y$21,"Start timeline",Settings!$Z$2:$Z$21,R456)+SUMIFS(Settings!$AA$2:$AA$21,Settings!$Y$2:$Y$21,"Social media gap",Settings!$Z$2:$Z$21,S456)+IF(E456="",0,IF(COUNTIF(Settings!$AC$2:$AC$6,E456)&gt;0,Settings!$AA$20,Settings!$AA$21)))</f>
        <v/>
      </c>
      <c r="U456" s="44" t="str">
        <f aca="false">IF(D456="","",IF(COUNTA(N456:S456)=0,"Not scored",IF(COUNTA(N456:S456)&lt;6,"Partly scored ("&amp;COUNTA(N456:S456)&amp;"/6)",IF(T456&gt;=Settings!$S$8,"Hot",IF(T456&gt;=Settings!$S$9,"Warm","Cold")))))</f>
        <v/>
      </c>
      <c r="V456" s="44" t="str">
        <f aca="false">IF(D456="","",IF(AND(N456="No",P456="No"),"🚩 Budget  ·  🚩 No one on camera",IF(N456="No","🚩 Budget under AED 5k",IF(P456="No","🚩 No one on camera",""))))</f>
        <v/>
      </c>
      <c r="W456" s="17"/>
      <c r="X456" s="17"/>
      <c r="Y456" s="40"/>
      <c r="Z456" s="17"/>
      <c r="AA456" s="45" t="str">
        <f aca="false">IF(OR(D456="",Y456="",OR(X456="Contract signed + paid",X456="Closed – No response",X456="Lost"),N(Z456)&gt;=Settings!$S$3),"",Y456+Settings!$S$2)</f>
        <v/>
      </c>
      <c r="AB456" s="40"/>
      <c r="AC456" s="41"/>
      <c r="AD456" s="17"/>
      <c r="AE456" s="17"/>
      <c r="AF456" s="17"/>
      <c r="AG456" s="46" t="str">
        <f aca="true">IF(OR(D456="",B456=""),"",INT(TODAY()-B456))</f>
        <v/>
      </c>
      <c r="AH456" s="44" t="str">
        <f aca="true">IF(D456="","",IF(OR(COUNTIFS(Clients!$C$2:$C$501,D456,Clients!$S$2:$S$501,"Paid")&gt;0,AND(H456&lt;&gt;"",COUNTIFS(Clients!$E$2:$E$501,H456,Clients!$S$2:$S$501,"Paid")&gt;0)),"⚠ Refunded before – no free video",IF(OR(X456="Contract signed + paid",X456="Closed – No response",X456="Lost"),"",IF(X456="","Set a stage",IF(AND(X456="Proposal sent",COUNTA(N456:S456)&lt;6),"Score this lead – proposal sent unscored",IF(N(Z456)&gt;=Settings!$S$3,"Close – 4 follow-ups sent",IF(AA456="",IF(Y456="","Make first contact",""),IF(TODAY()&gt;AA456,"OVERDUE follow-up",IF(TODAY()=AA456,"Follow up today","")))))))))</f>
        <v/>
      </c>
    </row>
    <row r="457" customFormat="false" ht="15" hidden="false" customHeight="false" outlineLevel="0" collapsed="false">
      <c r="A457" s="17"/>
      <c r="B457" s="40"/>
      <c r="C457" s="17"/>
      <c r="D457" s="17"/>
      <c r="E457" s="17"/>
      <c r="F457" s="17"/>
      <c r="G457" s="17"/>
      <c r="H457" s="42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44" t="str">
        <f aca="false">IF(OR(D457="",COUNTA(N457:S457)=0),"",SUMIFS(Settings!$AA$2:$AA$21,Settings!$Y$2:$Y$21,"Budget AED 5k+/mo?",Settings!$Z$2:$Z$21,N457)+SUMIFS(Settings!$AA$2:$AA$21,Settings!$Y$2:$Y$21,"Decision-maker?",Settings!$Z$2:$Z$21,O457)+SUMIFS(Settings!$AA$2:$AA$21,Settings!$Y$2:$Y$21,"Someone on camera?",Settings!$Z$2:$Z$21,P457)+SUMIFS(Settings!$AA$2:$AA$21,Settings!$Y$2:$Y$21,"OK with 3-month term?",Settings!$Z$2:$Z$21,Q457)+SUMIFS(Settings!$AA$2:$AA$21,Settings!$Y$2:$Y$21,"Start timeline",Settings!$Z$2:$Z$21,R457)+SUMIFS(Settings!$AA$2:$AA$21,Settings!$Y$2:$Y$21,"Social media gap",Settings!$Z$2:$Z$21,S457)+IF(E457="",0,IF(COUNTIF(Settings!$AC$2:$AC$6,E457)&gt;0,Settings!$AA$20,Settings!$AA$21)))</f>
        <v/>
      </c>
      <c r="U457" s="44" t="str">
        <f aca="false">IF(D457="","",IF(COUNTA(N457:S457)=0,"Not scored",IF(COUNTA(N457:S457)&lt;6,"Partly scored ("&amp;COUNTA(N457:S457)&amp;"/6)",IF(T457&gt;=Settings!$S$8,"Hot",IF(T457&gt;=Settings!$S$9,"Warm","Cold")))))</f>
        <v/>
      </c>
      <c r="V457" s="44" t="str">
        <f aca="false">IF(D457="","",IF(AND(N457="No",P457="No"),"🚩 Budget  ·  🚩 No one on camera",IF(N457="No","🚩 Budget under AED 5k",IF(P457="No","🚩 No one on camera",""))))</f>
        <v/>
      </c>
      <c r="W457" s="17"/>
      <c r="X457" s="17"/>
      <c r="Y457" s="40"/>
      <c r="Z457" s="17"/>
      <c r="AA457" s="45" t="str">
        <f aca="false">IF(OR(D457="",Y457="",OR(X457="Contract signed + paid",X457="Closed – No response",X457="Lost"),N(Z457)&gt;=Settings!$S$3),"",Y457+Settings!$S$2)</f>
        <v/>
      </c>
      <c r="AB457" s="40"/>
      <c r="AC457" s="41"/>
      <c r="AD457" s="17"/>
      <c r="AE457" s="17"/>
      <c r="AF457" s="17"/>
      <c r="AG457" s="46" t="str">
        <f aca="true">IF(OR(D457="",B457=""),"",INT(TODAY()-B457))</f>
        <v/>
      </c>
      <c r="AH457" s="44" t="str">
        <f aca="true">IF(D457="","",IF(OR(COUNTIFS(Clients!$C$2:$C$501,D457,Clients!$S$2:$S$501,"Paid")&gt;0,AND(H457&lt;&gt;"",COUNTIFS(Clients!$E$2:$E$501,H457,Clients!$S$2:$S$501,"Paid")&gt;0)),"⚠ Refunded before – no free video",IF(OR(X457="Contract signed + paid",X457="Closed – No response",X457="Lost"),"",IF(X457="","Set a stage",IF(AND(X457="Proposal sent",COUNTA(N457:S457)&lt;6),"Score this lead – proposal sent unscored",IF(N(Z457)&gt;=Settings!$S$3,"Close – 4 follow-ups sent",IF(AA457="",IF(Y457="","Make first contact",""),IF(TODAY()&gt;AA457,"OVERDUE follow-up",IF(TODAY()=AA457,"Follow up today","")))))))))</f>
        <v/>
      </c>
    </row>
    <row r="458" customFormat="false" ht="15" hidden="false" customHeight="false" outlineLevel="0" collapsed="false">
      <c r="A458" s="17"/>
      <c r="B458" s="40"/>
      <c r="C458" s="17"/>
      <c r="D458" s="17"/>
      <c r="E458" s="17"/>
      <c r="F458" s="17"/>
      <c r="G458" s="17"/>
      <c r="H458" s="42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44" t="str">
        <f aca="false">IF(OR(D458="",COUNTA(N458:S458)=0),"",SUMIFS(Settings!$AA$2:$AA$21,Settings!$Y$2:$Y$21,"Budget AED 5k+/mo?",Settings!$Z$2:$Z$21,N458)+SUMIFS(Settings!$AA$2:$AA$21,Settings!$Y$2:$Y$21,"Decision-maker?",Settings!$Z$2:$Z$21,O458)+SUMIFS(Settings!$AA$2:$AA$21,Settings!$Y$2:$Y$21,"Someone on camera?",Settings!$Z$2:$Z$21,P458)+SUMIFS(Settings!$AA$2:$AA$21,Settings!$Y$2:$Y$21,"OK with 3-month term?",Settings!$Z$2:$Z$21,Q458)+SUMIFS(Settings!$AA$2:$AA$21,Settings!$Y$2:$Y$21,"Start timeline",Settings!$Z$2:$Z$21,R458)+SUMIFS(Settings!$AA$2:$AA$21,Settings!$Y$2:$Y$21,"Social media gap",Settings!$Z$2:$Z$21,S458)+IF(E458="",0,IF(COUNTIF(Settings!$AC$2:$AC$6,E458)&gt;0,Settings!$AA$20,Settings!$AA$21)))</f>
        <v/>
      </c>
      <c r="U458" s="44" t="str">
        <f aca="false">IF(D458="","",IF(COUNTA(N458:S458)=0,"Not scored",IF(COUNTA(N458:S458)&lt;6,"Partly scored ("&amp;COUNTA(N458:S458)&amp;"/6)",IF(T458&gt;=Settings!$S$8,"Hot",IF(T458&gt;=Settings!$S$9,"Warm","Cold")))))</f>
        <v/>
      </c>
      <c r="V458" s="44" t="str">
        <f aca="false">IF(D458="","",IF(AND(N458="No",P458="No"),"🚩 Budget  ·  🚩 No one on camera",IF(N458="No","🚩 Budget under AED 5k",IF(P458="No","🚩 No one on camera",""))))</f>
        <v/>
      </c>
      <c r="W458" s="17"/>
      <c r="X458" s="17"/>
      <c r="Y458" s="40"/>
      <c r="Z458" s="17"/>
      <c r="AA458" s="45" t="str">
        <f aca="false">IF(OR(D458="",Y458="",OR(X458="Contract signed + paid",X458="Closed – No response",X458="Lost"),N(Z458)&gt;=Settings!$S$3),"",Y458+Settings!$S$2)</f>
        <v/>
      </c>
      <c r="AB458" s="40"/>
      <c r="AC458" s="41"/>
      <c r="AD458" s="17"/>
      <c r="AE458" s="17"/>
      <c r="AF458" s="17"/>
      <c r="AG458" s="46" t="str">
        <f aca="true">IF(OR(D458="",B458=""),"",INT(TODAY()-B458))</f>
        <v/>
      </c>
      <c r="AH458" s="44" t="str">
        <f aca="true">IF(D458="","",IF(OR(COUNTIFS(Clients!$C$2:$C$501,D458,Clients!$S$2:$S$501,"Paid")&gt;0,AND(H458&lt;&gt;"",COUNTIFS(Clients!$E$2:$E$501,H458,Clients!$S$2:$S$501,"Paid")&gt;0)),"⚠ Refunded before – no free video",IF(OR(X458="Contract signed + paid",X458="Closed – No response",X458="Lost"),"",IF(X458="","Set a stage",IF(AND(X458="Proposal sent",COUNTA(N458:S458)&lt;6),"Score this lead – proposal sent unscored",IF(N(Z458)&gt;=Settings!$S$3,"Close – 4 follow-ups sent",IF(AA458="",IF(Y458="","Make first contact",""),IF(TODAY()&gt;AA458,"OVERDUE follow-up",IF(TODAY()=AA458,"Follow up today","")))))))))</f>
        <v/>
      </c>
    </row>
    <row r="459" customFormat="false" ht="15" hidden="false" customHeight="false" outlineLevel="0" collapsed="false">
      <c r="A459" s="17"/>
      <c r="B459" s="40"/>
      <c r="C459" s="17"/>
      <c r="D459" s="17"/>
      <c r="E459" s="17"/>
      <c r="F459" s="17"/>
      <c r="G459" s="17"/>
      <c r="H459" s="42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44" t="str">
        <f aca="false">IF(OR(D459="",COUNTA(N459:S459)=0),"",SUMIFS(Settings!$AA$2:$AA$21,Settings!$Y$2:$Y$21,"Budget AED 5k+/mo?",Settings!$Z$2:$Z$21,N459)+SUMIFS(Settings!$AA$2:$AA$21,Settings!$Y$2:$Y$21,"Decision-maker?",Settings!$Z$2:$Z$21,O459)+SUMIFS(Settings!$AA$2:$AA$21,Settings!$Y$2:$Y$21,"Someone on camera?",Settings!$Z$2:$Z$21,P459)+SUMIFS(Settings!$AA$2:$AA$21,Settings!$Y$2:$Y$21,"OK with 3-month term?",Settings!$Z$2:$Z$21,Q459)+SUMIFS(Settings!$AA$2:$AA$21,Settings!$Y$2:$Y$21,"Start timeline",Settings!$Z$2:$Z$21,R459)+SUMIFS(Settings!$AA$2:$AA$21,Settings!$Y$2:$Y$21,"Social media gap",Settings!$Z$2:$Z$21,S459)+IF(E459="",0,IF(COUNTIF(Settings!$AC$2:$AC$6,E459)&gt;0,Settings!$AA$20,Settings!$AA$21)))</f>
        <v/>
      </c>
      <c r="U459" s="44" t="str">
        <f aca="false">IF(D459="","",IF(COUNTA(N459:S459)=0,"Not scored",IF(COUNTA(N459:S459)&lt;6,"Partly scored ("&amp;COUNTA(N459:S459)&amp;"/6)",IF(T459&gt;=Settings!$S$8,"Hot",IF(T459&gt;=Settings!$S$9,"Warm","Cold")))))</f>
        <v/>
      </c>
      <c r="V459" s="44" t="str">
        <f aca="false">IF(D459="","",IF(AND(N459="No",P459="No"),"🚩 Budget  ·  🚩 No one on camera",IF(N459="No","🚩 Budget under AED 5k",IF(P459="No","🚩 No one on camera",""))))</f>
        <v/>
      </c>
      <c r="W459" s="17"/>
      <c r="X459" s="17"/>
      <c r="Y459" s="40"/>
      <c r="Z459" s="17"/>
      <c r="AA459" s="45" t="str">
        <f aca="false">IF(OR(D459="",Y459="",OR(X459="Contract signed + paid",X459="Closed – No response",X459="Lost"),N(Z459)&gt;=Settings!$S$3),"",Y459+Settings!$S$2)</f>
        <v/>
      </c>
      <c r="AB459" s="40"/>
      <c r="AC459" s="41"/>
      <c r="AD459" s="17"/>
      <c r="AE459" s="17"/>
      <c r="AF459" s="17"/>
      <c r="AG459" s="46" t="str">
        <f aca="true">IF(OR(D459="",B459=""),"",INT(TODAY()-B459))</f>
        <v/>
      </c>
      <c r="AH459" s="44" t="str">
        <f aca="true">IF(D459="","",IF(OR(COUNTIFS(Clients!$C$2:$C$501,D459,Clients!$S$2:$S$501,"Paid")&gt;0,AND(H459&lt;&gt;"",COUNTIFS(Clients!$E$2:$E$501,H459,Clients!$S$2:$S$501,"Paid")&gt;0)),"⚠ Refunded before – no free video",IF(OR(X459="Contract signed + paid",X459="Closed – No response",X459="Lost"),"",IF(X459="","Set a stage",IF(AND(X459="Proposal sent",COUNTA(N459:S459)&lt;6),"Score this lead – proposal sent unscored",IF(N(Z459)&gt;=Settings!$S$3,"Close – 4 follow-ups sent",IF(AA459="",IF(Y459="","Make first contact",""),IF(TODAY()&gt;AA459,"OVERDUE follow-up",IF(TODAY()=AA459,"Follow up today","")))))))))</f>
        <v/>
      </c>
    </row>
    <row r="460" customFormat="false" ht="15" hidden="false" customHeight="false" outlineLevel="0" collapsed="false">
      <c r="A460" s="17"/>
      <c r="B460" s="40"/>
      <c r="C460" s="17"/>
      <c r="D460" s="17"/>
      <c r="E460" s="17"/>
      <c r="F460" s="17"/>
      <c r="G460" s="17"/>
      <c r="H460" s="42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44" t="str">
        <f aca="false">IF(OR(D460="",COUNTA(N460:S460)=0),"",SUMIFS(Settings!$AA$2:$AA$21,Settings!$Y$2:$Y$21,"Budget AED 5k+/mo?",Settings!$Z$2:$Z$21,N460)+SUMIFS(Settings!$AA$2:$AA$21,Settings!$Y$2:$Y$21,"Decision-maker?",Settings!$Z$2:$Z$21,O460)+SUMIFS(Settings!$AA$2:$AA$21,Settings!$Y$2:$Y$21,"Someone on camera?",Settings!$Z$2:$Z$21,P460)+SUMIFS(Settings!$AA$2:$AA$21,Settings!$Y$2:$Y$21,"OK with 3-month term?",Settings!$Z$2:$Z$21,Q460)+SUMIFS(Settings!$AA$2:$AA$21,Settings!$Y$2:$Y$21,"Start timeline",Settings!$Z$2:$Z$21,R460)+SUMIFS(Settings!$AA$2:$AA$21,Settings!$Y$2:$Y$21,"Social media gap",Settings!$Z$2:$Z$21,S460)+IF(E460="",0,IF(COUNTIF(Settings!$AC$2:$AC$6,E460)&gt;0,Settings!$AA$20,Settings!$AA$21)))</f>
        <v/>
      </c>
      <c r="U460" s="44" t="str">
        <f aca="false">IF(D460="","",IF(COUNTA(N460:S460)=0,"Not scored",IF(COUNTA(N460:S460)&lt;6,"Partly scored ("&amp;COUNTA(N460:S460)&amp;"/6)",IF(T460&gt;=Settings!$S$8,"Hot",IF(T460&gt;=Settings!$S$9,"Warm","Cold")))))</f>
        <v/>
      </c>
      <c r="V460" s="44" t="str">
        <f aca="false">IF(D460="","",IF(AND(N460="No",P460="No"),"🚩 Budget  ·  🚩 No one on camera",IF(N460="No","🚩 Budget under AED 5k",IF(P460="No","🚩 No one on camera",""))))</f>
        <v/>
      </c>
      <c r="W460" s="17"/>
      <c r="X460" s="17"/>
      <c r="Y460" s="40"/>
      <c r="Z460" s="17"/>
      <c r="AA460" s="45" t="str">
        <f aca="false">IF(OR(D460="",Y460="",OR(X460="Contract signed + paid",X460="Closed – No response",X460="Lost"),N(Z460)&gt;=Settings!$S$3),"",Y460+Settings!$S$2)</f>
        <v/>
      </c>
      <c r="AB460" s="40"/>
      <c r="AC460" s="41"/>
      <c r="AD460" s="17"/>
      <c r="AE460" s="17"/>
      <c r="AF460" s="17"/>
      <c r="AG460" s="46" t="str">
        <f aca="true">IF(OR(D460="",B460=""),"",INT(TODAY()-B460))</f>
        <v/>
      </c>
      <c r="AH460" s="44" t="str">
        <f aca="true">IF(D460="","",IF(OR(COUNTIFS(Clients!$C$2:$C$501,D460,Clients!$S$2:$S$501,"Paid")&gt;0,AND(H460&lt;&gt;"",COUNTIFS(Clients!$E$2:$E$501,H460,Clients!$S$2:$S$501,"Paid")&gt;0)),"⚠ Refunded before – no free video",IF(OR(X460="Contract signed + paid",X460="Closed – No response",X460="Lost"),"",IF(X460="","Set a stage",IF(AND(X460="Proposal sent",COUNTA(N460:S460)&lt;6),"Score this lead – proposal sent unscored",IF(N(Z460)&gt;=Settings!$S$3,"Close – 4 follow-ups sent",IF(AA460="",IF(Y460="","Make first contact",""),IF(TODAY()&gt;AA460,"OVERDUE follow-up",IF(TODAY()=AA460,"Follow up today","")))))))))</f>
        <v/>
      </c>
    </row>
    <row r="461" customFormat="false" ht="15" hidden="false" customHeight="false" outlineLevel="0" collapsed="false">
      <c r="A461" s="17"/>
      <c r="B461" s="40"/>
      <c r="C461" s="17"/>
      <c r="D461" s="17"/>
      <c r="E461" s="17"/>
      <c r="F461" s="17"/>
      <c r="G461" s="17"/>
      <c r="H461" s="42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44" t="str">
        <f aca="false">IF(OR(D461="",COUNTA(N461:S461)=0),"",SUMIFS(Settings!$AA$2:$AA$21,Settings!$Y$2:$Y$21,"Budget AED 5k+/mo?",Settings!$Z$2:$Z$21,N461)+SUMIFS(Settings!$AA$2:$AA$21,Settings!$Y$2:$Y$21,"Decision-maker?",Settings!$Z$2:$Z$21,O461)+SUMIFS(Settings!$AA$2:$AA$21,Settings!$Y$2:$Y$21,"Someone on camera?",Settings!$Z$2:$Z$21,P461)+SUMIFS(Settings!$AA$2:$AA$21,Settings!$Y$2:$Y$21,"OK with 3-month term?",Settings!$Z$2:$Z$21,Q461)+SUMIFS(Settings!$AA$2:$AA$21,Settings!$Y$2:$Y$21,"Start timeline",Settings!$Z$2:$Z$21,R461)+SUMIFS(Settings!$AA$2:$AA$21,Settings!$Y$2:$Y$21,"Social media gap",Settings!$Z$2:$Z$21,S461)+IF(E461="",0,IF(COUNTIF(Settings!$AC$2:$AC$6,E461)&gt;0,Settings!$AA$20,Settings!$AA$21)))</f>
        <v/>
      </c>
      <c r="U461" s="44" t="str">
        <f aca="false">IF(D461="","",IF(COUNTA(N461:S461)=0,"Not scored",IF(COUNTA(N461:S461)&lt;6,"Partly scored ("&amp;COUNTA(N461:S461)&amp;"/6)",IF(T461&gt;=Settings!$S$8,"Hot",IF(T461&gt;=Settings!$S$9,"Warm","Cold")))))</f>
        <v/>
      </c>
      <c r="V461" s="44" t="str">
        <f aca="false">IF(D461="","",IF(AND(N461="No",P461="No"),"🚩 Budget  ·  🚩 No one on camera",IF(N461="No","🚩 Budget under AED 5k",IF(P461="No","🚩 No one on camera",""))))</f>
        <v/>
      </c>
      <c r="W461" s="17"/>
      <c r="X461" s="17"/>
      <c r="Y461" s="40"/>
      <c r="Z461" s="17"/>
      <c r="AA461" s="45" t="str">
        <f aca="false">IF(OR(D461="",Y461="",OR(X461="Contract signed + paid",X461="Closed – No response",X461="Lost"),N(Z461)&gt;=Settings!$S$3),"",Y461+Settings!$S$2)</f>
        <v/>
      </c>
      <c r="AB461" s="40"/>
      <c r="AC461" s="41"/>
      <c r="AD461" s="17"/>
      <c r="AE461" s="17"/>
      <c r="AF461" s="17"/>
      <c r="AG461" s="46" t="str">
        <f aca="true">IF(OR(D461="",B461=""),"",INT(TODAY()-B461))</f>
        <v/>
      </c>
      <c r="AH461" s="44" t="str">
        <f aca="true">IF(D461="","",IF(OR(COUNTIFS(Clients!$C$2:$C$501,D461,Clients!$S$2:$S$501,"Paid")&gt;0,AND(H461&lt;&gt;"",COUNTIFS(Clients!$E$2:$E$501,H461,Clients!$S$2:$S$501,"Paid")&gt;0)),"⚠ Refunded before – no free video",IF(OR(X461="Contract signed + paid",X461="Closed – No response",X461="Lost"),"",IF(X461="","Set a stage",IF(AND(X461="Proposal sent",COUNTA(N461:S461)&lt;6),"Score this lead – proposal sent unscored",IF(N(Z461)&gt;=Settings!$S$3,"Close – 4 follow-ups sent",IF(AA461="",IF(Y461="","Make first contact",""),IF(TODAY()&gt;AA461,"OVERDUE follow-up",IF(TODAY()=AA461,"Follow up today","")))))))))</f>
        <v/>
      </c>
    </row>
    <row r="462" customFormat="false" ht="15" hidden="false" customHeight="false" outlineLevel="0" collapsed="false">
      <c r="A462" s="17"/>
      <c r="B462" s="40"/>
      <c r="C462" s="17"/>
      <c r="D462" s="17"/>
      <c r="E462" s="17"/>
      <c r="F462" s="17"/>
      <c r="G462" s="17"/>
      <c r="H462" s="42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44" t="str">
        <f aca="false">IF(OR(D462="",COUNTA(N462:S462)=0),"",SUMIFS(Settings!$AA$2:$AA$21,Settings!$Y$2:$Y$21,"Budget AED 5k+/mo?",Settings!$Z$2:$Z$21,N462)+SUMIFS(Settings!$AA$2:$AA$21,Settings!$Y$2:$Y$21,"Decision-maker?",Settings!$Z$2:$Z$21,O462)+SUMIFS(Settings!$AA$2:$AA$21,Settings!$Y$2:$Y$21,"Someone on camera?",Settings!$Z$2:$Z$21,P462)+SUMIFS(Settings!$AA$2:$AA$21,Settings!$Y$2:$Y$21,"OK with 3-month term?",Settings!$Z$2:$Z$21,Q462)+SUMIFS(Settings!$AA$2:$AA$21,Settings!$Y$2:$Y$21,"Start timeline",Settings!$Z$2:$Z$21,R462)+SUMIFS(Settings!$AA$2:$AA$21,Settings!$Y$2:$Y$21,"Social media gap",Settings!$Z$2:$Z$21,S462)+IF(E462="",0,IF(COUNTIF(Settings!$AC$2:$AC$6,E462)&gt;0,Settings!$AA$20,Settings!$AA$21)))</f>
        <v/>
      </c>
      <c r="U462" s="44" t="str">
        <f aca="false">IF(D462="","",IF(COUNTA(N462:S462)=0,"Not scored",IF(COUNTA(N462:S462)&lt;6,"Partly scored ("&amp;COUNTA(N462:S462)&amp;"/6)",IF(T462&gt;=Settings!$S$8,"Hot",IF(T462&gt;=Settings!$S$9,"Warm","Cold")))))</f>
        <v/>
      </c>
      <c r="V462" s="44" t="str">
        <f aca="false">IF(D462="","",IF(AND(N462="No",P462="No"),"🚩 Budget  ·  🚩 No one on camera",IF(N462="No","🚩 Budget under AED 5k",IF(P462="No","🚩 No one on camera",""))))</f>
        <v/>
      </c>
      <c r="W462" s="17"/>
      <c r="X462" s="17"/>
      <c r="Y462" s="40"/>
      <c r="Z462" s="17"/>
      <c r="AA462" s="45" t="str">
        <f aca="false">IF(OR(D462="",Y462="",OR(X462="Contract signed + paid",X462="Closed – No response",X462="Lost"),N(Z462)&gt;=Settings!$S$3),"",Y462+Settings!$S$2)</f>
        <v/>
      </c>
      <c r="AB462" s="40"/>
      <c r="AC462" s="41"/>
      <c r="AD462" s="17"/>
      <c r="AE462" s="17"/>
      <c r="AF462" s="17"/>
      <c r="AG462" s="46" t="str">
        <f aca="true">IF(OR(D462="",B462=""),"",INT(TODAY()-B462))</f>
        <v/>
      </c>
      <c r="AH462" s="44" t="str">
        <f aca="true">IF(D462="","",IF(OR(COUNTIFS(Clients!$C$2:$C$501,D462,Clients!$S$2:$S$501,"Paid")&gt;0,AND(H462&lt;&gt;"",COUNTIFS(Clients!$E$2:$E$501,H462,Clients!$S$2:$S$501,"Paid")&gt;0)),"⚠ Refunded before – no free video",IF(OR(X462="Contract signed + paid",X462="Closed – No response",X462="Lost"),"",IF(X462="","Set a stage",IF(AND(X462="Proposal sent",COUNTA(N462:S462)&lt;6),"Score this lead – proposal sent unscored",IF(N(Z462)&gt;=Settings!$S$3,"Close – 4 follow-ups sent",IF(AA462="",IF(Y462="","Make first contact",""),IF(TODAY()&gt;AA462,"OVERDUE follow-up",IF(TODAY()=AA462,"Follow up today","")))))))))</f>
        <v/>
      </c>
    </row>
    <row r="463" customFormat="false" ht="15" hidden="false" customHeight="false" outlineLevel="0" collapsed="false">
      <c r="A463" s="17"/>
      <c r="B463" s="40"/>
      <c r="C463" s="17"/>
      <c r="D463" s="17"/>
      <c r="E463" s="17"/>
      <c r="F463" s="17"/>
      <c r="G463" s="17"/>
      <c r="H463" s="42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44" t="str">
        <f aca="false">IF(OR(D463="",COUNTA(N463:S463)=0),"",SUMIFS(Settings!$AA$2:$AA$21,Settings!$Y$2:$Y$21,"Budget AED 5k+/mo?",Settings!$Z$2:$Z$21,N463)+SUMIFS(Settings!$AA$2:$AA$21,Settings!$Y$2:$Y$21,"Decision-maker?",Settings!$Z$2:$Z$21,O463)+SUMIFS(Settings!$AA$2:$AA$21,Settings!$Y$2:$Y$21,"Someone on camera?",Settings!$Z$2:$Z$21,P463)+SUMIFS(Settings!$AA$2:$AA$21,Settings!$Y$2:$Y$21,"OK with 3-month term?",Settings!$Z$2:$Z$21,Q463)+SUMIFS(Settings!$AA$2:$AA$21,Settings!$Y$2:$Y$21,"Start timeline",Settings!$Z$2:$Z$21,R463)+SUMIFS(Settings!$AA$2:$AA$21,Settings!$Y$2:$Y$21,"Social media gap",Settings!$Z$2:$Z$21,S463)+IF(E463="",0,IF(COUNTIF(Settings!$AC$2:$AC$6,E463)&gt;0,Settings!$AA$20,Settings!$AA$21)))</f>
        <v/>
      </c>
      <c r="U463" s="44" t="str">
        <f aca="false">IF(D463="","",IF(COUNTA(N463:S463)=0,"Not scored",IF(COUNTA(N463:S463)&lt;6,"Partly scored ("&amp;COUNTA(N463:S463)&amp;"/6)",IF(T463&gt;=Settings!$S$8,"Hot",IF(T463&gt;=Settings!$S$9,"Warm","Cold")))))</f>
        <v/>
      </c>
      <c r="V463" s="44" t="str">
        <f aca="false">IF(D463="","",IF(AND(N463="No",P463="No"),"🚩 Budget  ·  🚩 No one on camera",IF(N463="No","🚩 Budget under AED 5k",IF(P463="No","🚩 No one on camera",""))))</f>
        <v/>
      </c>
      <c r="W463" s="17"/>
      <c r="X463" s="17"/>
      <c r="Y463" s="40"/>
      <c r="Z463" s="17"/>
      <c r="AA463" s="45" t="str">
        <f aca="false">IF(OR(D463="",Y463="",OR(X463="Contract signed + paid",X463="Closed – No response",X463="Lost"),N(Z463)&gt;=Settings!$S$3),"",Y463+Settings!$S$2)</f>
        <v/>
      </c>
      <c r="AB463" s="40"/>
      <c r="AC463" s="41"/>
      <c r="AD463" s="17"/>
      <c r="AE463" s="17"/>
      <c r="AF463" s="17"/>
      <c r="AG463" s="46" t="str">
        <f aca="true">IF(OR(D463="",B463=""),"",INT(TODAY()-B463))</f>
        <v/>
      </c>
      <c r="AH463" s="44" t="str">
        <f aca="true">IF(D463="","",IF(OR(COUNTIFS(Clients!$C$2:$C$501,D463,Clients!$S$2:$S$501,"Paid")&gt;0,AND(H463&lt;&gt;"",COUNTIFS(Clients!$E$2:$E$501,H463,Clients!$S$2:$S$501,"Paid")&gt;0)),"⚠ Refunded before – no free video",IF(OR(X463="Contract signed + paid",X463="Closed – No response",X463="Lost"),"",IF(X463="","Set a stage",IF(AND(X463="Proposal sent",COUNTA(N463:S463)&lt;6),"Score this lead – proposal sent unscored",IF(N(Z463)&gt;=Settings!$S$3,"Close – 4 follow-ups sent",IF(AA463="",IF(Y463="","Make first contact",""),IF(TODAY()&gt;AA463,"OVERDUE follow-up",IF(TODAY()=AA463,"Follow up today","")))))))))</f>
        <v/>
      </c>
    </row>
    <row r="464" customFormat="false" ht="15" hidden="false" customHeight="false" outlineLevel="0" collapsed="false">
      <c r="A464" s="17"/>
      <c r="B464" s="40"/>
      <c r="C464" s="17"/>
      <c r="D464" s="17"/>
      <c r="E464" s="17"/>
      <c r="F464" s="17"/>
      <c r="G464" s="17"/>
      <c r="H464" s="42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44" t="str">
        <f aca="false">IF(OR(D464="",COUNTA(N464:S464)=0),"",SUMIFS(Settings!$AA$2:$AA$21,Settings!$Y$2:$Y$21,"Budget AED 5k+/mo?",Settings!$Z$2:$Z$21,N464)+SUMIFS(Settings!$AA$2:$AA$21,Settings!$Y$2:$Y$21,"Decision-maker?",Settings!$Z$2:$Z$21,O464)+SUMIFS(Settings!$AA$2:$AA$21,Settings!$Y$2:$Y$21,"Someone on camera?",Settings!$Z$2:$Z$21,P464)+SUMIFS(Settings!$AA$2:$AA$21,Settings!$Y$2:$Y$21,"OK with 3-month term?",Settings!$Z$2:$Z$21,Q464)+SUMIFS(Settings!$AA$2:$AA$21,Settings!$Y$2:$Y$21,"Start timeline",Settings!$Z$2:$Z$21,R464)+SUMIFS(Settings!$AA$2:$AA$21,Settings!$Y$2:$Y$21,"Social media gap",Settings!$Z$2:$Z$21,S464)+IF(E464="",0,IF(COUNTIF(Settings!$AC$2:$AC$6,E464)&gt;0,Settings!$AA$20,Settings!$AA$21)))</f>
        <v/>
      </c>
      <c r="U464" s="44" t="str">
        <f aca="false">IF(D464="","",IF(COUNTA(N464:S464)=0,"Not scored",IF(COUNTA(N464:S464)&lt;6,"Partly scored ("&amp;COUNTA(N464:S464)&amp;"/6)",IF(T464&gt;=Settings!$S$8,"Hot",IF(T464&gt;=Settings!$S$9,"Warm","Cold")))))</f>
        <v/>
      </c>
      <c r="V464" s="44" t="str">
        <f aca="false">IF(D464="","",IF(AND(N464="No",P464="No"),"🚩 Budget  ·  🚩 No one on camera",IF(N464="No","🚩 Budget under AED 5k",IF(P464="No","🚩 No one on camera",""))))</f>
        <v/>
      </c>
      <c r="W464" s="17"/>
      <c r="X464" s="17"/>
      <c r="Y464" s="40"/>
      <c r="Z464" s="17"/>
      <c r="AA464" s="45" t="str">
        <f aca="false">IF(OR(D464="",Y464="",OR(X464="Contract signed + paid",X464="Closed – No response",X464="Lost"),N(Z464)&gt;=Settings!$S$3),"",Y464+Settings!$S$2)</f>
        <v/>
      </c>
      <c r="AB464" s="40"/>
      <c r="AC464" s="41"/>
      <c r="AD464" s="17"/>
      <c r="AE464" s="17"/>
      <c r="AF464" s="17"/>
      <c r="AG464" s="46" t="str">
        <f aca="true">IF(OR(D464="",B464=""),"",INT(TODAY()-B464))</f>
        <v/>
      </c>
      <c r="AH464" s="44" t="str">
        <f aca="true">IF(D464="","",IF(OR(COUNTIFS(Clients!$C$2:$C$501,D464,Clients!$S$2:$S$501,"Paid")&gt;0,AND(H464&lt;&gt;"",COUNTIFS(Clients!$E$2:$E$501,H464,Clients!$S$2:$S$501,"Paid")&gt;0)),"⚠ Refunded before – no free video",IF(OR(X464="Contract signed + paid",X464="Closed – No response",X464="Lost"),"",IF(X464="","Set a stage",IF(AND(X464="Proposal sent",COUNTA(N464:S464)&lt;6),"Score this lead – proposal sent unscored",IF(N(Z464)&gt;=Settings!$S$3,"Close – 4 follow-ups sent",IF(AA464="",IF(Y464="","Make first contact",""),IF(TODAY()&gt;AA464,"OVERDUE follow-up",IF(TODAY()=AA464,"Follow up today","")))))))))</f>
        <v/>
      </c>
    </row>
    <row r="465" customFormat="false" ht="15" hidden="false" customHeight="false" outlineLevel="0" collapsed="false">
      <c r="A465" s="17"/>
      <c r="B465" s="40"/>
      <c r="C465" s="17"/>
      <c r="D465" s="17"/>
      <c r="E465" s="17"/>
      <c r="F465" s="17"/>
      <c r="G465" s="17"/>
      <c r="H465" s="42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44" t="str">
        <f aca="false">IF(OR(D465="",COUNTA(N465:S465)=0),"",SUMIFS(Settings!$AA$2:$AA$21,Settings!$Y$2:$Y$21,"Budget AED 5k+/mo?",Settings!$Z$2:$Z$21,N465)+SUMIFS(Settings!$AA$2:$AA$21,Settings!$Y$2:$Y$21,"Decision-maker?",Settings!$Z$2:$Z$21,O465)+SUMIFS(Settings!$AA$2:$AA$21,Settings!$Y$2:$Y$21,"Someone on camera?",Settings!$Z$2:$Z$21,P465)+SUMIFS(Settings!$AA$2:$AA$21,Settings!$Y$2:$Y$21,"OK with 3-month term?",Settings!$Z$2:$Z$21,Q465)+SUMIFS(Settings!$AA$2:$AA$21,Settings!$Y$2:$Y$21,"Start timeline",Settings!$Z$2:$Z$21,R465)+SUMIFS(Settings!$AA$2:$AA$21,Settings!$Y$2:$Y$21,"Social media gap",Settings!$Z$2:$Z$21,S465)+IF(E465="",0,IF(COUNTIF(Settings!$AC$2:$AC$6,E465)&gt;0,Settings!$AA$20,Settings!$AA$21)))</f>
        <v/>
      </c>
      <c r="U465" s="44" t="str">
        <f aca="false">IF(D465="","",IF(COUNTA(N465:S465)=0,"Not scored",IF(COUNTA(N465:S465)&lt;6,"Partly scored ("&amp;COUNTA(N465:S465)&amp;"/6)",IF(T465&gt;=Settings!$S$8,"Hot",IF(T465&gt;=Settings!$S$9,"Warm","Cold")))))</f>
        <v/>
      </c>
      <c r="V465" s="44" t="str">
        <f aca="false">IF(D465="","",IF(AND(N465="No",P465="No"),"🚩 Budget  ·  🚩 No one on camera",IF(N465="No","🚩 Budget under AED 5k",IF(P465="No","🚩 No one on camera",""))))</f>
        <v/>
      </c>
      <c r="W465" s="17"/>
      <c r="X465" s="17"/>
      <c r="Y465" s="40"/>
      <c r="Z465" s="17"/>
      <c r="AA465" s="45" t="str">
        <f aca="false">IF(OR(D465="",Y465="",OR(X465="Contract signed + paid",X465="Closed – No response",X465="Lost"),N(Z465)&gt;=Settings!$S$3),"",Y465+Settings!$S$2)</f>
        <v/>
      </c>
      <c r="AB465" s="40"/>
      <c r="AC465" s="41"/>
      <c r="AD465" s="17"/>
      <c r="AE465" s="17"/>
      <c r="AF465" s="17"/>
      <c r="AG465" s="46" t="str">
        <f aca="true">IF(OR(D465="",B465=""),"",INT(TODAY()-B465))</f>
        <v/>
      </c>
      <c r="AH465" s="44" t="str">
        <f aca="true">IF(D465="","",IF(OR(COUNTIFS(Clients!$C$2:$C$501,D465,Clients!$S$2:$S$501,"Paid")&gt;0,AND(H465&lt;&gt;"",COUNTIFS(Clients!$E$2:$E$501,H465,Clients!$S$2:$S$501,"Paid")&gt;0)),"⚠ Refunded before – no free video",IF(OR(X465="Contract signed + paid",X465="Closed – No response",X465="Lost"),"",IF(X465="","Set a stage",IF(AND(X465="Proposal sent",COUNTA(N465:S465)&lt;6),"Score this lead – proposal sent unscored",IF(N(Z465)&gt;=Settings!$S$3,"Close – 4 follow-ups sent",IF(AA465="",IF(Y465="","Make first contact",""),IF(TODAY()&gt;AA465,"OVERDUE follow-up",IF(TODAY()=AA465,"Follow up today","")))))))))</f>
        <v/>
      </c>
    </row>
    <row r="466" customFormat="false" ht="15" hidden="false" customHeight="false" outlineLevel="0" collapsed="false">
      <c r="A466" s="17"/>
      <c r="B466" s="40"/>
      <c r="C466" s="17"/>
      <c r="D466" s="17"/>
      <c r="E466" s="17"/>
      <c r="F466" s="17"/>
      <c r="G466" s="17"/>
      <c r="H466" s="42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44" t="str">
        <f aca="false">IF(OR(D466="",COUNTA(N466:S466)=0),"",SUMIFS(Settings!$AA$2:$AA$21,Settings!$Y$2:$Y$21,"Budget AED 5k+/mo?",Settings!$Z$2:$Z$21,N466)+SUMIFS(Settings!$AA$2:$AA$21,Settings!$Y$2:$Y$21,"Decision-maker?",Settings!$Z$2:$Z$21,O466)+SUMIFS(Settings!$AA$2:$AA$21,Settings!$Y$2:$Y$21,"Someone on camera?",Settings!$Z$2:$Z$21,P466)+SUMIFS(Settings!$AA$2:$AA$21,Settings!$Y$2:$Y$21,"OK with 3-month term?",Settings!$Z$2:$Z$21,Q466)+SUMIFS(Settings!$AA$2:$AA$21,Settings!$Y$2:$Y$21,"Start timeline",Settings!$Z$2:$Z$21,R466)+SUMIFS(Settings!$AA$2:$AA$21,Settings!$Y$2:$Y$21,"Social media gap",Settings!$Z$2:$Z$21,S466)+IF(E466="",0,IF(COUNTIF(Settings!$AC$2:$AC$6,E466)&gt;0,Settings!$AA$20,Settings!$AA$21)))</f>
        <v/>
      </c>
      <c r="U466" s="44" t="str">
        <f aca="false">IF(D466="","",IF(COUNTA(N466:S466)=0,"Not scored",IF(COUNTA(N466:S466)&lt;6,"Partly scored ("&amp;COUNTA(N466:S466)&amp;"/6)",IF(T466&gt;=Settings!$S$8,"Hot",IF(T466&gt;=Settings!$S$9,"Warm","Cold")))))</f>
        <v/>
      </c>
      <c r="V466" s="44" t="str">
        <f aca="false">IF(D466="","",IF(AND(N466="No",P466="No"),"🚩 Budget  ·  🚩 No one on camera",IF(N466="No","🚩 Budget under AED 5k",IF(P466="No","🚩 No one on camera",""))))</f>
        <v/>
      </c>
      <c r="W466" s="17"/>
      <c r="X466" s="17"/>
      <c r="Y466" s="40"/>
      <c r="Z466" s="17"/>
      <c r="AA466" s="45" t="str">
        <f aca="false">IF(OR(D466="",Y466="",OR(X466="Contract signed + paid",X466="Closed – No response",X466="Lost"),N(Z466)&gt;=Settings!$S$3),"",Y466+Settings!$S$2)</f>
        <v/>
      </c>
      <c r="AB466" s="40"/>
      <c r="AC466" s="41"/>
      <c r="AD466" s="17"/>
      <c r="AE466" s="17"/>
      <c r="AF466" s="17"/>
      <c r="AG466" s="46" t="str">
        <f aca="true">IF(OR(D466="",B466=""),"",INT(TODAY()-B466))</f>
        <v/>
      </c>
      <c r="AH466" s="44" t="str">
        <f aca="true">IF(D466="","",IF(OR(COUNTIFS(Clients!$C$2:$C$501,D466,Clients!$S$2:$S$501,"Paid")&gt;0,AND(H466&lt;&gt;"",COUNTIFS(Clients!$E$2:$E$501,H466,Clients!$S$2:$S$501,"Paid")&gt;0)),"⚠ Refunded before – no free video",IF(OR(X466="Contract signed + paid",X466="Closed – No response",X466="Lost"),"",IF(X466="","Set a stage",IF(AND(X466="Proposal sent",COUNTA(N466:S466)&lt;6),"Score this lead – proposal sent unscored",IF(N(Z466)&gt;=Settings!$S$3,"Close – 4 follow-ups sent",IF(AA466="",IF(Y466="","Make first contact",""),IF(TODAY()&gt;AA466,"OVERDUE follow-up",IF(TODAY()=AA466,"Follow up today","")))))))))</f>
        <v/>
      </c>
    </row>
    <row r="467" customFormat="false" ht="15" hidden="false" customHeight="false" outlineLevel="0" collapsed="false">
      <c r="A467" s="17"/>
      <c r="B467" s="40"/>
      <c r="C467" s="17"/>
      <c r="D467" s="17"/>
      <c r="E467" s="17"/>
      <c r="F467" s="17"/>
      <c r="G467" s="17"/>
      <c r="H467" s="42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44" t="str">
        <f aca="false">IF(OR(D467="",COUNTA(N467:S467)=0),"",SUMIFS(Settings!$AA$2:$AA$21,Settings!$Y$2:$Y$21,"Budget AED 5k+/mo?",Settings!$Z$2:$Z$21,N467)+SUMIFS(Settings!$AA$2:$AA$21,Settings!$Y$2:$Y$21,"Decision-maker?",Settings!$Z$2:$Z$21,O467)+SUMIFS(Settings!$AA$2:$AA$21,Settings!$Y$2:$Y$21,"Someone on camera?",Settings!$Z$2:$Z$21,P467)+SUMIFS(Settings!$AA$2:$AA$21,Settings!$Y$2:$Y$21,"OK with 3-month term?",Settings!$Z$2:$Z$21,Q467)+SUMIFS(Settings!$AA$2:$AA$21,Settings!$Y$2:$Y$21,"Start timeline",Settings!$Z$2:$Z$21,R467)+SUMIFS(Settings!$AA$2:$AA$21,Settings!$Y$2:$Y$21,"Social media gap",Settings!$Z$2:$Z$21,S467)+IF(E467="",0,IF(COUNTIF(Settings!$AC$2:$AC$6,E467)&gt;0,Settings!$AA$20,Settings!$AA$21)))</f>
        <v/>
      </c>
      <c r="U467" s="44" t="str">
        <f aca="false">IF(D467="","",IF(COUNTA(N467:S467)=0,"Not scored",IF(COUNTA(N467:S467)&lt;6,"Partly scored ("&amp;COUNTA(N467:S467)&amp;"/6)",IF(T467&gt;=Settings!$S$8,"Hot",IF(T467&gt;=Settings!$S$9,"Warm","Cold")))))</f>
        <v/>
      </c>
      <c r="V467" s="44" t="str">
        <f aca="false">IF(D467="","",IF(AND(N467="No",P467="No"),"🚩 Budget  ·  🚩 No one on camera",IF(N467="No","🚩 Budget under AED 5k",IF(P467="No","🚩 No one on camera",""))))</f>
        <v/>
      </c>
      <c r="W467" s="17"/>
      <c r="X467" s="17"/>
      <c r="Y467" s="40"/>
      <c r="Z467" s="17"/>
      <c r="AA467" s="45" t="str">
        <f aca="false">IF(OR(D467="",Y467="",OR(X467="Contract signed + paid",X467="Closed – No response",X467="Lost"),N(Z467)&gt;=Settings!$S$3),"",Y467+Settings!$S$2)</f>
        <v/>
      </c>
      <c r="AB467" s="40"/>
      <c r="AC467" s="41"/>
      <c r="AD467" s="17"/>
      <c r="AE467" s="17"/>
      <c r="AF467" s="17"/>
      <c r="AG467" s="46" t="str">
        <f aca="true">IF(OR(D467="",B467=""),"",INT(TODAY()-B467))</f>
        <v/>
      </c>
      <c r="AH467" s="44" t="str">
        <f aca="true">IF(D467="","",IF(OR(COUNTIFS(Clients!$C$2:$C$501,D467,Clients!$S$2:$S$501,"Paid")&gt;0,AND(H467&lt;&gt;"",COUNTIFS(Clients!$E$2:$E$501,H467,Clients!$S$2:$S$501,"Paid")&gt;0)),"⚠ Refunded before – no free video",IF(OR(X467="Contract signed + paid",X467="Closed – No response",X467="Lost"),"",IF(X467="","Set a stage",IF(AND(X467="Proposal sent",COUNTA(N467:S467)&lt;6),"Score this lead – proposal sent unscored",IF(N(Z467)&gt;=Settings!$S$3,"Close – 4 follow-ups sent",IF(AA467="",IF(Y467="","Make first contact",""),IF(TODAY()&gt;AA467,"OVERDUE follow-up",IF(TODAY()=AA467,"Follow up today","")))))))))</f>
        <v/>
      </c>
    </row>
    <row r="468" customFormat="false" ht="15" hidden="false" customHeight="false" outlineLevel="0" collapsed="false">
      <c r="A468" s="17"/>
      <c r="B468" s="40"/>
      <c r="C468" s="17"/>
      <c r="D468" s="17"/>
      <c r="E468" s="17"/>
      <c r="F468" s="17"/>
      <c r="G468" s="17"/>
      <c r="H468" s="42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44" t="str">
        <f aca="false">IF(OR(D468="",COUNTA(N468:S468)=0),"",SUMIFS(Settings!$AA$2:$AA$21,Settings!$Y$2:$Y$21,"Budget AED 5k+/mo?",Settings!$Z$2:$Z$21,N468)+SUMIFS(Settings!$AA$2:$AA$21,Settings!$Y$2:$Y$21,"Decision-maker?",Settings!$Z$2:$Z$21,O468)+SUMIFS(Settings!$AA$2:$AA$21,Settings!$Y$2:$Y$21,"Someone on camera?",Settings!$Z$2:$Z$21,P468)+SUMIFS(Settings!$AA$2:$AA$21,Settings!$Y$2:$Y$21,"OK with 3-month term?",Settings!$Z$2:$Z$21,Q468)+SUMIFS(Settings!$AA$2:$AA$21,Settings!$Y$2:$Y$21,"Start timeline",Settings!$Z$2:$Z$21,R468)+SUMIFS(Settings!$AA$2:$AA$21,Settings!$Y$2:$Y$21,"Social media gap",Settings!$Z$2:$Z$21,S468)+IF(E468="",0,IF(COUNTIF(Settings!$AC$2:$AC$6,E468)&gt;0,Settings!$AA$20,Settings!$AA$21)))</f>
        <v/>
      </c>
      <c r="U468" s="44" t="str">
        <f aca="false">IF(D468="","",IF(COUNTA(N468:S468)=0,"Not scored",IF(COUNTA(N468:S468)&lt;6,"Partly scored ("&amp;COUNTA(N468:S468)&amp;"/6)",IF(T468&gt;=Settings!$S$8,"Hot",IF(T468&gt;=Settings!$S$9,"Warm","Cold")))))</f>
        <v/>
      </c>
      <c r="V468" s="44" t="str">
        <f aca="false">IF(D468="","",IF(AND(N468="No",P468="No"),"🚩 Budget  ·  🚩 No one on camera",IF(N468="No","🚩 Budget under AED 5k",IF(P468="No","🚩 No one on camera",""))))</f>
        <v/>
      </c>
      <c r="W468" s="17"/>
      <c r="X468" s="17"/>
      <c r="Y468" s="40"/>
      <c r="Z468" s="17"/>
      <c r="AA468" s="45" t="str">
        <f aca="false">IF(OR(D468="",Y468="",OR(X468="Contract signed + paid",X468="Closed – No response",X468="Lost"),N(Z468)&gt;=Settings!$S$3),"",Y468+Settings!$S$2)</f>
        <v/>
      </c>
      <c r="AB468" s="40"/>
      <c r="AC468" s="41"/>
      <c r="AD468" s="17"/>
      <c r="AE468" s="17"/>
      <c r="AF468" s="17"/>
      <c r="AG468" s="46" t="str">
        <f aca="true">IF(OR(D468="",B468=""),"",INT(TODAY()-B468))</f>
        <v/>
      </c>
      <c r="AH468" s="44" t="str">
        <f aca="true">IF(D468="","",IF(OR(COUNTIFS(Clients!$C$2:$C$501,D468,Clients!$S$2:$S$501,"Paid")&gt;0,AND(H468&lt;&gt;"",COUNTIFS(Clients!$E$2:$E$501,H468,Clients!$S$2:$S$501,"Paid")&gt;0)),"⚠ Refunded before – no free video",IF(OR(X468="Contract signed + paid",X468="Closed – No response",X468="Lost"),"",IF(X468="","Set a stage",IF(AND(X468="Proposal sent",COUNTA(N468:S468)&lt;6),"Score this lead – proposal sent unscored",IF(N(Z468)&gt;=Settings!$S$3,"Close – 4 follow-ups sent",IF(AA468="",IF(Y468="","Make first contact",""),IF(TODAY()&gt;AA468,"OVERDUE follow-up",IF(TODAY()=AA468,"Follow up today","")))))))))</f>
        <v/>
      </c>
    </row>
    <row r="469" customFormat="false" ht="15" hidden="false" customHeight="false" outlineLevel="0" collapsed="false">
      <c r="A469" s="17"/>
      <c r="B469" s="40"/>
      <c r="C469" s="17"/>
      <c r="D469" s="17"/>
      <c r="E469" s="17"/>
      <c r="F469" s="17"/>
      <c r="G469" s="17"/>
      <c r="H469" s="42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44" t="str">
        <f aca="false">IF(OR(D469="",COUNTA(N469:S469)=0),"",SUMIFS(Settings!$AA$2:$AA$21,Settings!$Y$2:$Y$21,"Budget AED 5k+/mo?",Settings!$Z$2:$Z$21,N469)+SUMIFS(Settings!$AA$2:$AA$21,Settings!$Y$2:$Y$21,"Decision-maker?",Settings!$Z$2:$Z$21,O469)+SUMIFS(Settings!$AA$2:$AA$21,Settings!$Y$2:$Y$21,"Someone on camera?",Settings!$Z$2:$Z$21,P469)+SUMIFS(Settings!$AA$2:$AA$21,Settings!$Y$2:$Y$21,"OK with 3-month term?",Settings!$Z$2:$Z$21,Q469)+SUMIFS(Settings!$AA$2:$AA$21,Settings!$Y$2:$Y$21,"Start timeline",Settings!$Z$2:$Z$21,R469)+SUMIFS(Settings!$AA$2:$AA$21,Settings!$Y$2:$Y$21,"Social media gap",Settings!$Z$2:$Z$21,S469)+IF(E469="",0,IF(COUNTIF(Settings!$AC$2:$AC$6,E469)&gt;0,Settings!$AA$20,Settings!$AA$21)))</f>
        <v/>
      </c>
      <c r="U469" s="44" t="str">
        <f aca="false">IF(D469="","",IF(COUNTA(N469:S469)=0,"Not scored",IF(COUNTA(N469:S469)&lt;6,"Partly scored ("&amp;COUNTA(N469:S469)&amp;"/6)",IF(T469&gt;=Settings!$S$8,"Hot",IF(T469&gt;=Settings!$S$9,"Warm","Cold")))))</f>
        <v/>
      </c>
      <c r="V469" s="44" t="str">
        <f aca="false">IF(D469="","",IF(AND(N469="No",P469="No"),"🚩 Budget  ·  🚩 No one on camera",IF(N469="No","🚩 Budget under AED 5k",IF(P469="No","🚩 No one on camera",""))))</f>
        <v/>
      </c>
      <c r="W469" s="17"/>
      <c r="X469" s="17"/>
      <c r="Y469" s="40"/>
      <c r="Z469" s="17"/>
      <c r="AA469" s="45" t="str">
        <f aca="false">IF(OR(D469="",Y469="",OR(X469="Contract signed + paid",X469="Closed – No response",X469="Lost"),N(Z469)&gt;=Settings!$S$3),"",Y469+Settings!$S$2)</f>
        <v/>
      </c>
      <c r="AB469" s="40"/>
      <c r="AC469" s="41"/>
      <c r="AD469" s="17"/>
      <c r="AE469" s="17"/>
      <c r="AF469" s="17"/>
      <c r="AG469" s="46" t="str">
        <f aca="true">IF(OR(D469="",B469=""),"",INT(TODAY()-B469))</f>
        <v/>
      </c>
      <c r="AH469" s="44" t="str">
        <f aca="true">IF(D469="","",IF(OR(COUNTIFS(Clients!$C$2:$C$501,D469,Clients!$S$2:$S$501,"Paid")&gt;0,AND(H469&lt;&gt;"",COUNTIFS(Clients!$E$2:$E$501,H469,Clients!$S$2:$S$501,"Paid")&gt;0)),"⚠ Refunded before – no free video",IF(OR(X469="Contract signed + paid",X469="Closed – No response",X469="Lost"),"",IF(X469="","Set a stage",IF(AND(X469="Proposal sent",COUNTA(N469:S469)&lt;6),"Score this lead – proposal sent unscored",IF(N(Z469)&gt;=Settings!$S$3,"Close – 4 follow-ups sent",IF(AA469="",IF(Y469="","Make first contact",""),IF(TODAY()&gt;AA469,"OVERDUE follow-up",IF(TODAY()=AA469,"Follow up today","")))))))))</f>
        <v/>
      </c>
    </row>
    <row r="470" customFormat="false" ht="15" hidden="false" customHeight="false" outlineLevel="0" collapsed="false">
      <c r="A470" s="17"/>
      <c r="B470" s="40"/>
      <c r="C470" s="17"/>
      <c r="D470" s="17"/>
      <c r="E470" s="17"/>
      <c r="F470" s="17"/>
      <c r="G470" s="17"/>
      <c r="H470" s="42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44" t="str">
        <f aca="false">IF(OR(D470="",COUNTA(N470:S470)=0),"",SUMIFS(Settings!$AA$2:$AA$21,Settings!$Y$2:$Y$21,"Budget AED 5k+/mo?",Settings!$Z$2:$Z$21,N470)+SUMIFS(Settings!$AA$2:$AA$21,Settings!$Y$2:$Y$21,"Decision-maker?",Settings!$Z$2:$Z$21,O470)+SUMIFS(Settings!$AA$2:$AA$21,Settings!$Y$2:$Y$21,"Someone on camera?",Settings!$Z$2:$Z$21,P470)+SUMIFS(Settings!$AA$2:$AA$21,Settings!$Y$2:$Y$21,"OK with 3-month term?",Settings!$Z$2:$Z$21,Q470)+SUMIFS(Settings!$AA$2:$AA$21,Settings!$Y$2:$Y$21,"Start timeline",Settings!$Z$2:$Z$21,R470)+SUMIFS(Settings!$AA$2:$AA$21,Settings!$Y$2:$Y$21,"Social media gap",Settings!$Z$2:$Z$21,S470)+IF(E470="",0,IF(COUNTIF(Settings!$AC$2:$AC$6,E470)&gt;0,Settings!$AA$20,Settings!$AA$21)))</f>
        <v/>
      </c>
      <c r="U470" s="44" t="str">
        <f aca="false">IF(D470="","",IF(COUNTA(N470:S470)=0,"Not scored",IF(COUNTA(N470:S470)&lt;6,"Partly scored ("&amp;COUNTA(N470:S470)&amp;"/6)",IF(T470&gt;=Settings!$S$8,"Hot",IF(T470&gt;=Settings!$S$9,"Warm","Cold")))))</f>
        <v/>
      </c>
      <c r="V470" s="44" t="str">
        <f aca="false">IF(D470="","",IF(AND(N470="No",P470="No"),"🚩 Budget  ·  🚩 No one on camera",IF(N470="No","🚩 Budget under AED 5k",IF(P470="No","🚩 No one on camera",""))))</f>
        <v/>
      </c>
      <c r="W470" s="17"/>
      <c r="X470" s="17"/>
      <c r="Y470" s="40"/>
      <c r="Z470" s="17"/>
      <c r="AA470" s="45" t="str">
        <f aca="false">IF(OR(D470="",Y470="",OR(X470="Contract signed + paid",X470="Closed – No response",X470="Lost"),N(Z470)&gt;=Settings!$S$3),"",Y470+Settings!$S$2)</f>
        <v/>
      </c>
      <c r="AB470" s="40"/>
      <c r="AC470" s="41"/>
      <c r="AD470" s="17"/>
      <c r="AE470" s="17"/>
      <c r="AF470" s="17"/>
      <c r="AG470" s="46" t="str">
        <f aca="true">IF(OR(D470="",B470=""),"",INT(TODAY()-B470))</f>
        <v/>
      </c>
      <c r="AH470" s="44" t="str">
        <f aca="true">IF(D470="","",IF(OR(COUNTIFS(Clients!$C$2:$C$501,D470,Clients!$S$2:$S$501,"Paid")&gt;0,AND(H470&lt;&gt;"",COUNTIFS(Clients!$E$2:$E$501,H470,Clients!$S$2:$S$501,"Paid")&gt;0)),"⚠ Refunded before – no free video",IF(OR(X470="Contract signed + paid",X470="Closed – No response",X470="Lost"),"",IF(X470="","Set a stage",IF(AND(X470="Proposal sent",COUNTA(N470:S470)&lt;6),"Score this lead – proposal sent unscored",IF(N(Z470)&gt;=Settings!$S$3,"Close – 4 follow-ups sent",IF(AA470="",IF(Y470="","Make first contact",""),IF(TODAY()&gt;AA470,"OVERDUE follow-up",IF(TODAY()=AA470,"Follow up today","")))))))))</f>
        <v/>
      </c>
    </row>
    <row r="471" customFormat="false" ht="15" hidden="false" customHeight="false" outlineLevel="0" collapsed="false">
      <c r="A471" s="17"/>
      <c r="B471" s="40"/>
      <c r="C471" s="17"/>
      <c r="D471" s="17"/>
      <c r="E471" s="17"/>
      <c r="F471" s="17"/>
      <c r="G471" s="17"/>
      <c r="H471" s="42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44" t="str">
        <f aca="false">IF(OR(D471="",COUNTA(N471:S471)=0),"",SUMIFS(Settings!$AA$2:$AA$21,Settings!$Y$2:$Y$21,"Budget AED 5k+/mo?",Settings!$Z$2:$Z$21,N471)+SUMIFS(Settings!$AA$2:$AA$21,Settings!$Y$2:$Y$21,"Decision-maker?",Settings!$Z$2:$Z$21,O471)+SUMIFS(Settings!$AA$2:$AA$21,Settings!$Y$2:$Y$21,"Someone on camera?",Settings!$Z$2:$Z$21,P471)+SUMIFS(Settings!$AA$2:$AA$21,Settings!$Y$2:$Y$21,"OK with 3-month term?",Settings!$Z$2:$Z$21,Q471)+SUMIFS(Settings!$AA$2:$AA$21,Settings!$Y$2:$Y$21,"Start timeline",Settings!$Z$2:$Z$21,R471)+SUMIFS(Settings!$AA$2:$AA$21,Settings!$Y$2:$Y$21,"Social media gap",Settings!$Z$2:$Z$21,S471)+IF(E471="",0,IF(COUNTIF(Settings!$AC$2:$AC$6,E471)&gt;0,Settings!$AA$20,Settings!$AA$21)))</f>
        <v/>
      </c>
      <c r="U471" s="44" t="str">
        <f aca="false">IF(D471="","",IF(COUNTA(N471:S471)=0,"Not scored",IF(COUNTA(N471:S471)&lt;6,"Partly scored ("&amp;COUNTA(N471:S471)&amp;"/6)",IF(T471&gt;=Settings!$S$8,"Hot",IF(T471&gt;=Settings!$S$9,"Warm","Cold")))))</f>
        <v/>
      </c>
      <c r="V471" s="44" t="str">
        <f aca="false">IF(D471="","",IF(AND(N471="No",P471="No"),"🚩 Budget  ·  🚩 No one on camera",IF(N471="No","🚩 Budget under AED 5k",IF(P471="No","🚩 No one on camera",""))))</f>
        <v/>
      </c>
      <c r="W471" s="17"/>
      <c r="X471" s="17"/>
      <c r="Y471" s="40"/>
      <c r="Z471" s="17"/>
      <c r="AA471" s="45" t="str">
        <f aca="false">IF(OR(D471="",Y471="",OR(X471="Contract signed + paid",X471="Closed – No response",X471="Lost"),N(Z471)&gt;=Settings!$S$3),"",Y471+Settings!$S$2)</f>
        <v/>
      </c>
      <c r="AB471" s="40"/>
      <c r="AC471" s="41"/>
      <c r="AD471" s="17"/>
      <c r="AE471" s="17"/>
      <c r="AF471" s="17"/>
      <c r="AG471" s="46" t="str">
        <f aca="true">IF(OR(D471="",B471=""),"",INT(TODAY()-B471))</f>
        <v/>
      </c>
      <c r="AH471" s="44" t="str">
        <f aca="true">IF(D471="","",IF(OR(COUNTIFS(Clients!$C$2:$C$501,D471,Clients!$S$2:$S$501,"Paid")&gt;0,AND(H471&lt;&gt;"",COUNTIFS(Clients!$E$2:$E$501,H471,Clients!$S$2:$S$501,"Paid")&gt;0)),"⚠ Refunded before – no free video",IF(OR(X471="Contract signed + paid",X471="Closed – No response",X471="Lost"),"",IF(X471="","Set a stage",IF(AND(X471="Proposal sent",COUNTA(N471:S471)&lt;6),"Score this lead – proposal sent unscored",IF(N(Z471)&gt;=Settings!$S$3,"Close – 4 follow-ups sent",IF(AA471="",IF(Y471="","Make first contact",""),IF(TODAY()&gt;AA471,"OVERDUE follow-up",IF(TODAY()=AA471,"Follow up today","")))))))))</f>
        <v/>
      </c>
    </row>
    <row r="472" customFormat="false" ht="15" hidden="false" customHeight="false" outlineLevel="0" collapsed="false">
      <c r="A472" s="17"/>
      <c r="B472" s="40"/>
      <c r="C472" s="17"/>
      <c r="D472" s="17"/>
      <c r="E472" s="17"/>
      <c r="F472" s="17"/>
      <c r="G472" s="17"/>
      <c r="H472" s="42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44" t="str">
        <f aca="false">IF(OR(D472="",COUNTA(N472:S472)=0),"",SUMIFS(Settings!$AA$2:$AA$21,Settings!$Y$2:$Y$21,"Budget AED 5k+/mo?",Settings!$Z$2:$Z$21,N472)+SUMIFS(Settings!$AA$2:$AA$21,Settings!$Y$2:$Y$21,"Decision-maker?",Settings!$Z$2:$Z$21,O472)+SUMIFS(Settings!$AA$2:$AA$21,Settings!$Y$2:$Y$21,"Someone on camera?",Settings!$Z$2:$Z$21,P472)+SUMIFS(Settings!$AA$2:$AA$21,Settings!$Y$2:$Y$21,"OK with 3-month term?",Settings!$Z$2:$Z$21,Q472)+SUMIFS(Settings!$AA$2:$AA$21,Settings!$Y$2:$Y$21,"Start timeline",Settings!$Z$2:$Z$21,R472)+SUMIFS(Settings!$AA$2:$AA$21,Settings!$Y$2:$Y$21,"Social media gap",Settings!$Z$2:$Z$21,S472)+IF(E472="",0,IF(COUNTIF(Settings!$AC$2:$AC$6,E472)&gt;0,Settings!$AA$20,Settings!$AA$21)))</f>
        <v/>
      </c>
      <c r="U472" s="44" t="str">
        <f aca="false">IF(D472="","",IF(COUNTA(N472:S472)=0,"Not scored",IF(COUNTA(N472:S472)&lt;6,"Partly scored ("&amp;COUNTA(N472:S472)&amp;"/6)",IF(T472&gt;=Settings!$S$8,"Hot",IF(T472&gt;=Settings!$S$9,"Warm","Cold")))))</f>
        <v/>
      </c>
      <c r="V472" s="44" t="str">
        <f aca="false">IF(D472="","",IF(AND(N472="No",P472="No"),"🚩 Budget  ·  🚩 No one on camera",IF(N472="No","🚩 Budget under AED 5k",IF(P472="No","🚩 No one on camera",""))))</f>
        <v/>
      </c>
      <c r="W472" s="17"/>
      <c r="X472" s="17"/>
      <c r="Y472" s="40"/>
      <c r="Z472" s="17"/>
      <c r="AA472" s="45" t="str">
        <f aca="false">IF(OR(D472="",Y472="",OR(X472="Contract signed + paid",X472="Closed – No response",X472="Lost"),N(Z472)&gt;=Settings!$S$3),"",Y472+Settings!$S$2)</f>
        <v/>
      </c>
      <c r="AB472" s="40"/>
      <c r="AC472" s="41"/>
      <c r="AD472" s="17"/>
      <c r="AE472" s="17"/>
      <c r="AF472" s="17"/>
      <c r="AG472" s="46" t="str">
        <f aca="true">IF(OR(D472="",B472=""),"",INT(TODAY()-B472))</f>
        <v/>
      </c>
      <c r="AH472" s="44" t="str">
        <f aca="true">IF(D472="","",IF(OR(COUNTIFS(Clients!$C$2:$C$501,D472,Clients!$S$2:$S$501,"Paid")&gt;0,AND(H472&lt;&gt;"",COUNTIFS(Clients!$E$2:$E$501,H472,Clients!$S$2:$S$501,"Paid")&gt;0)),"⚠ Refunded before – no free video",IF(OR(X472="Contract signed + paid",X472="Closed – No response",X472="Lost"),"",IF(X472="","Set a stage",IF(AND(X472="Proposal sent",COUNTA(N472:S472)&lt;6),"Score this lead – proposal sent unscored",IF(N(Z472)&gt;=Settings!$S$3,"Close – 4 follow-ups sent",IF(AA472="",IF(Y472="","Make first contact",""),IF(TODAY()&gt;AA472,"OVERDUE follow-up",IF(TODAY()=AA472,"Follow up today","")))))))))</f>
        <v/>
      </c>
    </row>
    <row r="473" customFormat="false" ht="15" hidden="false" customHeight="false" outlineLevel="0" collapsed="false">
      <c r="A473" s="17"/>
      <c r="B473" s="40"/>
      <c r="C473" s="17"/>
      <c r="D473" s="17"/>
      <c r="E473" s="17"/>
      <c r="F473" s="17"/>
      <c r="G473" s="17"/>
      <c r="H473" s="42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44" t="str">
        <f aca="false">IF(OR(D473="",COUNTA(N473:S473)=0),"",SUMIFS(Settings!$AA$2:$AA$21,Settings!$Y$2:$Y$21,"Budget AED 5k+/mo?",Settings!$Z$2:$Z$21,N473)+SUMIFS(Settings!$AA$2:$AA$21,Settings!$Y$2:$Y$21,"Decision-maker?",Settings!$Z$2:$Z$21,O473)+SUMIFS(Settings!$AA$2:$AA$21,Settings!$Y$2:$Y$21,"Someone on camera?",Settings!$Z$2:$Z$21,P473)+SUMIFS(Settings!$AA$2:$AA$21,Settings!$Y$2:$Y$21,"OK with 3-month term?",Settings!$Z$2:$Z$21,Q473)+SUMIFS(Settings!$AA$2:$AA$21,Settings!$Y$2:$Y$21,"Start timeline",Settings!$Z$2:$Z$21,R473)+SUMIFS(Settings!$AA$2:$AA$21,Settings!$Y$2:$Y$21,"Social media gap",Settings!$Z$2:$Z$21,S473)+IF(E473="",0,IF(COUNTIF(Settings!$AC$2:$AC$6,E473)&gt;0,Settings!$AA$20,Settings!$AA$21)))</f>
        <v/>
      </c>
      <c r="U473" s="44" t="str">
        <f aca="false">IF(D473="","",IF(COUNTA(N473:S473)=0,"Not scored",IF(COUNTA(N473:S473)&lt;6,"Partly scored ("&amp;COUNTA(N473:S473)&amp;"/6)",IF(T473&gt;=Settings!$S$8,"Hot",IF(T473&gt;=Settings!$S$9,"Warm","Cold")))))</f>
        <v/>
      </c>
      <c r="V473" s="44" t="str">
        <f aca="false">IF(D473="","",IF(AND(N473="No",P473="No"),"🚩 Budget  ·  🚩 No one on camera",IF(N473="No","🚩 Budget under AED 5k",IF(P473="No","🚩 No one on camera",""))))</f>
        <v/>
      </c>
      <c r="W473" s="17"/>
      <c r="X473" s="17"/>
      <c r="Y473" s="40"/>
      <c r="Z473" s="17"/>
      <c r="AA473" s="45" t="str">
        <f aca="false">IF(OR(D473="",Y473="",OR(X473="Contract signed + paid",X473="Closed – No response",X473="Lost"),N(Z473)&gt;=Settings!$S$3),"",Y473+Settings!$S$2)</f>
        <v/>
      </c>
      <c r="AB473" s="40"/>
      <c r="AC473" s="41"/>
      <c r="AD473" s="17"/>
      <c r="AE473" s="17"/>
      <c r="AF473" s="17"/>
      <c r="AG473" s="46" t="str">
        <f aca="true">IF(OR(D473="",B473=""),"",INT(TODAY()-B473))</f>
        <v/>
      </c>
      <c r="AH473" s="44" t="str">
        <f aca="true">IF(D473="","",IF(OR(COUNTIFS(Clients!$C$2:$C$501,D473,Clients!$S$2:$S$501,"Paid")&gt;0,AND(H473&lt;&gt;"",COUNTIFS(Clients!$E$2:$E$501,H473,Clients!$S$2:$S$501,"Paid")&gt;0)),"⚠ Refunded before – no free video",IF(OR(X473="Contract signed + paid",X473="Closed – No response",X473="Lost"),"",IF(X473="","Set a stage",IF(AND(X473="Proposal sent",COUNTA(N473:S473)&lt;6),"Score this lead – proposal sent unscored",IF(N(Z473)&gt;=Settings!$S$3,"Close – 4 follow-ups sent",IF(AA473="",IF(Y473="","Make first contact",""),IF(TODAY()&gt;AA473,"OVERDUE follow-up",IF(TODAY()=AA473,"Follow up today","")))))))))</f>
        <v/>
      </c>
    </row>
    <row r="474" customFormat="false" ht="15" hidden="false" customHeight="false" outlineLevel="0" collapsed="false">
      <c r="A474" s="17"/>
      <c r="B474" s="40"/>
      <c r="C474" s="17"/>
      <c r="D474" s="17"/>
      <c r="E474" s="17"/>
      <c r="F474" s="17"/>
      <c r="G474" s="17"/>
      <c r="H474" s="42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44" t="str">
        <f aca="false">IF(OR(D474="",COUNTA(N474:S474)=0),"",SUMIFS(Settings!$AA$2:$AA$21,Settings!$Y$2:$Y$21,"Budget AED 5k+/mo?",Settings!$Z$2:$Z$21,N474)+SUMIFS(Settings!$AA$2:$AA$21,Settings!$Y$2:$Y$21,"Decision-maker?",Settings!$Z$2:$Z$21,O474)+SUMIFS(Settings!$AA$2:$AA$21,Settings!$Y$2:$Y$21,"Someone on camera?",Settings!$Z$2:$Z$21,P474)+SUMIFS(Settings!$AA$2:$AA$21,Settings!$Y$2:$Y$21,"OK with 3-month term?",Settings!$Z$2:$Z$21,Q474)+SUMIFS(Settings!$AA$2:$AA$21,Settings!$Y$2:$Y$21,"Start timeline",Settings!$Z$2:$Z$21,R474)+SUMIFS(Settings!$AA$2:$AA$21,Settings!$Y$2:$Y$21,"Social media gap",Settings!$Z$2:$Z$21,S474)+IF(E474="",0,IF(COUNTIF(Settings!$AC$2:$AC$6,E474)&gt;0,Settings!$AA$20,Settings!$AA$21)))</f>
        <v/>
      </c>
      <c r="U474" s="44" t="str">
        <f aca="false">IF(D474="","",IF(COUNTA(N474:S474)=0,"Not scored",IF(COUNTA(N474:S474)&lt;6,"Partly scored ("&amp;COUNTA(N474:S474)&amp;"/6)",IF(T474&gt;=Settings!$S$8,"Hot",IF(T474&gt;=Settings!$S$9,"Warm","Cold")))))</f>
        <v/>
      </c>
      <c r="V474" s="44" t="str">
        <f aca="false">IF(D474="","",IF(AND(N474="No",P474="No"),"🚩 Budget  ·  🚩 No one on camera",IF(N474="No","🚩 Budget under AED 5k",IF(P474="No","🚩 No one on camera",""))))</f>
        <v/>
      </c>
      <c r="W474" s="17"/>
      <c r="X474" s="17"/>
      <c r="Y474" s="40"/>
      <c r="Z474" s="17"/>
      <c r="AA474" s="45" t="str">
        <f aca="false">IF(OR(D474="",Y474="",OR(X474="Contract signed + paid",X474="Closed – No response",X474="Lost"),N(Z474)&gt;=Settings!$S$3),"",Y474+Settings!$S$2)</f>
        <v/>
      </c>
      <c r="AB474" s="40"/>
      <c r="AC474" s="41"/>
      <c r="AD474" s="17"/>
      <c r="AE474" s="17"/>
      <c r="AF474" s="17"/>
      <c r="AG474" s="46" t="str">
        <f aca="true">IF(OR(D474="",B474=""),"",INT(TODAY()-B474))</f>
        <v/>
      </c>
      <c r="AH474" s="44" t="str">
        <f aca="true">IF(D474="","",IF(OR(COUNTIFS(Clients!$C$2:$C$501,D474,Clients!$S$2:$S$501,"Paid")&gt;0,AND(H474&lt;&gt;"",COUNTIFS(Clients!$E$2:$E$501,H474,Clients!$S$2:$S$501,"Paid")&gt;0)),"⚠ Refunded before – no free video",IF(OR(X474="Contract signed + paid",X474="Closed – No response",X474="Lost"),"",IF(X474="","Set a stage",IF(AND(X474="Proposal sent",COUNTA(N474:S474)&lt;6),"Score this lead – proposal sent unscored",IF(N(Z474)&gt;=Settings!$S$3,"Close – 4 follow-ups sent",IF(AA474="",IF(Y474="","Make first contact",""),IF(TODAY()&gt;AA474,"OVERDUE follow-up",IF(TODAY()=AA474,"Follow up today","")))))))))</f>
        <v/>
      </c>
    </row>
    <row r="475" customFormat="false" ht="15" hidden="false" customHeight="false" outlineLevel="0" collapsed="false">
      <c r="A475" s="17"/>
      <c r="B475" s="40"/>
      <c r="C475" s="17"/>
      <c r="D475" s="17"/>
      <c r="E475" s="17"/>
      <c r="F475" s="17"/>
      <c r="G475" s="17"/>
      <c r="H475" s="42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44" t="str">
        <f aca="false">IF(OR(D475="",COUNTA(N475:S475)=0),"",SUMIFS(Settings!$AA$2:$AA$21,Settings!$Y$2:$Y$21,"Budget AED 5k+/mo?",Settings!$Z$2:$Z$21,N475)+SUMIFS(Settings!$AA$2:$AA$21,Settings!$Y$2:$Y$21,"Decision-maker?",Settings!$Z$2:$Z$21,O475)+SUMIFS(Settings!$AA$2:$AA$21,Settings!$Y$2:$Y$21,"Someone on camera?",Settings!$Z$2:$Z$21,P475)+SUMIFS(Settings!$AA$2:$AA$21,Settings!$Y$2:$Y$21,"OK with 3-month term?",Settings!$Z$2:$Z$21,Q475)+SUMIFS(Settings!$AA$2:$AA$21,Settings!$Y$2:$Y$21,"Start timeline",Settings!$Z$2:$Z$21,R475)+SUMIFS(Settings!$AA$2:$AA$21,Settings!$Y$2:$Y$21,"Social media gap",Settings!$Z$2:$Z$21,S475)+IF(E475="",0,IF(COUNTIF(Settings!$AC$2:$AC$6,E475)&gt;0,Settings!$AA$20,Settings!$AA$21)))</f>
        <v/>
      </c>
      <c r="U475" s="44" t="str">
        <f aca="false">IF(D475="","",IF(COUNTA(N475:S475)=0,"Not scored",IF(COUNTA(N475:S475)&lt;6,"Partly scored ("&amp;COUNTA(N475:S475)&amp;"/6)",IF(T475&gt;=Settings!$S$8,"Hot",IF(T475&gt;=Settings!$S$9,"Warm","Cold")))))</f>
        <v/>
      </c>
      <c r="V475" s="44" t="str">
        <f aca="false">IF(D475="","",IF(AND(N475="No",P475="No"),"🚩 Budget  ·  🚩 No one on camera",IF(N475="No","🚩 Budget under AED 5k",IF(P475="No","🚩 No one on camera",""))))</f>
        <v/>
      </c>
      <c r="W475" s="17"/>
      <c r="X475" s="17"/>
      <c r="Y475" s="40"/>
      <c r="Z475" s="17"/>
      <c r="AA475" s="45" t="str">
        <f aca="false">IF(OR(D475="",Y475="",OR(X475="Contract signed + paid",X475="Closed – No response",X475="Lost"),N(Z475)&gt;=Settings!$S$3),"",Y475+Settings!$S$2)</f>
        <v/>
      </c>
      <c r="AB475" s="40"/>
      <c r="AC475" s="41"/>
      <c r="AD475" s="17"/>
      <c r="AE475" s="17"/>
      <c r="AF475" s="17"/>
      <c r="AG475" s="46" t="str">
        <f aca="true">IF(OR(D475="",B475=""),"",INT(TODAY()-B475))</f>
        <v/>
      </c>
      <c r="AH475" s="44" t="str">
        <f aca="true">IF(D475="","",IF(OR(COUNTIFS(Clients!$C$2:$C$501,D475,Clients!$S$2:$S$501,"Paid")&gt;0,AND(H475&lt;&gt;"",COUNTIFS(Clients!$E$2:$E$501,H475,Clients!$S$2:$S$501,"Paid")&gt;0)),"⚠ Refunded before – no free video",IF(OR(X475="Contract signed + paid",X475="Closed – No response",X475="Lost"),"",IF(X475="","Set a stage",IF(AND(X475="Proposal sent",COUNTA(N475:S475)&lt;6),"Score this lead – proposal sent unscored",IF(N(Z475)&gt;=Settings!$S$3,"Close – 4 follow-ups sent",IF(AA475="",IF(Y475="","Make first contact",""),IF(TODAY()&gt;AA475,"OVERDUE follow-up",IF(TODAY()=AA475,"Follow up today","")))))))))</f>
        <v/>
      </c>
    </row>
    <row r="476" customFormat="false" ht="15" hidden="false" customHeight="false" outlineLevel="0" collapsed="false">
      <c r="A476" s="17"/>
      <c r="B476" s="40"/>
      <c r="C476" s="17"/>
      <c r="D476" s="17"/>
      <c r="E476" s="17"/>
      <c r="F476" s="17"/>
      <c r="G476" s="17"/>
      <c r="H476" s="42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44" t="str">
        <f aca="false">IF(OR(D476="",COUNTA(N476:S476)=0),"",SUMIFS(Settings!$AA$2:$AA$21,Settings!$Y$2:$Y$21,"Budget AED 5k+/mo?",Settings!$Z$2:$Z$21,N476)+SUMIFS(Settings!$AA$2:$AA$21,Settings!$Y$2:$Y$21,"Decision-maker?",Settings!$Z$2:$Z$21,O476)+SUMIFS(Settings!$AA$2:$AA$21,Settings!$Y$2:$Y$21,"Someone on camera?",Settings!$Z$2:$Z$21,P476)+SUMIFS(Settings!$AA$2:$AA$21,Settings!$Y$2:$Y$21,"OK with 3-month term?",Settings!$Z$2:$Z$21,Q476)+SUMIFS(Settings!$AA$2:$AA$21,Settings!$Y$2:$Y$21,"Start timeline",Settings!$Z$2:$Z$21,R476)+SUMIFS(Settings!$AA$2:$AA$21,Settings!$Y$2:$Y$21,"Social media gap",Settings!$Z$2:$Z$21,S476)+IF(E476="",0,IF(COUNTIF(Settings!$AC$2:$AC$6,E476)&gt;0,Settings!$AA$20,Settings!$AA$21)))</f>
        <v/>
      </c>
      <c r="U476" s="44" t="str">
        <f aca="false">IF(D476="","",IF(COUNTA(N476:S476)=0,"Not scored",IF(COUNTA(N476:S476)&lt;6,"Partly scored ("&amp;COUNTA(N476:S476)&amp;"/6)",IF(T476&gt;=Settings!$S$8,"Hot",IF(T476&gt;=Settings!$S$9,"Warm","Cold")))))</f>
        <v/>
      </c>
      <c r="V476" s="44" t="str">
        <f aca="false">IF(D476="","",IF(AND(N476="No",P476="No"),"🚩 Budget  ·  🚩 No one on camera",IF(N476="No","🚩 Budget under AED 5k",IF(P476="No","🚩 No one on camera",""))))</f>
        <v/>
      </c>
      <c r="W476" s="17"/>
      <c r="X476" s="17"/>
      <c r="Y476" s="40"/>
      <c r="Z476" s="17"/>
      <c r="AA476" s="45" t="str">
        <f aca="false">IF(OR(D476="",Y476="",OR(X476="Contract signed + paid",X476="Closed – No response",X476="Lost"),N(Z476)&gt;=Settings!$S$3),"",Y476+Settings!$S$2)</f>
        <v/>
      </c>
      <c r="AB476" s="40"/>
      <c r="AC476" s="41"/>
      <c r="AD476" s="17"/>
      <c r="AE476" s="17"/>
      <c r="AF476" s="17"/>
      <c r="AG476" s="46" t="str">
        <f aca="true">IF(OR(D476="",B476=""),"",INT(TODAY()-B476))</f>
        <v/>
      </c>
      <c r="AH476" s="44" t="str">
        <f aca="true">IF(D476="","",IF(OR(COUNTIFS(Clients!$C$2:$C$501,D476,Clients!$S$2:$S$501,"Paid")&gt;0,AND(H476&lt;&gt;"",COUNTIFS(Clients!$E$2:$E$501,H476,Clients!$S$2:$S$501,"Paid")&gt;0)),"⚠ Refunded before – no free video",IF(OR(X476="Contract signed + paid",X476="Closed – No response",X476="Lost"),"",IF(X476="","Set a stage",IF(AND(X476="Proposal sent",COUNTA(N476:S476)&lt;6),"Score this lead – proposal sent unscored",IF(N(Z476)&gt;=Settings!$S$3,"Close – 4 follow-ups sent",IF(AA476="",IF(Y476="","Make first contact",""),IF(TODAY()&gt;AA476,"OVERDUE follow-up",IF(TODAY()=AA476,"Follow up today","")))))))))</f>
        <v/>
      </c>
    </row>
    <row r="477" customFormat="false" ht="15" hidden="false" customHeight="false" outlineLevel="0" collapsed="false">
      <c r="A477" s="17"/>
      <c r="B477" s="40"/>
      <c r="C477" s="17"/>
      <c r="D477" s="17"/>
      <c r="E477" s="17"/>
      <c r="F477" s="17"/>
      <c r="G477" s="17"/>
      <c r="H477" s="42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44" t="str">
        <f aca="false">IF(OR(D477="",COUNTA(N477:S477)=0),"",SUMIFS(Settings!$AA$2:$AA$21,Settings!$Y$2:$Y$21,"Budget AED 5k+/mo?",Settings!$Z$2:$Z$21,N477)+SUMIFS(Settings!$AA$2:$AA$21,Settings!$Y$2:$Y$21,"Decision-maker?",Settings!$Z$2:$Z$21,O477)+SUMIFS(Settings!$AA$2:$AA$21,Settings!$Y$2:$Y$21,"Someone on camera?",Settings!$Z$2:$Z$21,P477)+SUMIFS(Settings!$AA$2:$AA$21,Settings!$Y$2:$Y$21,"OK with 3-month term?",Settings!$Z$2:$Z$21,Q477)+SUMIFS(Settings!$AA$2:$AA$21,Settings!$Y$2:$Y$21,"Start timeline",Settings!$Z$2:$Z$21,R477)+SUMIFS(Settings!$AA$2:$AA$21,Settings!$Y$2:$Y$21,"Social media gap",Settings!$Z$2:$Z$21,S477)+IF(E477="",0,IF(COUNTIF(Settings!$AC$2:$AC$6,E477)&gt;0,Settings!$AA$20,Settings!$AA$21)))</f>
        <v/>
      </c>
      <c r="U477" s="44" t="str">
        <f aca="false">IF(D477="","",IF(COUNTA(N477:S477)=0,"Not scored",IF(COUNTA(N477:S477)&lt;6,"Partly scored ("&amp;COUNTA(N477:S477)&amp;"/6)",IF(T477&gt;=Settings!$S$8,"Hot",IF(T477&gt;=Settings!$S$9,"Warm","Cold")))))</f>
        <v/>
      </c>
      <c r="V477" s="44" t="str">
        <f aca="false">IF(D477="","",IF(AND(N477="No",P477="No"),"🚩 Budget  ·  🚩 No one on camera",IF(N477="No","🚩 Budget under AED 5k",IF(P477="No","🚩 No one on camera",""))))</f>
        <v/>
      </c>
      <c r="W477" s="17"/>
      <c r="X477" s="17"/>
      <c r="Y477" s="40"/>
      <c r="Z477" s="17"/>
      <c r="AA477" s="45" t="str">
        <f aca="false">IF(OR(D477="",Y477="",OR(X477="Contract signed + paid",X477="Closed – No response",X477="Lost"),N(Z477)&gt;=Settings!$S$3),"",Y477+Settings!$S$2)</f>
        <v/>
      </c>
      <c r="AB477" s="40"/>
      <c r="AC477" s="41"/>
      <c r="AD477" s="17"/>
      <c r="AE477" s="17"/>
      <c r="AF477" s="17"/>
      <c r="AG477" s="46" t="str">
        <f aca="true">IF(OR(D477="",B477=""),"",INT(TODAY()-B477))</f>
        <v/>
      </c>
      <c r="AH477" s="44" t="str">
        <f aca="true">IF(D477="","",IF(OR(COUNTIFS(Clients!$C$2:$C$501,D477,Clients!$S$2:$S$501,"Paid")&gt;0,AND(H477&lt;&gt;"",COUNTIFS(Clients!$E$2:$E$501,H477,Clients!$S$2:$S$501,"Paid")&gt;0)),"⚠ Refunded before – no free video",IF(OR(X477="Contract signed + paid",X477="Closed – No response",X477="Lost"),"",IF(X477="","Set a stage",IF(AND(X477="Proposal sent",COUNTA(N477:S477)&lt;6),"Score this lead – proposal sent unscored",IF(N(Z477)&gt;=Settings!$S$3,"Close – 4 follow-ups sent",IF(AA477="",IF(Y477="","Make first contact",""),IF(TODAY()&gt;AA477,"OVERDUE follow-up",IF(TODAY()=AA477,"Follow up today","")))))))))</f>
        <v/>
      </c>
    </row>
    <row r="478" customFormat="false" ht="15" hidden="false" customHeight="false" outlineLevel="0" collapsed="false">
      <c r="A478" s="17"/>
      <c r="B478" s="40"/>
      <c r="C478" s="17"/>
      <c r="D478" s="17"/>
      <c r="E478" s="17"/>
      <c r="F478" s="17"/>
      <c r="G478" s="17"/>
      <c r="H478" s="42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44" t="str">
        <f aca="false">IF(OR(D478="",COUNTA(N478:S478)=0),"",SUMIFS(Settings!$AA$2:$AA$21,Settings!$Y$2:$Y$21,"Budget AED 5k+/mo?",Settings!$Z$2:$Z$21,N478)+SUMIFS(Settings!$AA$2:$AA$21,Settings!$Y$2:$Y$21,"Decision-maker?",Settings!$Z$2:$Z$21,O478)+SUMIFS(Settings!$AA$2:$AA$21,Settings!$Y$2:$Y$21,"Someone on camera?",Settings!$Z$2:$Z$21,P478)+SUMIFS(Settings!$AA$2:$AA$21,Settings!$Y$2:$Y$21,"OK with 3-month term?",Settings!$Z$2:$Z$21,Q478)+SUMIFS(Settings!$AA$2:$AA$21,Settings!$Y$2:$Y$21,"Start timeline",Settings!$Z$2:$Z$21,R478)+SUMIFS(Settings!$AA$2:$AA$21,Settings!$Y$2:$Y$21,"Social media gap",Settings!$Z$2:$Z$21,S478)+IF(E478="",0,IF(COUNTIF(Settings!$AC$2:$AC$6,E478)&gt;0,Settings!$AA$20,Settings!$AA$21)))</f>
        <v/>
      </c>
      <c r="U478" s="44" t="str">
        <f aca="false">IF(D478="","",IF(COUNTA(N478:S478)=0,"Not scored",IF(COUNTA(N478:S478)&lt;6,"Partly scored ("&amp;COUNTA(N478:S478)&amp;"/6)",IF(T478&gt;=Settings!$S$8,"Hot",IF(T478&gt;=Settings!$S$9,"Warm","Cold")))))</f>
        <v/>
      </c>
      <c r="V478" s="44" t="str">
        <f aca="false">IF(D478="","",IF(AND(N478="No",P478="No"),"🚩 Budget  ·  🚩 No one on camera",IF(N478="No","🚩 Budget under AED 5k",IF(P478="No","🚩 No one on camera",""))))</f>
        <v/>
      </c>
      <c r="W478" s="17"/>
      <c r="X478" s="17"/>
      <c r="Y478" s="40"/>
      <c r="Z478" s="17"/>
      <c r="AA478" s="45" t="str">
        <f aca="false">IF(OR(D478="",Y478="",OR(X478="Contract signed + paid",X478="Closed – No response",X478="Lost"),N(Z478)&gt;=Settings!$S$3),"",Y478+Settings!$S$2)</f>
        <v/>
      </c>
      <c r="AB478" s="40"/>
      <c r="AC478" s="41"/>
      <c r="AD478" s="17"/>
      <c r="AE478" s="17"/>
      <c r="AF478" s="17"/>
      <c r="AG478" s="46" t="str">
        <f aca="true">IF(OR(D478="",B478=""),"",INT(TODAY()-B478))</f>
        <v/>
      </c>
      <c r="AH478" s="44" t="str">
        <f aca="true">IF(D478="","",IF(OR(COUNTIFS(Clients!$C$2:$C$501,D478,Clients!$S$2:$S$501,"Paid")&gt;0,AND(H478&lt;&gt;"",COUNTIFS(Clients!$E$2:$E$501,H478,Clients!$S$2:$S$501,"Paid")&gt;0)),"⚠ Refunded before – no free video",IF(OR(X478="Contract signed + paid",X478="Closed – No response",X478="Lost"),"",IF(X478="","Set a stage",IF(AND(X478="Proposal sent",COUNTA(N478:S478)&lt;6),"Score this lead – proposal sent unscored",IF(N(Z478)&gt;=Settings!$S$3,"Close – 4 follow-ups sent",IF(AA478="",IF(Y478="","Make first contact",""),IF(TODAY()&gt;AA478,"OVERDUE follow-up",IF(TODAY()=AA478,"Follow up today","")))))))))</f>
        <v/>
      </c>
    </row>
    <row r="479" customFormat="false" ht="15" hidden="false" customHeight="false" outlineLevel="0" collapsed="false">
      <c r="A479" s="17"/>
      <c r="B479" s="40"/>
      <c r="C479" s="17"/>
      <c r="D479" s="17"/>
      <c r="E479" s="17"/>
      <c r="F479" s="17"/>
      <c r="G479" s="17"/>
      <c r="H479" s="42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44" t="str">
        <f aca="false">IF(OR(D479="",COUNTA(N479:S479)=0),"",SUMIFS(Settings!$AA$2:$AA$21,Settings!$Y$2:$Y$21,"Budget AED 5k+/mo?",Settings!$Z$2:$Z$21,N479)+SUMIFS(Settings!$AA$2:$AA$21,Settings!$Y$2:$Y$21,"Decision-maker?",Settings!$Z$2:$Z$21,O479)+SUMIFS(Settings!$AA$2:$AA$21,Settings!$Y$2:$Y$21,"Someone on camera?",Settings!$Z$2:$Z$21,P479)+SUMIFS(Settings!$AA$2:$AA$21,Settings!$Y$2:$Y$21,"OK with 3-month term?",Settings!$Z$2:$Z$21,Q479)+SUMIFS(Settings!$AA$2:$AA$21,Settings!$Y$2:$Y$21,"Start timeline",Settings!$Z$2:$Z$21,R479)+SUMIFS(Settings!$AA$2:$AA$21,Settings!$Y$2:$Y$21,"Social media gap",Settings!$Z$2:$Z$21,S479)+IF(E479="",0,IF(COUNTIF(Settings!$AC$2:$AC$6,E479)&gt;0,Settings!$AA$20,Settings!$AA$21)))</f>
        <v/>
      </c>
      <c r="U479" s="44" t="str">
        <f aca="false">IF(D479="","",IF(COUNTA(N479:S479)=0,"Not scored",IF(COUNTA(N479:S479)&lt;6,"Partly scored ("&amp;COUNTA(N479:S479)&amp;"/6)",IF(T479&gt;=Settings!$S$8,"Hot",IF(T479&gt;=Settings!$S$9,"Warm","Cold")))))</f>
        <v/>
      </c>
      <c r="V479" s="44" t="str">
        <f aca="false">IF(D479="","",IF(AND(N479="No",P479="No"),"🚩 Budget  ·  🚩 No one on camera",IF(N479="No","🚩 Budget under AED 5k",IF(P479="No","🚩 No one on camera",""))))</f>
        <v/>
      </c>
      <c r="W479" s="17"/>
      <c r="X479" s="17"/>
      <c r="Y479" s="40"/>
      <c r="Z479" s="17"/>
      <c r="AA479" s="45" t="str">
        <f aca="false">IF(OR(D479="",Y479="",OR(X479="Contract signed + paid",X479="Closed – No response",X479="Lost"),N(Z479)&gt;=Settings!$S$3),"",Y479+Settings!$S$2)</f>
        <v/>
      </c>
      <c r="AB479" s="40"/>
      <c r="AC479" s="41"/>
      <c r="AD479" s="17"/>
      <c r="AE479" s="17"/>
      <c r="AF479" s="17"/>
      <c r="AG479" s="46" t="str">
        <f aca="true">IF(OR(D479="",B479=""),"",INT(TODAY()-B479))</f>
        <v/>
      </c>
      <c r="AH479" s="44" t="str">
        <f aca="true">IF(D479="","",IF(OR(COUNTIFS(Clients!$C$2:$C$501,D479,Clients!$S$2:$S$501,"Paid")&gt;0,AND(H479&lt;&gt;"",COUNTIFS(Clients!$E$2:$E$501,H479,Clients!$S$2:$S$501,"Paid")&gt;0)),"⚠ Refunded before – no free video",IF(OR(X479="Contract signed + paid",X479="Closed – No response",X479="Lost"),"",IF(X479="","Set a stage",IF(AND(X479="Proposal sent",COUNTA(N479:S479)&lt;6),"Score this lead – proposal sent unscored",IF(N(Z479)&gt;=Settings!$S$3,"Close – 4 follow-ups sent",IF(AA479="",IF(Y479="","Make first contact",""),IF(TODAY()&gt;AA479,"OVERDUE follow-up",IF(TODAY()=AA479,"Follow up today","")))))))))</f>
        <v/>
      </c>
    </row>
    <row r="480" customFormat="false" ht="15" hidden="false" customHeight="false" outlineLevel="0" collapsed="false">
      <c r="A480" s="17"/>
      <c r="B480" s="40"/>
      <c r="C480" s="17"/>
      <c r="D480" s="17"/>
      <c r="E480" s="17"/>
      <c r="F480" s="17"/>
      <c r="G480" s="17"/>
      <c r="H480" s="42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44" t="str">
        <f aca="false">IF(OR(D480="",COUNTA(N480:S480)=0),"",SUMIFS(Settings!$AA$2:$AA$21,Settings!$Y$2:$Y$21,"Budget AED 5k+/mo?",Settings!$Z$2:$Z$21,N480)+SUMIFS(Settings!$AA$2:$AA$21,Settings!$Y$2:$Y$21,"Decision-maker?",Settings!$Z$2:$Z$21,O480)+SUMIFS(Settings!$AA$2:$AA$21,Settings!$Y$2:$Y$21,"Someone on camera?",Settings!$Z$2:$Z$21,P480)+SUMIFS(Settings!$AA$2:$AA$21,Settings!$Y$2:$Y$21,"OK with 3-month term?",Settings!$Z$2:$Z$21,Q480)+SUMIFS(Settings!$AA$2:$AA$21,Settings!$Y$2:$Y$21,"Start timeline",Settings!$Z$2:$Z$21,R480)+SUMIFS(Settings!$AA$2:$AA$21,Settings!$Y$2:$Y$21,"Social media gap",Settings!$Z$2:$Z$21,S480)+IF(E480="",0,IF(COUNTIF(Settings!$AC$2:$AC$6,E480)&gt;0,Settings!$AA$20,Settings!$AA$21)))</f>
        <v/>
      </c>
      <c r="U480" s="44" t="str">
        <f aca="false">IF(D480="","",IF(COUNTA(N480:S480)=0,"Not scored",IF(COUNTA(N480:S480)&lt;6,"Partly scored ("&amp;COUNTA(N480:S480)&amp;"/6)",IF(T480&gt;=Settings!$S$8,"Hot",IF(T480&gt;=Settings!$S$9,"Warm","Cold")))))</f>
        <v/>
      </c>
      <c r="V480" s="44" t="str">
        <f aca="false">IF(D480="","",IF(AND(N480="No",P480="No"),"🚩 Budget  ·  🚩 No one on camera",IF(N480="No","🚩 Budget under AED 5k",IF(P480="No","🚩 No one on camera",""))))</f>
        <v/>
      </c>
      <c r="W480" s="17"/>
      <c r="X480" s="17"/>
      <c r="Y480" s="40"/>
      <c r="Z480" s="17"/>
      <c r="AA480" s="45" t="str">
        <f aca="false">IF(OR(D480="",Y480="",OR(X480="Contract signed + paid",X480="Closed – No response",X480="Lost"),N(Z480)&gt;=Settings!$S$3),"",Y480+Settings!$S$2)</f>
        <v/>
      </c>
      <c r="AB480" s="40"/>
      <c r="AC480" s="41"/>
      <c r="AD480" s="17"/>
      <c r="AE480" s="17"/>
      <c r="AF480" s="17"/>
      <c r="AG480" s="46" t="str">
        <f aca="true">IF(OR(D480="",B480=""),"",INT(TODAY()-B480))</f>
        <v/>
      </c>
      <c r="AH480" s="44" t="str">
        <f aca="true">IF(D480="","",IF(OR(COUNTIFS(Clients!$C$2:$C$501,D480,Clients!$S$2:$S$501,"Paid")&gt;0,AND(H480&lt;&gt;"",COUNTIFS(Clients!$E$2:$E$501,H480,Clients!$S$2:$S$501,"Paid")&gt;0)),"⚠ Refunded before – no free video",IF(OR(X480="Contract signed + paid",X480="Closed – No response",X480="Lost"),"",IF(X480="","Set a stage",IF(AND(X480="Proposal sent",COUNTA(N480:S480)&lt;6),"Score this lead – proposal sent unscored",IF(N(Z480)&gt;=Settings!$S$3,"Close – 4 follow-ups sent",IF(AA480="",IF(Y480="","Make first contact",""),IF(TODAY()&gt;AA480,"OVERDUE follow-up",IF(TODAY()=AA480,"Follow up today","")))))))))</f>
        <v/>
      </c>
    </row>
    <row r="481" customFormat="false" ht="15" hidden="false" customHeight="false" outlineLevel="0" collapsed="false">
      <c r="A481" s="17"/>
      <c r="B481" s="40"/>
      <c r="C481" s="17"/>
      <c r="D481" s="17"/>
      <c r="E481" s="17"/>
      <c r="F481" s="17"/>
      <c r="G481" s="17"/>
      <c r="H481" s="42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44" t="str">
        <f aca="false">IF(OR(D481="",COUNTA(N481:S481)=0),"",SUMIFS(Settings!$AA$2:$AA$21,Settings!$Y$2:$Y$21,"Budget AED 5k+/mo?",Settings!$Z$2:$Z$21,N481)+SUMIFS(Settings!$AA$2:$AA$21,Settings!$Y$2:$Y$21,"Decision-maker?",Settings!$Z$2:$Z$21,O481)+SUMIFS(Settings!$AA$2:$AA$21,Settings!$Y$2:$Y$21,"Someone on camera?",Settings!$Z$2:$Z$21,P481)+SUMIFS(Settings!$AA$2:$AA$21,Settings!$Y$2:$Y$21,"OK with 3-month term?",Settings!$Z$2:$Z$21,Q481)+SUMIFS(Settings!$AA$2:$AA$21,Settings!$Y$2:$Y$21,"Start timeline",Settings!$Z$2:$Z$21,R481)+SUMIFS(Settings!$AA$2:$AA$21,Settings!$Y$2:$Y$21,"Social media gap",Settings!$Z$2:$Z$21,S481)+IF(E481="",0,IF(COUNTIF(Settings!$AC$2:$AC$6,E481)&gt;0,Settings!$AA$20,Settings!$AA$21)))</f>
        <v/>
      </c>
      <c r="U481" s="44" t="str">
        <f aca="false">IF(D481="","",IF(COUNTA(N481:S481)=0,"Not scored",IF(COUNTA(N481:S481)&lt;6,"Partly scored ("&amp;COUNTA(N481:S481)&amp;"/6)",IF(T481&gt;=Settings!$S$8,"Hot",IF(T481&gt;=Settings!$S$9,"Warm","Cold")))))</f>
        <v/>
      </c>
      <c r="V481" s="44" t="str">
        <f aca="false">IF(D481="","",IF(AND(N481="No",P481="No"),"🚩 Budget  ·  🚩 No one on camera",IF(N481="No","🚩 Budget under AED 5k",IF(P481="No","🚩 No one on camera",""))))</f>
        <v/>
      </c>
      <c r="W481" s="17"/>
      <c r="X481" s="17"/>
      <c r="Y481" s="40"/>
      <c r="Z481" s="17"/>
      <c r="AA481" s="45" t="str">
        <f aca="false">IF(OR(D481="",Y481="",OR(X481="Contract signed + paid",X481="Closed – No response",X481="Lost"),N(Z481)&gt;=Settings!$S$3),"",Y481+Settings!$S$2)</f>
        <v/>
      </c>
      <c r="AB481" s="40"/>
      <c r="AC481" s="41"/>
      <c r="AD481" s="17"/>
      <c r="AE481" s="17"/>
      <c r="AF481" s="17"/>
      <c r="AG481" s="46" t="str">
        <f aca="true">IF(OR(D481="",B481=""),"",INT(TODAY()-B481))</f>
        <v/>
      </c>
      <c r="AH481" s="44" t="str">
        <f aca="true">IF(D481="","",IF(OR(COUNTIFS(Clients!$C$2:$C$501,D481,Clients!$S$2:$S$501,"Paid")&gt;0,AND(H481&lt;&gt;"",COUNTIFS(Clients!$E$2:$E$501,H481,Clients!$S$2:$S$501,"Paid")&gt;0)),"⚠ Refunded before – no free video",IF(OR(X481="Contract signed + paid",X481="Closed – No response",X481="Lost"),"",IF(X481="","Set a stage",IF(AND(X481="Proposal sent",COUNTA(N481:S481)&lt;6),"Score this lead – proposal sent unscored",IF(N(Z481)&gt;=Settings!$S$3,"Close – 4 follow-ups sent",IF(AA481="",IF(Y481="","Make first contact",""),IF(TODAY()&gt;AA481,"OVERDUE follow-up",IF(TODAY()=AA481,"Follow up today","")))))))))</f>
        <v/>
      </c>
    </row>
    <row r="482" customFormat="false" ht="15" hidden="false" customHeight="false" outlineLevel="0" collapsed="false">
      <c r="A482" s="17"/>
      <c r="B482" s="40"/>
      <c r="C482" s="17"/>
      <c r="D482" s="17"/>
      <c r="E482" s="17"/>
      <c r="F482" s="17"/>
      <c r="G482" s="17"/>
      <c r="H482" s="42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44" t="str">
        <f aca="false">IF(OR(D482="",COUNTA(N482:S482)=0),"",SUMIFS(Settings!$AA$2:$AA$21,Settings!$Y$2:$Y$21,"Budget AED 5k+/mo?",Settings!$Z$2:$Z$21,N482)+SUMIFS(Settings!$AA$2:$AA$21,Settings!$Y$2:$Y$21,"Decision-maker?",Settings!$Z$2:$Z$21,O482)+SUMIFS(Settings!$AA$2:$AA$21,Settings!$Y$2:$Y$21,"Someone on camera?",Settings!$Z$2:$Z$21,P482)+SUMIFS(Settings!$AA$2:$AA$21,Settings!$Y$2:$Y$21,"OK with 3-month term?",Settings!$Z$2:$Z$21,Q482)+SUMIFS(Settings!$AA$2:$AA$21,Settings!$Y$2:$Y$21,"Start timeline",Settings!$Z$2:$Z$21,R482)+SUMIFS(Settings!$AA$2:$AA$21,Settings!$Y$2:$Y$21,"Social media gap",Settings!$Z$2:$Z$21,S482)+IF(E482="",0,IF(COUNTIF(Settings!$AC$2:$AC$6,E482)&gt;0,Settings!$AA$20,Settings!$AA$21)))</f>
        <v/>
      </c>
      <c r="U482" s="44" t="str">
        <f aca="false">IF(D482="","",IF(COUNTA(N482:S482)=0,"Not scored",IF(COUNTA(N482:S482)&lt;6,"Partly scored ("&amp;COUNTA(N482:S482)&amp;"/6)",IF(T482&gt;=Settings!$S$8,"Hot",IF(T482&gt;=Settings!$S$9,"Warm","Cold")))))</f>
        <v/>
      </c>
      <c r="V482" s="44" t="str">
        <f aca="false">IF(D482="","",IF(AND(N482="No",P482="No"),"🚩 Budget  ·  🚩 No one on camera",IF(N482="No","🚩 Budget under AED 5k",IF(P482="No","🚩 No one on camera",""))))</f>
        <v/>
      </c>
      <c r="W482" s="17"/>
      <c r="X482" s="17"/>
      <c r="Y482" s="40"/>
      <c r="Z482" s="17"/>
      <c r="AA482" s="45" t="str">
        <f aca="false">IF(OR(D482="",Y482="",OR(X482="Contract signed + paid",X482="Closed – No response",X482="Lost"),N(Z482)&gt;=Settings!$S$3),"",Y482+Settings!$S$2)</f>
        <v/>
      </c>
      <c r="AB482" s="40"/>
      <c r="AC482" s="41"/>
      <c r="AD482" s="17"/>
      <c r="AE482" s="17"/>
      <c r="AF482" s="17"/>
      <c r="AG482" s="46" t="str">
        <f aca="true">IF(OR(D482="",B482=""),"",INT(TODAY()-B482))</f>
        <v/>
      </c>
      <c r="AH482" s="44" t="str">
        <f aca="true">IF(D482="","",IF(OR(COUNTIFS(Clients!$C$2:$C$501,D482,Clients!$S$2:$S$501,"Paid")&gt;0,AND(H482&lt;&gt;"",COUNTIFS(Clients!$E$2:$E$501,H482,Clients!$S$2:$S$501,"Paid")&gt;0)),"⚠ Refunded before – no free video",IF(OR(X482="Contract signed + paid",X482="Closed – No response",X482="Lost"),"",IF(X482="","Set a stage",IF(AND(X482="Proposal sent",COUNTA(N482:S482)&lt;6),"Score this lead – proposal sent unscored",IF(N(Z482)&gt;=Settings!$S$3,"Close – 4 follow-ups sent",IF(AA482="",IF(Y482="","Make first contact",""),IF(TODAY()&gt;AA482,"OVERDUE follow-up",IF(TODAY()=AA482,"Follow up today","")))))))))</f>
        <v/>
      </c>
    </row>
    <row r="483" customFormat="false" ht="15" hidden="false" customHeight="false" outlineLevel="0" collapsed="false">
      <c r="A483" s="17"/>
      <c r="B483" s="40"/>
      <c r="C483" s="17"/>
      <c r="D483" s="17"/>
      <c r="E483" s="17"/>
      <c r="F483" s="17"/>
      <c r="G483" s="17"/>
      <c r="H483" s="42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44" t="str">
        <f aca="false">IF(OR(D483="",COUNTA(N483:S483)=0),"",SUMIFS(Settings!$AA$2:$AA$21,Settings!$Y$2:$Y$21,"Budget AED 5k+/mo?",Settings!$Z$2:$Z$21,N483)+SUMIFS(Settings!$AA$2:$AA$21,Settings!$Y$2:$Y$21,"Decision-maker?",Settings!$Z$2:$Z$21,O483)+SUMIFS(Settings!$AA$2:$AA$21,Settings!$Y$2:$Y$21,"Someone on camera?",Settings!$Z$2:$Z$21,P483)+SUMIFS(Settings!$AA$2:$AA$21,Settings!$Y$2:$Y$21,"OK with 3-month term?",Settings!$Z$2:$Z$21,Q483)+SUMIFS(Settings!$AA$2:$AA$21,Settings!$Y$2:$Y$21,"Start timeline",Settings!$Z$2:$Z$21,R483)+SUMIFS(Settings!$AA$2:$AA$21,Settings!$Y$2:$Y$21,"Social media gap",Settings!$Z$2:$Z$21,S483)+IF(E483="",0,IF(COUNTIF(Settings!$AC$2:$AC$6,E483)&gt;0,Settings!$AA$20,Settings!$AA$21)))</f>
        <v/>
      </c>
      <c r="U483" s="44" t="str">
        <f aca="false">IF(D483="","",IF(COUNTA(N483:S483)=0,"Not scored",IF(COUNTA(N483:S483)&lt;6,"Partly scored ("&amp;COUNTA(N483:S483)&amp;"/6)",IF(T483&gt;=Settings!$S$8,"Hot",IF(T483&gt;=Settings!$S$9,"Warm","Cold")))))</f>
        <v/>
      </c>
      <c r="V483" s="44" t="str">
        <f aca="false">IF(D483="","",IF(AND(N483="No",P483="No"),"🚩 Budget  ·  🚩 No one on camera",IF(N483="No","🚩 Budget under AED 5k",IF(P483="No","🚩 No one on camera",""))))</f>
        <v/>
      </c>
      <c r="W483" s="17"/>
      <c r="X483" s="17"/>
      <c r="Y483" s="40"/>
      <c r="Z483" s="17"/>
      <c r="AA483" s="45" t="str">
        <f aca="false">IF(OR(D483="",Y483="",OR(X483="Contract signed + paid",X483="Closed – No response",X483="Lost"),N(Z483)&gt;=Settings!$S$3),"",Y483+Settings!$S$2)</f>
        <v/>
      </c>
      <c r="AB483" s="40"/>
      <c r="AC483" s="41"/>
      <c r="AD483" s="17"/>
      <c r="AE483" s="17"/>
      <c r="AF483" s="17"/>
      <c r="AG483" s="46" t="str">
        <f aca="true">IF(OR(D483="",B483=""),"",INT(TODAY()-B483))</f>
        <v/>
      </c>
      <c r="AH483" s="44" t="str">
        <f aca="true">IF(D483="","",IF(OR(COUNTIFS(Clients!$C$2:$C$501,D483,Clients!$S$2:$S$501,"Paid")&gt;0,AND(H483&lt;&gt;"",COUNTIFS(Clients!$E$2:$E$501,H483,Clients!$S$2:$S$501,"Paid")&gt;0)),"⚠ Refunded before – no free video",IF(OR(X483="Contract signed + paid",X483="Closed – No response",X483="Lost"),"",IF(X483="","Set a stage",IF(AND(X483="Proposal sent",COUNTA(N483:S483)&lt;6),"Score this lead – proposal sent unscored",IF(N(Z483)&gt;=Settings!$S$3,"Close – 4 follow-ups sent",IF(AA483="",IF(Y483="","Make first contact",""),IF(TODAY()&gt;AA483,"OVERDUE follow-up",IF(TODAY()=AA483,"Follow up today","")))))))))</f>
        <v/>
      </c>
    </row>
    <row r="484" customFormat="false" ht="15" hidden="false" customHeight="false" outlineLevel="0" collapsed="false">
      <c r="A484" s="17"/>
      <c r="B484" s="40"/>
      <c r="C484" s="17"/>
      <c r="D484" s="17"/>
      <c r="E484" s="17"/>
      <c r="F484" s="17"/>
      <c r="G484" s="17"/>
      <c r="H484" s="42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44" t="str">
        <f aca="false">IF(OR(D484="",COUNTA(N484:S484)=0),"",SUMIFS(Settings!$AA$2:$AA$21,Settings!$Y$2:$Y$21,"Budget AED 5k+/mo?",Settings!$Z$2:$Z$21,N484)+SUMIFS(Settings!$AA$2:$AA$21,Settings!$Y$2:$Y$21,"Decision-maker?",Settings!$Z$2:$Z$21,O484)+SUMIFS(Settings!$AA$2:$AA$21,Settings!$Y$2:$Y$21,"Someone on camera?",Settings!$Z$2:$Z$21,P484)+SUMIFS(Settings!$AA$2:$AA$21,Settings!$Y$2:$Y$21,"OK with 3-month term?",Settings!$Z$2:$Z$21,Q484)+SUMIFS(Settings!$AA$2:$AA$21,Settings!$Y$2:$Y$21,"Start timeline",Settings!$Z$2:$Z$21,R484)+SUMIFS(Settings!$AA$2:$AA$21,Settings!$Y$2:$Y$21,"Social media gap",Settings!$Z$2:$Z$21,S484)+IF(E484="",0,IF(COUNTIF(Settings!$AC$2:$AC$6,E484)&gt;0,Settings!$AA$20,Settings!$AA$21)))</f>
        <v/>
      </c>
      <c r="U484" s="44" t="str">
        <f aca="false">IF(D484="","",IF(COUNTA(N484:S484)=0,"Not scored",IF(COUNTA(N484:S484)&lt;6,"Partly scored ("&amp;COUNTA(N484:S484)&amp;"/6)",IF(T484&gt;=Settings!$S$8,"Hot",IF(T484&gt;=Settings!$S$9,"Warm","Cold")))))</f>
        <v/>
      </c>
      <c r="V484" s="44" t="str">
        <f aca="false">IF(D484="","",IF(AND(N484="No",P484="No"),"🚩 Budget  ·  🚩 No one on camera",IF(N484="No","🚩 Budget under AED 5k",IF(P484="No","🚩 No one on camera",""))))</f>
        <v/>
      </c>
      <c r="W484" s="17"/>
      <c r="X484" s="17"/>
      <c r="Y484" s="40"/>
      <c r="Z484" s="17"/>
      <c r="AA484" s="45" t="str">
        <f aca="false">IF(OR(D484="",Y484="",OR(X484="Contract signed + paid",X484="Closed – No response",X484="Lost"),N(Z484)&gt;=Settings!$S$3),"",Y484+Settings!$S$2)</f>
        <v/>
      </c>
      <c r="AB484" s="40"/>
      <c r="AC484" s="41"/>
      <c r="AD484" s="17"/>
      <c r="AE484" s="17"/>
      <c r="AF484" s="17"/>
      <c r="AG484" s="46" t="str">
        <f aca="true">IF(OR(D484="",B484=""),"",INT(TODAY()-B484))</f>
        <v/>
      </c>
      <c r="AH484" s="44" t="str">
        <f aca="true">IF(D484="","",IF(OR(COUNTIFS(Clients!$C$2:$C$501,D484,Clients!$S$2:$S$501,"Paid")&gt;0,AND(H484&lt;&gt;"",COUNTIFS(Clients!$E$2:$E$501,H484,Clients!$S$2:$S$501,"Paid")&gt;0)),"⚠ Refunded before – no free video",IF(OR(X484="Contract signed + paid",X484="Closed – No response",X484="Lost"),"",IF(X484="","Set a stage",IF(AND(X484="Proposal sent",COUNTA(N484:S484)&lt;6),"Score this lead – proposal sent unscored",IF(N(Z484)&gt;=Settings!$S$3,"Close – 4 follow-ups sent",IF(AA484="",IF(Y484="","Make first contact",""),IF(TODAY()&gt;AA484,"OVERDUE follow-up",IF(TODAY()=AA484,"Follow up today","")))))))))</f>
        <v/>
      </c>
    </row>
    <row r="485" customFormat="false" ht="15" hidden="false" customHeight="false" outlineLevel="0" collapsed="false">
      <c r="A485" s="17"/>
      <c r="B485" s="40"/>
      <c r="C485" s="17"/>
      <c r="D485" s="17"/>
      <c r="E485" s="17"/>
      <c r="F485" s="17"/>
      <c r="G485" s="17"/>
      <c r="H485" s="42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44" t="str">
        <f aca="false">IF(OR(D485="",COUNTA(N485:S485)=0),"",SUMIFS(Settings!$AA$2:$AA$21,Settings!$Y$2:$Y$21,"Budget AED 5k+/mo?",Settings!$Z$2:$Z$21,N485)+SUMIFS(Settings!$AA$2:$AA$21,Settings!$Y$2:$Y$21,"Decision-maker?",Settings!$Z$2:$Z$21,O485)+SUMIFS(Settings!$AA$2:$AA$21,Settings!$Y$2:$Y$21,"Someone on camera?",Settings!$Z$2:$Z$21,P485)+SUMIFS(Settings!$AA$2:$AA$21,Settings!$Y$2:$Y$21,"OK with 3-month term?",Settings!$Z$2:$Z$21,Q485)+SUMIFS(Settings!$AA$2:$AA$21,Settings!$Y$2:$Y$21,"Start timeline",Settings!$Z$2:$Z$21,R485)+SUMIFS(Settings!$AA$2:$AA$21,Settings!$Y$2:$Y$21,"Social media gap",Settings!$Z$2:$Z$21,S485)+IF(E485="",0,IF(COUNTIF(Settings!$AC$2:$AC$6,E485)&gt;0,Settings!$AA$20,Settings!$AA$21)))</f>
        <v/>
      </c>
      <c r="U485" s="44" t="str">
        <f aca="false">IF(D485="","",IF(COUNTA(N485:S485)=0,"Not scored",IF(COUNTA(N485:S485)&lt;6,"Partly scored ("&amp;COUNTA(N485:S485)&amp;"/6)",IF(T485&gt;=Settings!$S$8,"Hot",IF(T485&gt;=Settings!$S$9,"Warm","Cold")))))</f>
        <v/>
      </c>
      <c r="V485" s="44" t="str">
        <f aca="false">IF(D485="","",IF(AND(N485="No",P485="No"),"🚩 Budget  ·  🚩 No one on camera",IF(N485="No","🚩 Budget under AED 5k",IF(P485="No","🚩 No one on camera",""))))</f>
        <v/>
      </c>
      <c r="W485" s="17"/>
      <c r="X485" s="17"/>
      <c r="Y485" s="40"/>
      <c r="Z485" s="17"/>
      <c r="AA485" s="45" t="str">
        <f aca="false">IF(OR(D485="",Y485="",OR(X485="Contract signed + paid",X485="Closed – No response",X485="Lost"),N(Z485)&gt;=Settings!$S$3),"",Y485+Settings!$S$2)</f>
        <v/>
      </c>
      <c r="AB485" s="40"/>
      <c r="AC485" s="41"/>
      <c r="AD485" s="17"/>
      <c r="AE485" s="17"/>
      <c r="AF485" s="17"/>
      <c r="AG485" s="46" t="str">
        <f aca="true">IF(OR(D485="",B485=""),"",INT(TODAY()-B485))</f>
        <v/>
      </c>
      <c r="AH485" s="44" t="str">
        <f aca="true">IF(D485="","",IF(OR(COUNTIFS(Clients!$C$2:$C$501,D485,Clients!$S$2:$S$501,"Paid")&gt;0,AND(H485&lt;&gt;"",COUNTIFS(Clients!$E$2:$E$501,H485,Clients!$S$2:$S$501,"Paid")&gt;0)),"⚠ Refunded before – no free video",IF(OR(X485="Contract signed + paid",X485="Closed – No response",X485="Lost"),"",IF(X485="","Set a stage",IF(AND(X485="Proposal sent",COUNTA(N485:S485)&lt;6),"Score this lead – proposal sent unscored",IF(N(Z485)&gt;=Settings!$S$3,"Close – 4 follow-ups sent",IF(AA485="",IF(Y485="","Make first contact",""),IF(TODAY()&gt;AA485,"OVERDUE follow-up",IF(TODAY()=AA485,"Follow up today","")))))))))</f>
        <v/>
      </c>
    </row>
    <row r="486" customFormat="false" ht="15" hidden="false" customHeight="false" outlineLevel="0" collapsed="false">
      <c r="A486" s="17"/>
      <c r="B486" s="40"/>
      <c r="C486" s="17"/>
      <c r="D486" s="17"/>
      <c r="E486" s="17"/>
      <c r="F486" s="17"/>
      <c r="G486" s="17"/>
      <c r="H486" s="42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44" t="str">
        <f aca="false">IF(OR(D486="",COUNTA(N486:S486)=0),"",SUMIFS(Settings!$AA$2:$AA$21,Settings!$Y$2:$Y$21,"Budget AED 5k+/mo?",Settings!$Z$2:$Z$21,N486)+SUMIFS(Settings!$AA$2:$AA$21,Settings!$Y$2:$Y$21,"Decision-maker?",Settings!$Z$2:$Z$21,O486)+SUMIFS(Settings!$AA$2:$AA$21,Settings!$Y$2:$Y$21,"Someone on camera?",Settings!$Z$2:$Z$21,P486)+SUMIFS(Settings!$AA$2:$AA$21,Settings!$Y$2:$Y$21,"OK with 3-month term?",Settings!$Z$2:$Z$21,Q486)+SUMIFS(Settings!$AA$2:$AA$21,Settings!$Y$2:$Y$21,"Start timeline",Settings!$Z$2:$Z$21,R486)+SUMIFS(Settings!$AA$2:$AA$21,Settings!$Y$2:$Y$21,"Social media gap",Settings!$Z$2:$Z$21,S486)+IF(E486="",0,IF(COUNTIF(Settings!$AC$2:$AC$6,E486)&gt;0,Settings!$AA$20,Settings!$AA$21)))</f>
        <v/>
      </c>
      <c r="U486" s="44" t="str">
        <f aca="false">IF(D486="","",IF(COUNTA(N486:S486)=0,"Not scored",IF(COUNTA(N486:S486)&lt;6,"Partly scored ("&amp;COUNTA(N486:S486)&amp;"/6)",IF(T486&gt;=Settings!$S$8,"Hot",IF(T486&gt;=Settings!$S$9,"Warm","Cold")))))</f>
        <v/>
      </c>
      <c r="V486" s="44" t="str">
        <f aca="false">IF(D486="","",IF(AND(N486="No",P486="No"),"🚩 Budget  ·  🚩 No one on camera",IF(N486="No","🚩 Budget under AED 5k",IF(P486="No","🚩 No one on camera",""))))</f>
        <v/>
      </c>
      <c r="W486" s="17"/>
      <c r="X486" s="17"/>
      <c r="Y486" s="40"/>
      <c r="Z486" s="17"/>
      <c r="AA486" s="45" t="str">
        <f aca="false">IF(OR(D486="",Y486="",OR(X486="Contract signed + paid",X486="Closed – No response",X486="Lost"),N(Z486)&gt;=Settings!$S$3),"",Y486+Settings!$S$2)</f>
        <v/>
      </c>
      <c r="AB486" s="40"/>
      <c r="AC486" s="41"/>
      <c r="AD486" s="17"/>
      <c r="AE486" s="17"/>
      <c r="AF486" s="17"/>
      <c r="AG486" s="46" t="str">
        <f aca="true">IF(OR(D486="",B486=""),"",INT(TODAY()-B486))</f>
        <v/>
      </c>
      <c r="AH486" s="44" t="str">
        <f aca="true">IF(D486="","",IF(OR(COUNTIFS(Clients!$C$2:$C$501,D486,Clients!$S$2:$S$501,"Paid")&gt;0,AND(H486&lt;&gt;"",COUNTIFS(Clients!$E$2:$E$501,H486,Clients!$S$2:$S$501,"Paid")&gt;0)),"⚠ Refunded before – no free video",IF(OR(X486="Contract signed + paid",X486="Closed – No response",X486="Lost"),"",IF(X486="","Set a stage",IF(AND(X486="Proposal sent",COUNTA(N486:S486)&lt;6),"Score this lead – proposal sent unscored",IF(N(Z486)&gt;=Settings!$S$3,"Close – 4 follow-ups sent",IF(AA486="",IF(Y486="","Make first contact",""),IF(TODAY()&gt;AA486,"OVERDUE follow-up",IF(TODAY()=AA486,"Follow up today","")))))))))</f>
        <v/>
      </c>
    </row>
    <row r="487" customFormat="false" ht="15" hidden="false" customHeight="false" outlineLevel="0" collapsed="false">
      <c r="A487" s="17"/>
      <c r="B487" s="40"/>
      <c r="C487" s="17"/>
      <c r="D487" s="17"/>
      <c r="E487" s="17"/>
      <c r="F487" s="17"/>
      <c r="G487" s="17"/>
      <c r="H487" s="42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44" t="str">
        <f aca="false">IF(OR(D487="",COUNTA(N487:S487)=0),"",SUMIFS(Settings!$AA$2:$AA$21,Settings!$Y$2:$Y$21,"Budget AED 5k+/mo?",Settings!$Z$2:$Z$21,N487)+SUMIFS(Settings!$AA$2:$AA$21,Settings!$Y$2:$Y$21,"Decision-maker?",Settings!$Z$2:$Z$21,O487)+SUMIFS(Settings!$AA$2:$AA$21,Settings!$Y$2:$Y$21,"Someone on camera?",Settings!$Z$2:$Z$21,P487)+SUMIFS(Settings!$AA$2:$AA$21,Settings!$Y$2:$Y$21,"OK with 3-month term?",Settings!$Z$2:$Z$21,Q487)+SUMIFS(Settings!$AA$2:$AA$21,Settings!$Y$2:$Y$21,"Start timeline",Settings!$Z$2:$Z$21,R487)+SUMIFS(Settings!$AA$2:$AA$21,Settings!$Y$2:$Y$21,"Social media gap",Settings!$Z$2:$Z$21,S487)+IF(E487="",0,IF(COUNTIF(Settings!$AC$2:$AC$6,E487)&gt;0,Settings!$AA$20,Settings!$AA$21)))</f>
        <v/>
      </c>
      <c r="U487" s="44" t="str">
        <f aca="false">IF(D487="","",IF(COUNTA(N487:S487)=0,"Not scored",IF(COUNTA(N487:S487)&lt;6,"Partly scored ("&amp;COUNTA(N487:S487)&amp;"/6)",IF(T487&gt;=Settings!$S$8,"Hot",IF(T487&gt;=Settings!$S$9,"Warm","Cold")))))</f>
        <v/>
      </c>
      <c r="V487" s="44" t="str">
        <f aca="false">IF(D487="","",IF(AND(N487="No",P487="No"),"🚩 Budget  ·  🚩 No one on camera",IF(N487="No","🚩 Budget under AED 5k",IF(P487="No","🚩 No one on camera",""))))</f>
        <v/>
      </c>
      <c r="W487" s="17"/>
      <c r="X487" s="17"/>
      <c r="Y487" s="40"/>
      <c r="Z487" s="17"/>
      <c r="AA487" s="45" t="str">
        <f aca="false">IF(OR(D487="",Y487="",OR(X487="Contract signed + paid",X487="Closed – No response",X487="Lost"),N(Z487)&gt;=Settings!$S$3),"",Y487+Settings!$S$2)</f>
        <v/>
      </c>
      <c r="AB487" s="40"/>
      <c r="AC487" s="41"/>
      <c r="AD487" s="17"/>
      <c r="AE487" s="17"/>
      <c r="AF487" s="17"/>
      <c r="AG487" s="46" t="str">
        <f aca="true">IF(OR(D487="",B487=""),"",INT(TODAY()-B487))</f>
        <v/>
      </c>
      <c r="AH487" s="44" t="str">
        <f aca="true">IF(D487="","",IF(OR(COUNTIFS(Clients!$C$2:$C$501,D487,Clients!$S$2:$S$501,"Paid")&gt;0,AND(H487&lt;&gt;"",COUNTIFS(Clients!$E$2:$E$501,H487,Clients!$S$2:$S$501,"Paid")&gt;0)),"⚠ Refunded before – no free video",IF(OR(X487="Contract signed + paid",X487="Closed – No response",X487="Lost"),"",IF(X487="","Set a stage",IF(AND(X487="Proposal sent",COUNTA(N487:S487)&lt;6),"Score this lead – proposal sent unscored",IF(N(Z487)&gt;=Settings!$S$3,"Close – 4 follow-ups sent",IF(AA487="",IF(Y487="","Make first contact",""),IF(TODAY()&gt;AA487,"OVERDUE follow-up",IF(TODAY()=AA487,"Follow up today","")))))))))</f>
        <v/>
      </c>
    </row>
    <row r="488" customFormat="false" ht="15" hidden="false" customHeight="false" outlineLevel="0" collapsed="false">
      <c r="A488" s="17"/>
      <c r="B488" s="40"/>
      <c r="C488" s="17"/>
      <c r="D488" s="17"/>
      <c r="E488" s="17"/>
      <c r="F488" s="17"/>
      <c r="G488" s="17"/>
      <c r="H488" s="42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44" t="str">
        <f aca="false">IF(OR(D488="",COUNTA(N488:S488)=0),"",SUMIFS(Settings!$AA$2:$AA$21,Settings!$Y$2:$Y$21,"Budget AED 5k+/mo?",Settings!$Z$2:$Z$21,N488)+SUMIFS(Settings!$AA$2:$AA$21,Settings!$Y$2:$Y$21,"Decision-maker?",Settings!$Z$2:$Z$21,O488)+SUMIFS(Settings!$AA$2:$AA$21,Settings!$Y$2:$Y$21,"Someone on camera?",Settings!$Z$2:$Z$21,P488)+SUMIFS(Settings!$AA$2:$AA$21,Settings!$Y$2:$Y$21,"OK with 3-month term?",Settings!$Z$2:$Z$21,Q488)+SUMIFS(Settings!$AA$2:$AA$21,Settings!$Y$2:$Y$21,"Start timeline",Settings!$Z$2:$Z$21,R488)+SUMIFS(Settings!$AA$2:$AA$21,Settings!$Y$2:$Y$21,"Social media gap",Settings!$Z$2:$Z$21,S488)+IF(E488="",0,IF(COUNTIF(Settings!$AC$2:$AC$6,E488)&gt;0,Settings!$AA$20,Settings!$AA$21)))</f>
        <v/>
      </c>
      <c r="U488" s="44" t="str">
        <f aca="false">IF(D488="","",IF(COUNTA(N488:S488)=0,"Not scored",IF(COUNTA(N488:S488)&lt;6,"Partly scored ("&amp;COUNTA(N488:S488)&amp;"/6)",IF(T488&gt;=Settings!$S$8,"Hot",IF(T488&gt;=Settings!$S$9,"Warm","Cold")))))</f>
        <v/>
      </c>
      <c r="V488" s="44" t="str">
        <f aca="false">IF(D488="","",IF(AND(N488="No",P488="No"),"🚩 Budget  ·  🚩 No one on camera",IF(N488="No","🚩 Budget under AED 5k",IF(P488="No","🚩 No one on camera",""))))</f>
        <v/>
      </c>
      <c r="W488" s="17"/>
      <c r="X488" s="17"/>
      <c r="Y488" s="40"/>
      <c r="Z488" s="17"/>
      <c r="AA488" s="45" t="str">
        <f aca="false">IF(OR(D488="",Y488="",OR(X488="Contract signed + paid",X488="Closed – No response",X488="Lost"),N(Z488)&gt;=Settings!$S$3),"",Y488+Settings!$S$2)</f>
        <v/>
      </c>
      <c r="AB488" s="40"/>
      <c r="AC488" s="41"/>
      <c r="AD488" s="17"/>
      <c r="AE488" s="17"/>
      <c r="AF488" s="17"/>
      <c r="AG488" s="46" t="str">
        <f aca="true">IF(OR(D488="",B488=""),"",INT(TODAY()-B488))</f>
        <v/>
      </c>
      <c r="AH488" s="44" t="str">
        <f aca="true">IF(D488="","",IF(OR(COUNTIFS(Clients!$C$2:$C$501,D488,Clients!$S$2:$S$501,"Paid")&gt;0,AND(H488&lt;&gt;"",COUNTIFS(Clients!$E$2:$E$501,H488,Clients!$S$2:$S$501,"Paid")&gt;0)),"⚠ Refunded before – no free video",IF(OR(X488="Contract signed + paid",X488="Closed – No response",X488="Lost"),"",IF(X488="","Set a stage",IF(AND(X488="Proposal sent",COUNTA(N488:S488)&lt;6),"Score this lead – proposal sent unscored",IF(N(Z488)&gt;=Settings!$S$3,"Close – 4 follow-ups sent",IF(AA488="",IF(Y488="","Make first contact",""),IF(TODAY()&gt;AA488,"OVERDUE follow-up",IF(TODAY()=AA488,"Follow up today","")))))))))</f>
        <v/>
      </c>
    </row>
    <row r="489" customFormat="false" ht="15" hidden="false" customHeight="false" outlineLevel="0" collapsed="false">
      <c r="A489" s="17"/>
      <c r="B489" s="40"/>
      <c r="C489" s="17"/>
      <c r="D489" s="17"/>
      <c r="E489" s="17"/>
      <c r="F489" s="17"/>
      <c r="G489" s="17"/>
      <c r="H489" s="42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44" t="str">
        <f aca="false">IF(OR(D489="",COUNTA(N489:S489)=0),"",SUMIFS(Settings!$AA$2:$AA$21,Settings!$Y$2:$Y$21,"Budget AED 5k+/mo?",Settings!$Z$2:$Z$21,N489)+SUMIFS(Settings!$AA$2:$AA$21,Settings!$Y$2:$Y$21,"Decision-maker?",Settings!$Z$2:$Z$21,O489)+SUMIFS(Settings!$AA$2:$AA$21,Settings!$Y$2:$Y$21,"Someone on camera?",Settings!$Z$2:$Z$21,P489)+SUMIFS(Settings!$AA$2:$AA$21,Settings!$Y$2:$Y$21,"OK with 3-month term?",Settings!$Z$2:$Z$21,Q489)+SUMIFS(Settings!$AA$2:$AA$21,Settings!$Y$2:$Y$21,"Start timeline",Settings!$Z$2:$Z$21,R489)+SUMIFS(Settings!$AA$2:$AA$21,Settings!$Y$2:$Y$21,"Social media gap",Settings!$Z$2:$Z$21,S489)+IF(E489="",0,IF(COUNTIF(Settings!$AC$2:$AC$6,E489)&gt;0,Settings!$AA$20,Settings!$AA$21)))</f>
        <v/>
      </c>
      <c r="U489" s="44" t="str">
        <f aca="false">IF(D489="","",IF(COUNTA(N489:S489)=0,"Not scored",IF(COUNTA(N489:S489)&lt;6,"Partly scored ("&amp;COUNTA(N489:S489)&amp;"/6)",IF(T489&gt;=Settings!$S$8,"Hot",IF(T489&gt;=Settings!$S$9,"Warm","Cold")))))</f>
        <v/>
      </c>
      <c r="V489" s="44" t="str">
        <f aca="false">IF(D489="","",IF(AND(N489="No",P489="No"),"🚩 Budget  ·  🚩 No one on camera",IF(N489="No","🚩 Budget under AED 5k",IF(P489="No","🚩 No one on camera",""))))</f>
        <v/>
      </c>
      <c r="W489" s="17"/>
      <c r="X489" s="17"/>
      <c r="Y489" s="40"/>
      <c r="Z489" s="17"/>
      <c r="AA489" s="45" t="str">
        <f aca="false">IF(OR(D489="",Y489="",OR(X489="Contract signed + paid",X489="Closed – No response",X489="Lost"),N(Z489)&gt;=Settings!$S$3),"",Y489+Settings!$S$2)</f>
        <v/>
      </c>
      <c r="AB489" s="40"/>
      <c r="AC489" s="41"/>
      <c r="AD489" s="17"/>
      <c r="AE489" s="17"/>
      <c r="AF489" s="17"/>
      <c r="AG489" s="46" t="str">
        <f aca="true">IF(OR(D489="",B489=""),"",INT(TODAY()-B489))</f>
        <v/>
      </c>
      <c r="AH489" s="44" t="str">
        <f aca="true">IF(D489="","",IF(OR(COUNTIFS(Clients!$C$2:$C$501,D489,Clients!$S$2:$S$501,"Paid")&gt;0,AND(H489&lt;&gt;"",COUNTIFS(Clients!$E$2:$E$501,H489,Clients!$S$2:$S$501,"Paid")&gt;0)),"⚠ Refunded before – no free video",IF(OR(X489="Contract signed + paid",X489="Closed – No response",X489="Lost"),"",IF(X489="","Set a stage",IF(AND(X489="Proposal sent",COUNTA(N489:S489)&lt;6),"Score this lead – proposal sent unscored",IF(N(Z489)&gt;=Settings!$S$3,"Close – 4 follow-ups sent",IF(AA489="",IF(Y489="","Make first contact",""),IF(TODAY()&gt;AA489,"OVERDUE follow-up",IF(TODAY()=AA489,"Follow up today","")))))))))</f>
        <v/>
      </c>
    </row>
    <row r="490" customFormat="false" ht="15" hidden="false" customHeight="false" outlineLevel="0" collapsed="false">
      <c r="A490" s="17"/>
      <c r="B490" s="40"/>
      <c r="C490" s="17"/>
      <c r="D490" s="17"/>
      <c r="E490" s="17"/>
      <c r="F490" s="17"/>
      <c r="G490" s="17"/>
      <c r="H490" s="42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44" t="str">
        <f aca="false">IF(OR(D490="",COUNTA(N490:S490)=0),"",SUMIFS(Settings!$AA$2:$AA$21,Settings!$Y$2:$Y$21,"Budget AED 5k+/mo?",Settings!$Z$2:$Z$21,N490)+SUMIFS(Settings!$AA$2:$AA$21,Settings!$Y$2:$Y$21,"Decision-maker?",Settings!$Z$2:$Z$21,O490)+SUMIFS(Settings!$AA$2:$AA$21,Settings!$Y$2:$Y$21,"Someone on camera?",Settings!$Z$2:$Z$21,P490)+SUMIFS(Settings!$AA$2:$AA$21,Settings!$Y$2:$Y$21,"OK with 3-month term?",Settings!$Z$2:$Z$21,Q490)+SUMIFS(Settings!$AA$2:$AA$21,Settings!$Y$2:$Y$21,"Start timeline",Settings!$Z$2:$Z$21,R490)+SUMIFS(Settings!$AA$2:$AA$21,Settings!$Y$2:$Y$21,"Social media gap",Settings!$Z$2:$Z$21,S490)+IF(E490="",0,IF(COUNTIF(Settings!$AC$2:$AC$6,E490)&gt;0,Settings!$AA$20,Settings!$AA$21)))</f>
        <v/>
      </c>
      <c r="U490" s="44" t="str">
        <f aca="false">IF(D490="","",IF(COUNTA(N490:S490)=0,"Not scored",IF(COUNTA(N490:S490)&lt;6,"Partly scored ("&amp;COUNTA(N490:S490)&amp;"/6)",IF(T490&gt;=Settings!$S$8,"Hot",IF(T490&gt;=Settings!$S$9,"Warm","Cold")))))</f>
        <v/>
      </c>
      <c r="V490" s="44" t="str">
        <f aca="false">IF(D490="","",IF(AND(N490="No",P490="No"),"🚩 Budget  ·  🚩 No one on camera",IF(N490="No","🚩 Budget under AED 5k",IF(P490="No","🚩 No one on camera",""))))</f>
        <v/>
      </c>
      <c r="W490" s="17"/>
      <c r="X490" s="17"/>
      <c r="Y490" s="40"/>
      <c r="Z490" s="17"/>
      <c r="AA490" s="45" t="str">
        <f aca="false">IF(OR(D490="",Y490="",OR(X490="Contract signed + paid",X490="Closed – No response",X490="Lost"),N(Z490)&gt;=Settings!$S$3),"",Y490+Settings!$S$2)</f>
        <v/>
      </c>
      <c r="AB490" s="40"/>
      <c r="AC490" s="41"/>
      <c r="AD490" s="17"/>
      <c r="AE490" s="17"/>
      <c r="AF490" s="17"/>
      <c r="AG490" s="46" t="str">
        <f aca="true">IF(OR(D490="",B490=""),"",INT(TODAY()-B490))</f>
        <v/>
      </c>
      <c r="AH490" s="44" t="str">
        <f aca="true">IF(D490="","",IF(OR(COUNTIFS(Clients!$C$2:$C$501,D490,Clients!$S$2:$S$501,"Paid")&gt;0,AND(H490&lt;&gt;"",COUNTIFS(Clients!$E$2:$E$501,H490,Clients!$S$2:$S$501,"Paid")&gt;0)),"⚠ Refunded before – no free video",IF(OR(X490="Contract signed + paid",X490="Closed – No response",X490="Lost"),"",IF(X490="","Set a stage",IF(AND(X490="Proposal sent",COUNTA(N490:S490)&lt;6),"Score this lead – proposal sent unscored",IF(N(Z490)&gt;=Settings!$S$3,"Close – 4 follow-ups sent",IF(AA490="",IF(Y490="","Make first contact",""),IF(TODAY()&gt;AA490,"OVERDUE follow-up",IF(TODAY()=AA490,"Follow up today","")))))))))</f>
        <v/>
      </c>
    </row>
    <row r="491" customFormat="false" ht="15" hidden="false" customHeight="false" outlineLevel="0" collapsed="false">
      <c r="A491" s="17"/>
      <c r="B491" s="40"/>
      <c r="C491" s="17"/>
      <c r="D491" s="17"/>
      <c r="E491" s="17"/>
      <c r="F491" s="17"/>
      <c r="G491" s="17"/>
      <c r="H491" s="42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44" t="str">
        <f aca="false">IF(OR(D491="",COUNTA(N491:S491)=0),"",SUMIFS(Settings!$AA$2:$AA$21,Settings!$Y$2:$Y$21,"Budget AED 5k+/mo?",Settings!$Z$2:$Z$21,N491)+SUMIFS(Settings!$AA$2:$AA$21,Settings!$Y$2:$Y$21,"Decision-maker?",Settings!$Z$2:$Z$21,O491)+SUMIFS(Settings!$AA$2:$AA$21,Settings!$Y$2:$Y$21,"Someone on camera?",Settings!$Z$2:$Z$21,P491)+SUMIFS(Settings!$AA$2:$AA$21,Settings!$Y$2:$Y$21,"OK with 3-month term?",Settings!$Z$2:$Z$21,Q491)+SUMIFS(Settings!$AA$2:$AA$21,Settings!$Y$2:$Y$21,"Start timeline",Settings!$Z$2:$Z$21,R491)+SUMIFS(Settings!$AA$2:$AA$21,Settings!$Y$2:$Y$21,"Social media gap",Settings!$Z$2:$Z$21,S491)+IF(E491="",0,IF(COUNTIF(Settings!$AC$2:$AC$6,E491)&gt;0,Settings!$AA$20,Settings!$AA$21)))</f>
        <v/>
      </c>
      <c r="U491" s="44" t="str">
        <f aca="false">IF(D491="","",IF(COUNTA(N491:S491)=0,"Not scored",IF(COUNTA(N491:S491)&lt;6,"Partly scored ("&amp;COUNTA(N491:S491)&amp;"/6)",IF(T491&gt;=Settings!$S$8,"Hot",IF(T491&gt;=Settings!$S$9,"Warm","Cold")))))</f>
        <v/>
      </c>
      <c r="V491" s="44" t="str">
        <f aca="false">IF(D491="","",IF(AND(N491="No",P491="No"),"🚩 Budget  ·  🚩 No one on camera",IF(N491="No","🚩 Budget under AED 5k",IF(P491="No","🚩 No one on camera",""))))</f>
        <v/>
      </c>
      <c r="W491" s="17"/>
      <c r="X491" s="17"/>
      <c r="Y491" s="40"/>
      <c r="Z491" s="17"/>
      <c r="AA491" s="45" t="str">
        <f aca="false">IF(OR(D491="",Y491="",OR(X491="Contract signed + paid",X491="Closed – No response",X491="Lost"),N(Z491)&gt;=Settings!$S$3),"",Y491+Settings!$S$2)</f>
        <v/>
      </c>
      <c r="AB491" s="40"/>
      <c r="AC491" s="41"/>
      <c r="AD491" s="17"/>
      <c r="AE491" s="17"/>
      <c r="AF491" s="17"/>
      <c r="AG491" s="46" t="str">
        <f aca="true">IF(OR(D491="",B491=""),"",INT(TODAY()-B491))</f>
        <v/>
      </c>
      <c r="AH491" s="44" t="str">
        <f aca="true">IF(D491="","",IF(OR(COUNTIFS(Clients!$C$2:$C$501,D491,Clients!$S$2:$S$501,"Paid")&gt;0,AND(H491&lt;&gt;"",COUNTIFS(Clients!$E$2:$E$501,H491,Clients!$S$2:$S$501,"Paid")&gt;0)),"⚠ Refunded before – no free video",IF(OR(X491="Contract signed + paid",X491="Closed – No response",X491="Lost"),"",IF(X491="","Set a stage",IF(AND(X491="Proposal sent",COUNTA(N491:S491)&lt;6),"Score this lead – proposal sent unscored",IF(N(Z491)&gt;=Settings!$S$3,"Close – 4 follow-ups sent",IF(AA491="",IF(Y491="","Make first contact",""),IF(TODAY()&gt;AA491,"OVERDUE follow-up",IF(TODAY()=AA491,"Follow up today","")))))))))</f>
        <v/>
      </c>
    </row>
    <row r="492" customFormat="false" ht="15" hidden="false" customHeight="false" outlineLevel="0" collapsed="false">
      <c r="A492" s="17"/>
      <c r="B492" s="40"/>
      <c r="C492" s="17"/>
      <c r="D492" s="17"/>
      <c r="E492" s="17"/>
      <c r="F492" s="17"/>
      <c r="G492" s="17"/>
      <c r="H492" s="42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44" t="str">
        <f aca="false">IF(OR(D492="",COUNTA(N492:S492)=0),"",SUMIFS(Settings!$AA$2:$AA$21,Settings!$Y$2:$Y$21,"Budget AED 5k+/mo?",Settings!$Z$2:$Z$21,N492)+SUMIFS(Settings!$AA$2:$AA$21,Settings!$Y$2:$Y$21,"Decision-maker?",Settings!$Z$2:$Z$21,O492)+SUMIFS(Settings!$AA$2:$AA$21,Settings!$Y$2:$Y$21,"Someone on camera?",Settings!$Z$2:$Z$21,P492)+SUMIFS(Settings!$AA$2:$AA$21,Settings!$Y$2:$Y$21,"OK with 3-month term?",Settings!$Z$2:$Z$21,Q492)+SUMIFS(Settings!$AA$2:$AA$21,Settings!$Y$2:$Y$21,"Start timeline",Settings!$Z$2:$Z$21,R492)+SUMIFS(Settings!$AA$2:$AA$21,Settings!$Y$2:$Y$21,"Social media gap",Settings!$Z$2:$Z$21,S492)+IF(E492="",0,IF(COUNTIF(Settings!$AC$2:$AC$6,E492)&gt;0,Settings!$AA$20,Settings!$AA$21)))</f>
        <v/>
      </c>
      <c r="U492" s="44" t="str">
        <f aca="false">IF(D492="","",IF(COUNTA(N492:S492)=0,"Not scored",IF(COUNTA(N492:S492)&lt;6,"Partly scored ("&amp;COUNTA(N492:S492)&amp;"/6)",IF(T492&gt;=Settings!$S$8,"Hot",IF(T492&gt;=Settings!$S$9,"Warm","Cold")))))</f>
        <v/>
      </c>
      <c r="V492" s="44" t="str">
        <f aca="false">IF(D492="","",IF(AND(N492="No",P492="No"),"🚩 Budget  ·  🚩 No one on camera",IF(N492="No","🚩 Budget under AED 5k",IF(P492="No","🚩 No one on camera",""))))</f>
        <v/>
      </c>
      <c r="W492" s="17"/>
      <c r="X492" s="17"/>
      <c r="Y492" s="40"/>
      <c r="Z492" s="17"/>
      <c r="AA492" s="45" t="str">
        <f aca="false">IF(OR(D492="",Y492="",OR(X492="Contract signed + paid",X492="Closed – No response",X492="Lost"),N(Z492)&gt;=Settings!$S$3),"",Y492+Settings!$S$2)</f>
        <v/>
      </c>
      <c r="AB492" s="40"/>
      <c r="AC492" s="41"/>
      <c r="AD492" s="17"/>
      <c r="AE492" s="17"/>
      <c r="AF492" s="17"/>
      <c r="AG492" s="46" t="str">
        <f aca="true">IF(OR(D492="",B492=""),"",INT(TODAY()-B492))</f>
        <v/>
      </c>
      <c r="AH492" s="44" t="str">
        <f aca="true">IF(D492="","",IF(OR(COUNTIFS(Clients!$C$2:$C$501,D492,Clients!$S$2:$S$501,"Paid")&gt;0,AND(H492&lt;&gt;"",COUNTIFS(Clients!$E$2:$E$501,H492,Clients!$S$2:$S$501,"Paid")&gt;0)),"⚠ Refunded before – no free video",IF(OR(X492="Contract signed + paid",X492="Closed – No response",X492="Lost"),"",IF(X492="","Set a stage",IF(AND(X492="Proposal sent",COUNTA(N492:S492)&lt;6),"Score this lead – proposal sent unscored",IF(N(Z492)&gt;=Settings!$S$3,"Close – 4 follow-ups sent",IF(AA492="",IF(Y492="","Make first contact",""),IF(TODAY()&gt;AA492,"OVERDUE follow-up",IF(TODAY()=AA492,"Follow up today","")))))))))</f>
        <v/>
      </c>
    </row>
    <row r="493" customFormat="false" ht="15" hidden="false" customHeight="false" outlineLevel="0" collapsed="false">
      <c r="A493" s="17"/>
      <c r="B493" s="40"/>
      <c r="C493" s="17"/>
      <c r="D493" s="17"/>
      <c r="E493" s="17"/>
      <c r="F493" s="17"/>
      <c r="G493" s="17"/>
      <c r="H493" s="42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44" t="str">
        <f aca="false">IF(OR(D493="",COUNTA(N493:S493)=0),"",SUMIFS(Settings!$AA$2:$AA$21,Settings!$Y$2:$Y$21,"Budget AED 5k+/mo?",Settings!$Z$2:$Z$21,N493)+SUMIFS(Settings!$AA$2:$AA$21,Settings!$Y$2:$Y$21,"Decision-maker?",Settings!$Z$2:$Z$21,O493)+SUMIFS(Settings!$AA$2:$AA$21,Settings!$Y$2:$Y$21,"Someone on camera?",Settings!$Z$2:$Z$21,P493)+SUMIFS(Settings!$AA$2:$AA$21,Settings!$Y$2:$Y$21,"OK with 3-month term?",Settings!$Z$2:$Z$21,Q493)+SUMIFS(Settings!$AA$2:$AA$21,Settings!$Y$2:$Y$21,"Start timeline",Settings!$Z$2:$Z$21,R493)+SUMIFS(Settings!$AA$2:$AA$21,Settings!$Y$2:$Y$21,"Social media gap",Settings!$Z$2:$Z$21,S493)+IF(E493="",0,IF(COUNTIF(Settings!$AC$2:$AC$6,E493)&gt;0,Settings!$AA$20,Settings!$AA$21)))</f>
        <v/>
      </c>
      <c r="U493" s="44" t="str">
        <f aca="false">IF(D493="","",IF(COUNTA(N493:S493)=0,"Not scored",IF(COUNTA(N493:S493)&lt;6,"Partly scored ("&amp;COUNTA(N493:S493)&amp;"/6)",IF(T493&gt;=Settings!$S$8,"Hot",IF(T493&gt;=Settings!$S$9,"Warm","Cold")))))</f>
        <v/>
      </c>
      <c r="V493" s="44" t="str">
        <f aca="false">IF(D493="","",IF(AND(N493="No",P493="No"),"🚩 Budget  ·  🚩 No one on camera",IF(N493="No","🚩 Budget under AED 5k",IF(P493="No","🚩 No one on camera",""))))</f>
        <v/>
      </c>
      <c r="W493" s="17"/>
      <c r="X493" s="17"/>
      <c r="Y493" s="40"/>
      <c r="Z493" s="17"/>
      <c r="AA493" s="45" t="str">
        <f aca="false">IF(OR(D493="",Y493="",OR(X493="Contract signed + paid",X493="Closed – No response",X493="Lost"),N(Z493)&gt;=Settings!$S$3),"",Y493+Settings!$S$2)</f>
        <v/>
      </c>
      <c r="AB493" s="40"/>
      <c r="AC493" s="41"/>
      <c r="AD493" s="17"/>
      <c r="AE493" s="17"/>
      <c r="AF493" s="17"/>
      <c r="AG493" s="46" t="str">
        <f aca="true">IF(OR(D493="",B493=""),"",INT(TODAY()-B493))</f>
        <v/>
      </c>
      <c r="AH493" s="44" t="str">
        <f aca="true">IF(D493="","",IF(OR(COUNTIFS(Clients!$C$2:$C$501,D493,Clients!$S$2:$S$501,"Paid")&gt;0,AND(H493&lt;&gt;"",COUNTIFS(Clients!$E$2:$E$501,H493,Clients!$S$2:$S$501,"Paid")&gt;0)),"⚠ Refunded before – no free video",IF(OR(X493="Contract signed + paid",X493="Closed – No response",X493="Lost"),"",IF(X493="","Set a stage",IF(AND(X493="Proposal sent",COUNTA(N493:S493)&lt;6),"Score this lead – proposal sent unscored",IF(N(Z493)&gt;=Settings!$S$3,"Close – 4 follow-ups sent",IF(AA493="",IF(Y493="","Make first contact",""),IF(TODAY()&gt;AA493,"OVERDUE follow-up",IF(TODAY()=AA493,"Follow up today","")))))))))</f>
        <v/>
      </c>
    </row>
    <row r="494" customFormat="false" ht="15" hidden="false" customHeight="false" outlineLevel="0" collapsed="false">
      <c r="A494" s="17"/>
      <c r="B494" s="40"/>
      <c r="C494" s="17"/>
      <c r="D494" s="17"/>
      <c r="E494" s="17"/>
      <c r="F494" s="17"/>
      <c r="G494" s="17"/>
      <c r="H494" s="42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44" t="str">
        <f aca="false">IF(OR(D494="",COUNTA(N494:S494)=0),"",SUMIFS(Settings!$AA$2:$AA$21,Settings!$Y$2:$Y$21,"Budget AED 5k+/mo?",Settings!$Z$2:$Z$21,N494)+SUMIFS(Settings!$AA$2:$AA$21,Settings!$Y$2:$Y$21,"Decision-maker?",Settings!$Z$2:$Z$21,O494)+SUMIFS(Settings!$AA$2:$AA$21,Settings!$Y$2:$Y$21,"Someone on camera?",Settings!$Z$2:$Z$21,P494)+SUMIFS(Settings!$AA$2:$AA$21,Settings!$Y$2:$Y$21,"OK with 3-month term?",Settings!$Z$2:$Z$21,Q494)+SUMIFS(Settings!$AA$2:$AA$21,Settings!$Y$2:$Y$21,"Start timeline",Settings!$Z$2:$Z$21,R494)+SUMIFS(Settings!$AA$2:$AA$21,Settings!$Y$2:$Y$21,"Social media gap",Settings!$Z$2:$Z$21,S494)+IF(E494="",0,IF(COUNTIF(Settings!$AC$2:$AC$6,E494)&gt;0,Settings!$AA$20,Settings!$AA$21)))</f>
        <v/>
      </c>
      <c r="U494" s="44" t="str">
        <f aca="false">IF(D494="","",IF(COUNTA(N494:S494)=0,"Not scored",IF(COUNTA(N494:S494)&lt;6,"Partly scored ("&amp;COUNTA(N494:S494)&amp;"/6)",IF(T494&gt;=Settings!$S$8,"Hot",IF(T494&gt;=Settings!$S$9,"Warm","Cold")))))</f>
        <v/>
      </c>
      <c r="V494" s="44" t="str">
        <f aca="false">IF(D494="","",IF(AND(N494="No",P494="No"),"🚩 Budget  ·  🚩 No one on camera",IF(N494="No","🚩 Budget under AED 5k",IF(P494="No","🚩 No one on camera",""))))</f>
        <v/>
      </c>
      <c r="W494" s="17"/>
      <c r="X494" s="17"/>
      <c r="Y494" s="40"/>
      <c r="Z494" s="17"/>
      <c r="AA494" s="45" t="str">
        <f aca="false">IF(OR(D494="",Y494="",OR(X494="Contract signed + paid",X494="Closed – No response",X494="Lost"),N(Z494)&gt;=Settings!$S$3),"",Y494+Settings!$S$2)</f>
        <v/>
      </c>
      <c r="AB494" s="40"/>
      <c r="AC494" s="41"/>
      <c r="AD494" s="17"/>
      <c r="AE494" s="17"/>
      <c r="AF494" s="17"/>
      <c r="AG494" s="46" t="str">
        <f aca="true">IF(OR(D494="",B494=""),"",INT(TODAY()-B494))</f>
        <v/>
      </c>
      <c r="AH494" s="44" t="str">
        <f aca="true">IF(D494="","",IF(OR(COUNTIFS(Clients!$C$2:$C$501,D494,Clients!$S$2:$S$501,"Paid")&gt;0,AND(H494&lt;&gt;"",COUNTIFS(Clients!$E$2:$E$501,H494,Clients!$S$2:$S$501,"Paid")&gt;0)),"⚠ Refunded before – no free video",IF(OR(X494="Contract signed + paid",X494="Closed – No response",X494="Lost"),"",IF(X494="","Set a stage",IF(AND(X494="Proposal sent",COUNTA(N494:S494)&lt;6),"Score this lead – proposal sent unscored",IF(N(Z494)&gt;=Settings!$S$3,"Close – 4 follow-ups sent",IF(AA494="",IF(Y494="","Make first contact",""),IF(TODAY()&gt;AA494,"OVERDUE follow-up",IF(TODAY()=AA494,"Follow up today","")))))))))</f>
        <v/>
      </c>
    </row>
    <row r="495" customFormat="false" ht="15" hidden="false" customHeight="false" outlineLevel="0" collapsed="false">
      <c r="A495" s="17"/>
      <c r="B495" s="40"/>
      <c r="C495" s="17"/>
      <c r="D495" s="17"/>
      <c r="E495" s="17"/>
      <c r="F495" s="17"/>
      <c r="G495" s="17"/>
      <c r="H495" s="42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44" t="str">
        <f aca="false">IF(OR(D495="",COUNTA(N495:S495)=0),"",SUMIFS(Settings!$AA$2:$AA$21,Settings!$Y$2:$Y$21,"Budget AED 5k+/mo?",Settings!$Z$2:$Z$21,N495)+SUMIFS(Settings!$AA$2:$AA$21,Settings!$Y$2:$Y$21,"Decision-maker?",Settings!$Z$2:$Z$21,O495)+SUMIFS(Settings!$AA$2:$AA$21,Settings!$Y$2:$Y$21,"Someone on camera?",Settings!$Z$2:$Z$21,P495)+SUMIFS(Settings!$AA$2:$AA$21,Settings!$Y$2:$Y$21,"OK with 3-month term?",Settings!$Z$2:$Z$21,Q495)+SUMIFS(Settings!$AA$2:$AA$21,Settings!$Y$2:$Y$21,"Start timeline",Settings!$Z$2:$Z$21,R495)+SUMIFS(Settings!$AA$2:$AA$21,Settings!$Y$2:$Y$21,"Social media gap",Settings!$Z$2:$Z$21,S495)+IF(E495="",0,IF(COUNTIF(Settings!$AC$2:$AC$6,E495)&gt;0,Settings!$AA$20,Settings!$AA$21)))</f>
        <v/>
      </c>
      <c r="U495" s="44" t="str">
        <f aca="false">IF(D495="","",IF(COUNTA(N495:S495)=0,"Not scored",IF(COUNTA(N495:S495)&lt;6,"Partly scored ("&amp;COUNTA(N495:S495)&amp;"/6)",IF(T495&gt;=Settings!$S$8,"Hot",IF(T495&gt;=Settings!$S$9,"Warm","Cold")))))</f>
        <v/>
      </c>
      <c r="V495" s="44" t="str">
        <f aca="false">IF(D495="","",IF(AND(N495="No",P495="No"),"🚩 Budget  ·  🚩 No one on camera",IF(N495="No","🚩 Budget under AED 5k",IF(P495="No","🚩 No one on camera",""))))</f>
        <v/>
      </c>
      <c r="W495" s="17"/>
      <c r="X495" s="17"/>
      <c r="Y495" s="40"/>
      <c r="Z495" s="17"/>
      <c r="AA495" s="45" t="str">
        <f aca="false">IF(OR(D495="",Y495="",OR(X495="Contract signed + paid",X495="Closed – No response",X495="Lost"),N(Z495)&gt;=Settings!$S$3),"",Y495+Settings!$S$2)</f>
        <v/>
      </c>
      <c r="AB495" s="40"/>
      <c r="AC495" s="41"/>
      <c r="AD495" s="17"/>
      <c r="AE495" s="17"/>
      <c r="AF495" s="17"/>
      <c r="AG495" s="46" t="str">
        <f aca="true">IF(OR(D495="",B495=""),"",INT(TODAY()-B495))</f>
        <v/>
      </c>
      <c r="AH495" s="44" t="str">
        <f aca="true">IF(D495="","",IF(OR(COUNTIFS(Clients!$C$2:$C$501,D495,Clients!$S$2:$S$501,"Paid")&gt;0,AND(H495&lt;&gt;"",COUNTIFS(Clients!$E$2:$E$501,H495,Clients!$S$2:$S$501,"Paid")&gt;0)),"⚠ Refunded before – no free video",IF(OR(X495="Contract signed + paid",X495="Closed – No response",X495="Lost"),"",IF(X495="","Set a stage",IF(AND(X495="Proposal sent",COUNTA(N495:S495)&lt;6),"Score this lead – proposal sent unscored",IF(N(Z495)&gt;=Settings!$S$3,"Close – 4 follow-ups sent",IF(AA495="",IF(Y495="","Make first contact",""),IF(TODAY()&gt;AA495,"OVERDUE follow-up",IF(TODAY()=AA495,"Follow up today","")))))))))</f>
        <v/>
      </c>
    </row>
    <row r="496" customFormat="false" ht="15" hidden="false" customHeight="false" outlineLevel="0" collapsed="false">
      <c r="A496" s="17"/>
      <c r="B496" s="40"/>
      <c r="C496" s="17"/>
      <c r="D496" s="17"/>
      <c r="E496" s="17"/>
      <c r="F496" s="17"/>
      <c r="G496" s="17"/>
      <c r="H496" s="42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44" t="str">
        <f aca="false">IF(OR(D496="",COUNTA(N496:S496)=0),"",SUMIFS(Settings!$AA$2:$AA$21,Settings!$Y$2:$Y$21,"Budget AED 5k+/mo?",Settings!$Z$2:$Z$21,N496)+SUMIFS(Settings!$AA$2:$AA$21,Settings!$Y$2:$Y$21,"Decision-maker?",Settings!$Z$2:$Z$21,O496)+SUMIFS(Settings!$AA$2:$AA$21,Settings!$Y$2:$Y$21,"Someone on camera?",Settings!$Z$2:$Z$21,P496)+SUMIFS(Settings!$AA$2:$AA$21,Settings!$Y$2:$Y$21,"OK with 3-month term?",Settings!$Z$2:$Z$21,Q496)+SUMIFS(Settings!$AA$2:$AA$21,Settings!$Y$2:$Y$21,"Start timeline",Settings!$Z$2:$Z$21,R496)+SUMIFS(Settings!$AA$2:$AA$21,Settings!$Y$2:$Y$21,"Social media gap",Settings!$Z$2:$Z$21,S496)+IF(E496="",0,IF(COUNTIF(Settings!$AC$2:$AC$6,E496)&gt;0,Settings!$AA$20,Settings!$AA$21)))</f>
        <v/>
      </c>
      <c r="U496" s="44" t="str">
        <f aca="false">IF(D496="","",IF(COUNTA(N496:S496)=0,"Not scored",IF(COUNTA(N496:S496)&lt;6,"Partly scored ("&amp;COUNTA(N496:S496)&amp;"/6)",IF(T496&gt;=Settings!$S$8,"Hot",IF(T496&gt;=Settings!$S$9,"Warm","Cold")))))</f>
        <v/>
      </c>
      <c r="V496" s="44" t="str">
        <f aca="false">IF(D496="","",IF(AND(N496="No",P496="No"),"🚩 Budget  ·  🚩 No one on camera",IF(N496="No","🚩 Budget under AED 5k",IF(P496="No","🚩 No one on camera",""))))</f>
        <v/>
      </c>
      <c r="W496" s="17"/>
      <c r="X496" s="17"/>
      <c r="Y496" s="40"/>
      <c r="Z496" s="17"/>
      <c r="AA496" s="45" t="str">
        <f aca="false">IF(OR(D496="",Y496="",OR(X496="Contract signed + paid",X496="Closed – No response",X496="Lost"),N(Z496)&gt;=Settings!$S$3),"",Y496+Settings!$S$2)</f>
        <v/>
      </c>
      <c r="AB496" s="40"/>
      <c r="AC496" s="41"/>
      <c r="AD496" s="17"/>
      <c r="AE496" s="17"/>
      <c r="AF496" s="17"/>
      <c r="AG496" s="46" t="str">
        <f aca="true">IF(OR(D496="",B496=""),"",INT(TODAY()-B496))</f>
        <v/>
      </c>
      <c r="AH496" s="44" t="str">
        <f aca="true">IF(D496="","",IF(OR(COUNTIFS(Clients!$C$2:$C$501,D496,Clients!$S$2:$S$501,"Paid")&gt;0,AND(H496&lt;&gt;"",COUNTIFS(Clients!$E$2:$E$501,H496,Clients!$S$2:$S$501,"Paid")&gt;0)),"⚠ Refunded before – no free video",IF(OR(X496="Contract signed + paid",X496="Closed – No response",X496="Lost"),"",IF(X496="","Set a stage",IF(AND(X496="Proposal sent",COUNTA(N496:S496)&lt;6),"Score this lead – proposal sent unscored",IF(N(Z496)&gt;=Settings!$S$3,"Close – 4 follow-ups sent",IF(AA496="",IF(Y496="","Make first contact",""),IF(TODAY()&gt;AA496,"OVERDUE follow-up",IF(TODAY()=AA496,"Follow up today","")))))))))</f>
        <v/>
      </c>
    </row>
    <row r="497" customFormat="false" ht="15" hidden="false" customHeight="false" outlineLevel="0" collapsed="false">
      <c r="A497" s="17"/>
      <c r="B497" s="40"/>
      <c r="C497" s="17"/>
      <c r="D497" s="17"/>
      <c r="E497" s="17"/>
      <c r="F497" s="17"/>
      <c r="G497" s="17"/>
      <c r="H497" s="42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44" t="str">
        <f aca="false">IF(OR(D497="",COUNTA(N497:S497)=0),"",SUMIFS(Settings!$AA$2:$AA$21,Settings!$Y$2:$Y$21,"Budget AED 5k+/mo?",Settings!$Z$2:$Z$21,N497)+SUMIFS(Settings!$AA$2:$AA$21,Settings!$Y$2:$Y$21,"Decision-maker?",Settings!$Z$2:$Z$21,O497)+SUMIFS(Settings!$AA$2:$AA$21,Settings!$Y$2:$Y$21,"Someone on camera?",Settings!$Z$2:$Z$21,P497)+SUMIFS(Settings!$AA$2:$AA$21,Settings!$Y$2:$Y$21,"OK with 3-month term?",Settings!$Z$2:$Z$21,Q497)+SUMIFS(Settings!$AA$2:$AA$21,Settings!$Y$2:$Y$21,"Start timeline",Settings!$Z$2:$Z$21,R497)+SUMIFS(Settings!$AA$2:$AA$21,Settings!$Y$2:$Y$21,"Social media gap",Settings!$Z$2:$Z$21,S497)+IF(E497="",0,IF(COUNTIF(Settings!$AC$2:$AC$6,E497)&gt;0,Settings!$AA$20,Settings!$AA$21)))</f>
        <v/>
      </c>
      <c r="U497" s="44" t="str">
        <f aca="false">IF(D497="","",IF(COUNTA(N497:S497)=0,"Not scored",IF(COUNTA(N497:S497)&lt;6,"Partly scored ("&amp;COUNTA(N497:S497)&amp;"/6)",IF(T497&gt;=Settings!$S$8,"Hot",IF(T497&gt;=Settings!$S$9,"Warm","Cold")))))</f>
        <v/>
      </c>
      <c r="V497" s="44" t="str">
        <f aca="false">IF(D497="","",IF(AND(N497="No",P497="No"),"🚩 Budget  ·  🚩 No one on camera",IF(N497="No","🚩 Budget under AED 5k",IF(P497="No","🚩 No one on camera",""))))</f>
        <v/>
      </c>
      <c r="W497" s="17"/>
      <c r="X497" s="17"/>
      <c r="Y497" s="40"/>
      <c r="Z497" s="17"/>
      <c r="AA497" s="45" t="str">
        <f aca="false">IF(OR(D497="",Y497="",OR(X497="Contract signed + paid",X497="Closed – No response",X497="Lost"),N(Z497)&gt;=Settings!$S$3),"",Y497+Settings!$S$2)</f>
        <v/>
      </c>
      <c r="AB497" s="40"/>
      <c r="AC497" s="41"/>
      <c r="AD497" s="17"/>
      <c r="AE497" s="17"/>
      <c r="AF497" s="17"/>
      <c r="AG497" s="46" t="str">
        <f aca="true">IF(OR(D497="",B497=""),"",INT(TODAY()-B497))</f>
        <v/>
      </c>
      <c r="AH497" s="44" t="str">
        <f aca="true">IF(D497="","",IF(OR(COUNTIFS(Clients!$C$2:$C$501,D497,Clients!$S$2:$S$501,"Paid")&gt;0,AND(H497&lt;&gt;"",COUNTIFS(Clients!$E$2:$E$501,H497,Clients!$S$2:$S$501,"Paid")&gt;0)),"⚠ Refunded before – no free video",IF(OR(X497="Contract signed + paid",X497="Closed – No response",X497="Lost"),"",IF(X497="","Set a stage",IF(AND(X497="Proposal sent",COUNTA(N497:S497)&lt;6),"Score this lead – proposal sent unscored",IF(N(Z497)&gt;=Settings!$S$3,"Close – 4 follow-ups sent",IF(AA497="",IF(Y497="","Make first contact",""),IF(TODAY()&gt;AA497,"OVERDUE follow-up",IF(TODAY()=AA497,"Follow up today","")))))))))</f>
        <v/>
      </c>
    </row>
    <row r="498" customFormat="false" ht="15" hidden="false" customHeight="false" outlineLevel="0" collapsed="false">
      <c r="A498" s="17"/>
      <c r="B498" s="40"/>
      <c r="C498" s="17"/>
      <c r="D498" s="17"/>
      <c r="E498" s="17"/>
      <c r="F498" s="17"/>
      <c r="G498" s="17"/>
      <c r="H498" s="42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44" t="str">
        <f aca="false">IF(OR(D498="",COUNTA(N498:S498)=0),"",SUMIFS(Settings!$AA$2:$AA$21,Settings!$Y$2:$Y$21,"Budget AED 5k+/mo?",Settings!$Z$2:$Z$21,N498)+SUMIFS(Settings!$AA$2:$AA$21,Settings!$Y$2:$Y$21,"Decision-maker?",Settings!$Z$2:$Z$21,O498)+SUMIFS(Settings!$AA$2:$AA$21,Settings!$Y$2:$Y$21,"Someone on camera?",Settings!$Z$2:$Z$21,P498)+SUMIFS(Settings!$AA$2:$AA$21,Settings!$Y$2:$Y$21,"OK with 3-month term?",Settings!$Z$2:$Z$21,Q498)+SUMIFS(Settings!$AA$2:$AA$21,Settings!$Y$2:$Y$21,"Start timeline",Settings!$Z$2:$Z$21,R498)+SUMIFS(Settings!$AA$2:$AA$21,Settings!$Y$2:$Y$21,"Social media gap",Settings!$Z$2:$Z$21,S498)+IF(E498="",0,IF(COUNTIF(Settings!$AC$2:$AC$6,E498)&gt;0,Settings!$AA$20,Settings!$AA$21)))</f>
        <v/>
      </c>
      <c r="U498" s="44" t="str">
        <f aca="false">IF(D498="","",IF(COUNTA(N498:S498)=0,"Not scored",IF(COUNTA(N498:S498)&lt;6,"Partly scored ("&amp;COUNTA(N498:S498)&amp;"/6)",IF(T498&gt;=Settings!$S$8,"Hot",IF(T498&gt;=Settings!$S$9,"Warm","Cold")))))</f>
        <v/>
      </c>
      <c r="V498" s="44" t="str">
        <f aca="false">IF(D498="","",IF(AND(N498="No",P498="No"),"🚩 Budget  ·  🚩 No one on camera",IF(N498="No","🚩 Budget under AED 5k",IF(P498="No","🚩 No one on camera",""))))</f>
        <v/>
      </c>
      <c r="W498" s="17"/>
      <c r="X498" s="17"/>
      <c r="Y498" s="40"/>
      <c r="Z498" s="17"/>
      <c r="AA498" s="45" t="str">
        <f aca="false">IF(OR(D498="",Y498="",OR(X498="Contract signed + paid",X498="Closed – No response",X498="Lost"),N(Z498)&gt;=Settings!$S$3),"",Y498+Settings!$S$2)</f>
        <v/>
      </c>
      <c r="AB498" s="40"/>
      <c r="AC498" s="41"/>
      <c r="AD498" s="17"/>
      <c r="AE498" s="17"/>
      <c r="AF498" s="17"/>
      <c r="AG498" s="46" t="str">
        <f aca="true">IF(OR(D498="",B498=""),"",INT(TODAY()-B498))</f>
        <v/>
      </c>
      <c r="AH498" s="44" t="str">
        <f aca="true">IF(D498="","",IF(OR(COUNTIFS(Clients!$C$2:$C$501,D498,Clients!$S$2:$S$501,"Paid")&gt;0,AND(H498&lt;&gt;"",COUNTIFS(Clients!$E$2:$E$501,H498,Clients!$S$2:$S$501,"Paid")&gt;0)),"⚠ Refunded before – no free video",IF(OR(X498="Contract signed + paid",X498="Closed – No response",X498="Lost"),"",IF(X498="","Set a stage",IF(AND(X498="Proposal sent",COUNTA(N498:S498)&lt;6),"Score this lead – proposal sent unscored",IF(N(Z498)&gt;=Settings!$S$3,"Close – 4 follow-ups sent",IF(AA498="",IF(Y498="","Make first contact",""),IF(TODAY()&gt;AA498,"OVERDUE follow-up",IF(TODAY()=AA498,"Follow up today","")))))))))</f>
        <v/>
      </c>
    </row>
    <row r="499" customFormat="false" ht="15" hidden="false" customHeight="false" outlineLevel="0" collapsed="false">
      <c r="A499" s="17"/>
      <c r="B499" s="40"/>
      <c r="C499" s="17"/>
      <c r="D499" s="17"/>
      <c r="E499" s="17"/>
      <c r="F499" s="17"/>
      <c r="G499" s="17"/>
      <c r="H499" s="42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44" t="str">
        <f aca="false">IF(OR(D499="",COUNTA(N499:S499)=0),"",SUMIFS(Settings!$AA$2:$AA$21,Settings!$Y$2:$Y$21,"Budget AED 5k+/mo?",Settings!$Z$2:$Z$21,N499)+SUMIFS(Settings!$AA$2:$AA$21,Settings!$Y$2:$Y$21,"Decision-maker?",Settings!$Z$2:$Z$21,O499)+SUMIFS(Settings!$AA$2:$AA$21,Settings!$Y$2:$Y$21,"Someone on camera?",Settings!$Z$2:$Z$21,P499)+SUMIFS(Settings!$AA$2:$AA$21,Settings!$Y$2:$Y$21,"OK with 3-month term?",Settings!$Z$2:$Z$21,Q499)+SUMIFS(Settings!$AA$2:$AA$21,Settings!$Y$2:$Y$21,"Start timeline",Settings!$Z$2:$Z$21,R499)+SUMIFS(Settings!$AA$2:$AA$21,Settings!$Y$2:$Y$21,"Social media gap",Settings!$Z$2:$Z$21,S499)+IF(E499="",0,IF(COUNTIF(Settings!$AC$2:$AC$6,E499)&gt;0,Settings!$AA$20,Settings!$AA$21)))</f>
        <v/>
      </c>
      <c r="U499" s="44" t="str">
        <f aca="false">IF(D499="","",IF(COUNTA(N499:S499)=0,"Not scored",IF(COUNTA(N499:S499)&lt;6,"Partly scored ("&amp;COUNTA(N499:S499)&amp;"/6)",IF(T499&gt;=Settings!$S$8,"Hot",IF(T499&gt;=Settings!$S$9,"Warm","Cold")))))</f>
        <v/>
      </c>
      <c r="V499" s="44" t="str">
        <f aca="false">IF(D499="","",IF(AND(N499="No",P499="No"),"🚩 Budget  ·  🚩 No one on camera",IF(N499="No","🚩 Budget under AED 5k",IF(P499="No","🚩 No one on camera",""))))</f>
        <v/>
      </c>
      <c r="W499" s="17"/>
      <c r="X499" s="17"/>
      <c r="Y499" s="40"/>
      <c r="Z499" s="17"/>
      <c r="AA499" s="45" t="str">
        <f aca="false">IF(OR(D499="",Y499="",OR(X499="Contract signed + paid",X499="Closed – No response",X499="Lost"),N(Z499)&gt;=Settings!$S$3),"",Y499+Settings!$S$2)</f>
        <v/>
      </c>
      <c r="AB499" s="40"/>
      <c r="AC499" s="41"/>
      <c r="AD499" s="17"/>
      <c r="AE499" s="17"/>
      <c r="AF499" s="17"/>
      <c r="AG499" s="46" t="str">
        <f aca="true">IF(OR(D499="",B499=""),"",INT(TODAY()-B499))</f>
        <v/>
      </c>
      <c r="AH499" s="44" t="str">
        <f aca="true">IF(D499="","",IF(OR(COUNTIFS(Clients!$C$2:$C$501,D499,Clients!$S$2:$S$501,"Paid")&gt;0,AND(H499&lt;&gt;"",COUNTIFS(Clients!$E$2:$E$501,H499,Clients!$S$2:$S$501,"Paid")&gt;0)),"⚠ Refunded before – no free video",IF(OR(X499="Contract signed + paid",X499="Closed – No response",X499="Lost"),"",IF(X499="","Set a stage",IF(AND(X499="Proposal sent",COUNTA(N499:S499)&lt;6),"Score this lead – proposal sent unscored",IF(N(Z499)&gt;=Settings!$S$3,"Close – 4 follow-ups sent",IF(AA499="",IF(Y499="","Make first contact",""),IF(TODAY()&gt;AA499,"OVERDUE follow-up",IF(TODAY()=AA499,"Follow up today","")))))))))</f>
        <v/>
      </c>
    </row>
    <row r="500" customFormat="false" ht="15" hidden="false" customHeight="false" outlineLevel="0" collapsed="false">
      <c r="A500" s="17"/>
      <c r="B500" s="40"/>
      <c r="C500" s="17"/>
      <c r="D500" s="17"/>
      <c r="E500" s="17"/>
      <c r="F500" s="17"/>
      <c r="G500" s="17"/>
      <c r="H500" s="42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44" t="str">
        <f aca="false">IF(OR(D500="",COUNTA(N500:S500)=0),"",SUMIFS(Settings!$AA$2:$AA$21,Settings!$Y$2:$Y$21,"Budget AED 5k+/mo?",Settings!$Z$2:$Z$21,N500)+SUMIFS(Settings!$AA$2:$AA$21,Settings!$Y$2:$Y$21,"Decision-maker?",Settings!$Z$2:$Z$21,O500)+SUMIFS(Settings!$AA$2:$AA$21,Settings!$Y$2:$Y$21,"Someone on camera?",Settings!$Z$2:$Z$21,P500)+SUMIFS(Settings!$AA$2:$AA$21,Settings!$Y$2:$Y$21,"OK with 3-month term?",Settings!$Z$2:$Z$21,Q500)+SUMIFS(Settings!$AA$2:$AA$21,Settings!$Y$2:$Y$21,"Start timeline",Settings!$Z$2:$Z$21,R500)+SUMIFS(Settings!$AA$2:$AA$21,Settings!$Y$2:$Y$21,"Social media gap",Settings!$Z$2:$Z$21,S500)+IF(E500="",0,IF(COUNTIF(Settings!$AC$2:$AC$6,E500)&gt;0,Settings!$AA$20,Settings!$AA$21)))</f>
        <v/>
      </c>
      <c r="U500" s="44" t="str">
        <f aca="false">IF(D500="","",IF(COUNTA(N500:S500)=0,"Not scored",IF(COUNTA(N500:S500)&lt;6,"Partly scored ("&amp;COUNTA(N500:S500)&amp;"/6)",IF(T500&gt;=Settings!$S$8,"Hot",IF(T500&gt;=Settings!$S$9,"Warm","Cold")))))</f>
        <v/>
      </c>
      <c r="V500" s="44" t="str">
        <f aca="false">IF(D500="","",IF(AND(N500="No",P500="No"),"🚩 Budget  ·  🚩 No one on camera",IF(N500="No","🚩 Budget under AED 5k",IF(P500="No","🚩 No one on camera",""))))</f>
        <v/>
      </c>
      <c r="W500" s="17"/>
      <c r="X500" s="17"/>
      <c r="Y500" s="40"/>
      <c r="Z500" s="17"/>
      <c r="AA500" s="45" t="str">
        <f aca="false">IF(OR(D500="",Y500="",OR(X500="Contract signed + paid",X500="Closed – No response",X500="Lost"),N(Z500)&gt;=Settings!$S$3),"",Y500+Settings!$S$2)</f>
        <v/>
      </c>
      <c r="AB500" s="40"/>
      <c r="AC500" s="41"/>
      <c r="AD500" s="17"/>
      <c r="AE500" s="17"/>
      <c r="AF500" s="17"/>
      <c r="AG500" s="46" t="str">
        <f aca="true">IF(OR(D500="",B500=""),"",INT(TODAY()-B500))</f>
        <v/>
      </c>
      <c r="AH500" s="44" t="str">
        <f aca="true">IF(D500="","",IF(OR(COUNTIFS(Clients!$C$2:$C$501,D500,Clients!$S$2:$S$501,"Paid")&gt;0,AND(H500&lt;&gt;"",COUNTIFS(Clients!$E$2:$E$501,H500,Clients!$S$2:$S$501,"Paid")&gt;0)),"⚠ Refunded before – no free video",IF(OR(X500="Contract signed + paid",X500="Closed – No response",X500="Lost"),"",IF(X500="","Set a stage",IF(AND(X500="Proposal sent",COUNTA(N500:S500)&lt;6),"Score this lead – proposal sent unscored",IF(N(Z500)&gt;=Settings!$S$3,"Close – 4 follow-ups sent",IF(AA500="",IF(Y500="","Make first contact",""),IF(TODAY()&gt;AA500,"OVERDUE follow-up",IF(TODAY()=AA500,"Follow up today","")))))))))</f>
        <v/>
      </c>
    </row>
    <row r="501" customFormat="false" ht="15" hidden="false" customHeight="false" outlineLevel="0" collapsed="false">
      <c r="A501" s="17"/>
      <c r="B501" s="40"/>
      <c r="C501" s="17"/>
      <c r="D501" s="17"/>
      <c r="E501" s="17"/>
      <c r="F501" s="17"/>
      <c r="G501" s="17"/>
      <c r="H501" s="42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44" t="str">
        <f aca="false">IF(OR(D501="",COUNTA(N501:S501)=0),"",SUMIFS(Settings!$AA$2:$AA$21,Settings!$Y$2:$Y$21,"Budget AED 5k+/mo?",Settings!$Z$2:$Z$21,N501)+SUMIFS(Settings!$AA$2:$AA$21,Settings!$Y$2:$Y$21,"Decision-maker?",Settings!$Z$2:$Z$21,O501)+SUMIFS(Settings!$AA$2:$AA$21,Settings!$Y$2:$Y$21,"Someone on camera?",Settings!$Z$2:$Z$21,P501)+SUMIFS(Settings!$AA$2:$AA$21,Settings!$Y$2:$Y$21,"OK with 3-month term?",Settings!$Z$2:$Z$21,Q501)+SUMIFS(Settings!$AA$2:$AA$21,Settings!$Y$2:$Y$21,"Start timeline",Settings!$Z$2:$Z$21,R501)+SUMIFS(Settings!$AA$2:$AA$21,Settings!$Y$2:$Y$21,"Social media gap",Settings!$Z$2:$Z$21,S501)+IF(E501="",0,IF(COUNTIF(Settings!$AC$2:$AC$6,E501)&gt;0,Settings!$AA$20,Settings!$AA$21)))</f>
        <v/>
      </c>
      <c r="U501" s="44" t="str">
        <f aca="false">IF(D501="","",IF(COUNTA(N501:S501)=0,"Not scored",IF(COUNTA(N501:S501)&lt;6,"Partly scored ("&amp;COUNTA(N501:S501)&amp;"/6)",IF(T501&gt;=Settings!$S$8,"Hot",IF(T501&gt;=Settings!$S$9,"Warm","Cold")))))</f>
        <v/>
      </c>
      <c r="V501" s="44" t="str">
        <f aca="false">IF(D501="","",IF(AND(N501="No",P501="No"),"🚩 Budget  ·  🚩 No one on camera",IF(N501="No","🚩 Budget under AED 5k",IF(P501="No","🚩 No one on camera",""))))</f>
        <v/>
      </c>
      <c r="W501" s="17"/>
      <c r="X501" s="17"/>
      <c r="Y501" s="40"/>
      <c r="Z501" s="17"/>
      <c r="AA501" s="45" t="str">
        <f aca="false">IF(OR(D501="",Y501="",OR(X501="Contract signed + paid",X501="Closed – No response",X501="Lost"),N(Z501)&gt;=Settings!$S$3),"",Y501+Settings!$S$2)</f>
        <v/>
      </c>
      <c r="AB501" s="40"/>
      <c r="AC501" s="41"/>
      <c r="AD501" s="17"/>
      <c r="AE501" s="17"/>
      <c r="AF501" s="17"/>
      <c r="AG501" s="46" t="str">
        <f aca="true">IF(OR(D501="",B501=""),"",INT(TODAY()-B501))</f>
        <v/>
      </c>
      <c r="AH501" s="44" t="str">
        <f aca="true">IF(D501="","",IF(OR(COUNTIFS(Clients!$C$2:$C$501,D501,Clients!$S$2:$S$501,"Paid")&gt;0,AND(H501&lt;&gt;"",COUNTIFS(Clients!$E$2:$E$501,H501,Clients!$S$2:$S$501,"Paid")&gt;0)),"⚠ Refunded before – no free video",IF(OR(X501="Contract signed + paid",X501="Closed – No response",X501="Lost"),"",IF(X501="","Set a stage",IF(AND(X501="Proposal sent",COUNTA(N501:S501)&lt;6),"Score this lead – proposal sent unscored",IF(N(Z501)&gt;=Settings!$S$3,"Close – 4 follow-ups sent",IF(AA501="",IF(Y501="","Make first contact",""),IF(TODAY()&gt;AA501,"OVERDUE follow-up",IF(TODAY()=AA501,"Follow up today","")))))))))</f>
        <v/>
      </c>
    </row>
  </sheetData>
  <autoFilter ref="A1:AH501"/>
  <conditionalFormatting sqref="A2:AH501">
    <cfRule type="expression" priority="2" aboveAverage="0" equalAverage="0" bottom="0" percent="0" rank="0" text="" dxfId="7">
      <formula>$X2="Contract signed + paid"</formula>
    </cfRule>
    <cfRule type="expression" priority="3" aboveAverage="0" equalAverage="0" bottom="0" percent="0" rank="0" text="" dxfId="8">
      <formula>OR($X2="Closed – No response",$X2="Lost")</formula>
    </cfRule>
  </conditionalFormatting>
  <conditionalFormatting sqref="AH2:AH501">
    <cfRule type="expression" priority="4" aboveAverage="0" equalAverage="0" bottom="0" percent="0" rank="0" text="" dxfId="9">
      <formula>LEFT(AH2,1)="⚠"</formula>
    </cfRule>
    <cfRule type="expression" priority="5" aboveAverage="0" equalAverage="0" bottom="0" percent="0" rank="0" text="" dxfId="10">
      <formula>AH2="OVERDUE follow-up"</formula>
    </cfRule>
    <cfRule type="expression" priority="6" aboveAverage="0" equalAverage="0" bottom="0" percent="0" rank="0" text="" dxfId="11">
      <formula>AH2="Follow up today"</formula>
    </cfRule>
    <cfRule type="expression" priority="7" aboveAverage="0" equalAverage="0" bottom="0" percent="0" rank="0" text="" dxfId="12">
      <formula>AH2="Close – 4 follow-ups sent"</formula>
    </cfRule>
    <cfRule type="expression" priority="8" aboveAverage="0" equalAverage="0" bottom="0" percent="0" rank="0" text="" dxfId="13">
      <formula>OR(AH2="Make first contact",AH2="Set a stage")</formula>
    </cfRule>
    <cfRule type="expression" priority="9" aboveAverage="0" equalAverage="0" bottom="0" percent="0" rank="0" text="" dxfId="14">
      <formula>LEFT(AH2,5)="Score"</formula>
    </cfRule>
  </conditionalFormatting>
  <conditionalFormatting sqref="U2:U501">
    <cfRule type="expression" priority="10" aboveAverage="0" equalAverage="0" bottom="0" percent="0" rank="0" text="" dxfId="10">
      <formula>U2="Hot"</formula>
    </cfRule>
    <cfRule type="expression" priority="11" aboveAverage="0" equalAverage="0" bottom="0" percent="0" rank="0" text="" dxfId="14">
      <formula>U2="Warm"</formula>
    </cfRule>
    <cfRule type="expression" priority="12" aboveAverage="0" equalAverage="0" bottom="0" percent="0" rank="0" text="" dxfId="15">
      <formula>U2="Cold"</formula>
    </cfRule>
    <cfRule type="expression" priority="13" aboveAverage="0" equalAverage="0" bottom="0" percent="0" rank="0" text="" dxfId="8">
      <formula>OR(U2="Not scored",LEFT(U2,6)="Partly")</formula>
    </cfRule>
  </conditionalFormatting>
  <conditionalFormatting sqref="V2:V501">
    <cfRule type="expression" priority="14" aboveAverage="0" equalAverage="0" bottom="0" percent="0" rank="0" text="" dxfId="9">
      <formula>V2&lt;&gt;""</formula>
    </cfRule>
  </conditionalFormatting>
  <dataValidations count="17">
    <dataValidation allowBlank="true" error="Pick a value from the list (edit lists on the Settings tab)." errorStyle="stop" errorTitle="Not on the list" operator="between" showDropDown="false" showErrorMessage="false" showInputMessage="false" sqref="C2:C501" type="list">
      <formula1>Settings!$C$2:$C$7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E2:E501" type="list">
      <formula1>Settings!$D$2:$D$11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W2:W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X2:X501" type="list">
      <formula1>Settings!$A$2:$A$10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AD2:AD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AE2:AE501" type="list">
      <formula1>Settings!$O$2:$O$8</formula1>
      <formula2>0</formula2>
    </dataValidation>
    <dataValidation allowBlank="true" error="Enter a whole number from 0 to 4." errorStyle="stop" operator="between" showDropDown="false" showErrorMessage="false" showInputMessage="false" sqref="Z2:Z501" type="whole">
      <formula1>0</formula1>
      <formula2>4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N2:N501" type="list">
      <formula1>Settings!$Z$2:$Z$4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O2:O501" type="list">
      <formula1>Settings!$Z$5:$Z$7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P2:P501" type="list">
      <formula1>Settings!$Z$8:$Z$10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Q2:Q501" type="list">
      <formula1>Settings!$Z$11:$Z$13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Settings!$Z$14:$Z$16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S2:S501" type="list">
      <formula1>Settings!$Z$17:$Z$19</formula1>
      <formula2>0</formula2>
    </dataValidation>
    <dataValidation allowBlank="true" error="Enter a date - double-click the cell for a calendar." errorStyle="stop" errorTitle="Not a date" operator="between" showDropDown="false" showErrorMessage="false" showInputMessage="false" sqref="B2:B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Y2:Y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AB2:AB501" type="date">
      <formula1>DATE(2020,1,1)</formula1>
      <formula2>DATE(2100,12,31)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AC2:AC501" type="list">
      <formula1>Settings!$Q$2:$Q$26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Z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22"/>
    <col collapsed="false" customWidth="true" hidden="false" outlineLevel="0" max="16" min="7" style="0" width="16"/>
    <col collapsed="false" customWidth="true" hidden="false" outlineLevel="0" max="17" min="17" style="0" width="34"/>
    <col collapsed="false" customWidth="true" hidden="false" outlineLevel="0" max="25" min="18" style="0" width="16"/>
    <col collapsed="false" customWidth="true" hidden="false" outlineLevel="0" max="26" min="26" style="0" width="34"/>
  </cols>
  <sheetData>
    <row r="1" customFormat="false" ht="31.5" hidden="false" customHeight="true" outlineLevel="0" collapsed="false">
      <c r="A1" s="29" t="s">
        <v>217</v>
      </c>
      <c r="B1" s="29" t="s">
        <v>144</v>
      </c>
      <c r="C1" s="29" t="s">
        <v>148</v>
      </c>
      <c r="D1" s="29" t="s">
        <v>150</v>
      </c>
      <c r="E1" s="29" t="s">
        <v>152</v>
      </c>
      <c r="F1" s="29" t="s">
        <v>153</v>
      </c>
      <c r="G1" s="29" t="s">
        <v>154</v>
      </c>
      <c r="H1" s="29" t="s">
        <v>218</v>
      </c>
      <c r="I1" s="30" t="s">
        <v>219</v>
      </c>
      <c r="J1" s="29" t="s">
        <v>220</v>
      </c>
      <c r="K1" s="29" t="s">
        <v>221</v>
      </c>
      <c r="L1" s="29" t="s">
        <v>222</v>
      </c>
      <c r="M1" s="29" t="s">
        <v>223</v>
      </c>
      <c r="N1" s="29" t="s">
        <v>224</v>
      </c>
      <c r="O1" s="30" t="s">
        <v>225</v>
      </c>
      <c r="P1" s="29" t="s">
        <v>226</v>
      </c>
      <c r="Q1" s="30" t="s">
        <v>227</v>
      </c>
      <c r="R1" s="29" t="s">
        <v>228</v>
      </c>
      <c r="S1" s="29" t="s">
        <v>229</v>
      </c>
      <c r="T1" s="29" t="s">
        <v>230</v>
      </c>
      <c r="U1" s="29" t="s">
        <v>231</v>
      </c>
      <c r="V1" s="29" t="s">
        <v>232</v>
      </c>
      <c r="W1" s="30" t="s">
        <v>233</v>
      </c>
      <c r="X1" s="29" t="s">
        <v>234</v>
      </c>
      <c r="Y1" s="29" t="s">
        <v>235</v>
      </c>
      <c r="Z1" s="29" t="s">
        <v>175</v>
      </c>
    </row>
    <row r="2" customFormat="false" ht="15" hidden="false" customHeight="false" outlineLevel="0" collapsed="false">
      <c r="A2" s="31" t="s">
        <v>236</v>
      </c>
      <c r="B2" s="31" t="s">
        <v>178</v>
      </c>
      <c r="C2" s="31" t="s">
        <v>237</v>
      </c>
      <c r="D2" s="31" t="s">
        <v>238</v>
      </c>
      <c r="E2" s="34" t="s">
        <v>239</v>
      </c>
      <c r="F2" s="31" t="s">
        <v>240</v>
      </c>
      <c r="G2" s="31" t="s">
        <v>241</v>
      </c>
      <c r="H2" s="31" t="s">
        <v>192</v>
      </c>
      <c r="I2" s="47" t="n">
        <f aca="false">IF(H2="","",IFERROR(INDEX(Settings!$G$2:$G$4,MATCH(H2,Settings!$F$2:$F$4,0)),""))</f>
        <v>7500</v>
      </c>
      <c r="J2" s="32" t="n">
        <v>46307</v>
      </c>
      <c r="K2" s="48" t="n">
        <v>7875</v>
      </c>
      <c r="L2" s="31" t="s">
        <v>242</v>
      </c>
      <c r="M2" s="32" t="n">
        <v>46309</v>
      </c>
      <c r="N2" s="32" t="n">
        <v>46314</v>
      </c>
      <c r="O2" s="38" t="n">
        <f aca="false">IF(N2="","",WORKDAY(N2,Settings!$S$4))</f>
        <v>46317</v>
      </c>
      <c r="P2" s="31" t="s">
        <v>243</v>
      </c>
      <c r="Q2" s="36" t="str">
        <f aca="true">IF(C2="","",IF(P2="Backed out",IF(S2="Paid","Refunded – closed",IF(R2="","Refund – log reason first","Refund in progress")),IF(K2="","Awaiting payment",IF(N2="",IF(M2="","Schedule free video","Free video in production"),IF(P2="Approved","Active",IF(TODAY()&gt;O2,"Active – plan went ahead","Decision pending – "&amp;NETWORKDAYS(TODAY(),O2)&amp;" working day(s) left"))))))</f>
        <v>Decision pending – 2 working day(s) left</v>
      </c>
      <c r="R2" s="31"/>
      <c r="S2" s="31"/>
      <c r="T2" s="48"/>
      <c r="U2" s="32"/>
      <c r="V2" s="32"/>
      <c r="W2" s="38" t="str">
        <f aca="false">IF(V2="","",EDATE(V2,Settings!$S$6))</f>
        <v/>
      </c>
      <c r="X2" s="31" t="s">
        <v>60</v>
      </c>
      <c r="Y2" s="31" t="s">
        <v>58</v>
      </c>
      <c r="Z2" s="31" t="s">
        <v>244</v>
      </c>
    </row>
    <row r="3" customFormat="false" ht="15" hidden="false" customHeight="false" outlineLevel="0" collapsed="false">
      <c r="A3" s="17"/>
      <c r="B3" s="17"/>
      <c r="C3" s="17"/>
      <c r="D3" s="17"/>
      <c r="E3" s="42"/>
      <c r="F3" s="17"/>
      <c r="G3" s="17"/>
      <c r="H3" s="17"/>
      <c r="I3" s="49" t="str">
        <f aca="false">IF(H3="","",IFERROR(INDEX(Settings!$G$2:$G$4,MATCH(H3,Settings!$F$2:$F$4,0)),""))</f>
        <v/>
      </c>
      <c r="J3" s="40"/>
      <c r="K3" s="50"/>
      <c r="L3" s="17"/>
      <c r="M3" s="40"/>
      <c r="N3" s="40"/>
      <c r="O3" s="45" t="str">
        <f aca="false">IF(N3="","",WORKDAY(N3,Settings!$S$4))</f>
        <v/>
      </c>
      <c r="P3" s="17"/>
      <c r="Q3" s="44" t="str">
        <f aca="true">IF(C3="","",IF(P3="Backed out",IF(S3="Paid","Refunded – closed",IF(R3="","Refund – log reason first","Refund in progress")),IF(K3="","Awaiting payment",IF(N3="",IF(M3="","Schedule free video","Free video in production"),IF(P3="Approved","Active",IF(TODAY()&gt;O3,"Active – plan went ahead","Decision pending – "&amp;NETWORKDAYS(TODAY(),O3)&amp;" working day(s) left"))))))</f>
        <v/>
      </c>
      <c r="R3" s="17"/>
      <c r="S3" s="17"/>
      <c r="T3" s="50"/>
      <c r="U3" s="40"/>
      <c r="V3" s="40"/>
      <c r="W3" s="45" t="str">
        <f aca="false">IF(V3="","",EDATE(V3,Settings!$S$6))</f>
        <v/>
      </c>
      <c r="X3" s="17"/>
      <c r="Y3" s="17"/>
      <c r="Z3" s="17"/>
    </row>
    <row r="4" customFormat="false" ht="15" hidden="false" customHeight="false" outlineLevel="0" collapsed="false">
      <c r="A4" s="17"/>
      <c r="B4" s="17"/>
      <c r="C4" s="17"/>
      <c r="D4" s="17"/>
      <c r="E4" s="42"/>
      <c r="F4" s="17"/>
      <c r="G4" s="17"/>
      <c r="H4" s="17"/>
      <c r="I4" s="49" t="str">
        <f aca="false">IF(H4="","",IFERROR(INDEX(Settings!$G$2:$G$4,MATCH(H4,Settings!$F$2:$F$4,0)),""))</f>
        <v/>
      </c>
      <c r="J4" s="40"/>
      <c r="K4" s="50"/>
      <c r="L4" s="17"/>
      <c r="M4" s="40"/>
      <c r="N4" s="40"/>
      <c r="O4" s="45" t="str">
        <f aca="false">IF(N4="","",WORKDAY(N4,Settings!$S$4))</f>
        <v/>
      </c>
      <c r="P4" s="17"/>
      <c r="Q4" s="44" t="str">
        <f aca="true">IF(C4="","",IF(P4="Backed out",IF(S4="Paid","Refunded – closed",IF(R4="","Refund – log reason first","Refund in progress")),IF(K4="","Awaiting payment",IF(N4="",IF(M4="","Schedule free video","Free video in production"),IF(P4="Approved","Active",IF(TODAY()&gt;O4,"Active – plan went ahead","Decision pending – "&amp;NETWORKDAYS(TODAY(),O4)&amp;" working day(s) left"))))))</f>
        <v/>
      </c>
      <c r="R4" s="17"/>
      <c r="S4" s="17"/>
      <c r="T4" s="50"/>
      <c r="U4" s="40"/>
      <c r="V4" s="40"/>
      <c r="W4" s="45" t="str">
        <f aca="false">IF(V4="","",EDATE(V4,Settings!$S$6))</f>
        <v/>
      </c>
      <c r="X4" s="17"/>
      <c r="Y4" s="17"/>
      <c r="Z4" s="17"/>
    </row>
    <row r="5" customFormat="false" ht="15" hidden="false" customHeight="false" outlineLevel="0" collapsed="false">
      <c r="A5" s="17"/>
      <c r="B5" s="17"/>
      <c r="C5" s="17"/>
      <c r="D5" s="17"/>
      <c r="E5" s="42"/>
      <c r="F5" s="17"/>
      <c r="G5" s="17"/>
      <c r="H5" s="17"/>
      <c r="I5" s="49" t="str">
        <f aca="false">IF(H5="","",IFERROR(INDEX(Settings!$G$2:$G$4,MATCH(H5,Settings!$F$2:$F$4,0)),""))</f>
        <v/>
      </c>
      <c r="J5" s="40"/>
      <c r="K5" s="50"/>
      <c r="L5" s="17"/>
      <c r="M5" s="40"/>
      <c r="N5" s="40"/>
      <c r="O5" s="45" t="str">
        <f aca="false">IF(N5="","",WORKDAY(N5,Settings!$S$4))</f>
        <v/>
      </c>
      <c r="P5" s="17"/>
      <c r="Q5" s="44" t="str">
        <f aca="true">IF(C5="","",IF(P5="Backed out",IF(S5="Paid","Refunded – closed",IF(R5="","Refund – log reason first","Refund in progress")),IF(K5="","Awaiting payment",IF(N5="",IF(M5="","Schedule free video","Free video in production"),IF(P5="Approved","Active",IF(TODAY()&gt;O5,"Active – plan went ahead","Decision pending – "&amp;NETWORKDAYS(TODAY(),O5)&amp;" working day(s) left"))))))</f>
        <v/>
      </c>
      <c r="R5" s="17"/>
      <c r="S5" s="17"/>
      <c r="T5" s="50"/>
      <c r="U5" s="40"/>
      <c r="V5" s="40"/>
      <c r="W5" s="45" t="str">
        <f aca="false">IF(V5="","",EDATE(V5,Settings!$S$6))</f>
        <v/>
      </c>
      <c r="X5" s="17"/>
      <c r="Y5" s="17"/>
      <c r="Z5" s="17"/>
    </row>
    <row r="6" customFormat="false" ht="15" hidden="false" customHeight="false" outlineLevel="0" collapsed="false">
      <c r="A6" s="17"/>
      <c r="B6" s="17"/>
      <c r="C6" s="17"/>
      <c r="D6" s="17"/>
      <c r="E6" s="42"/>
      <c r="F6" s="17"/>
      <c r="G6" s="17"/>
      <c r="H6" s="17"/>
      <c r="I6" s="49" t="str">
        <f aca="false">IF(H6="","",IFERROR(INDEX(Settings!$G$2:$G$4,MATCH(H6,Settings!$F$2:$F$4,0)),""))</f>
        <v/>
      </c>
      <c r="J6" s="40"/>
      <c r="K6" s="50"/>
      <c r="L6" s="17"/>
      <c r="M6" s="40"/>
      <c r="N6" s="40"/>
      <c r="O6" s="45" t="str">
        <f aca="false">IF(N6="","",WORKDAY(N6,Settings!$S$4))</f>
        <v/>
      </c>
      <c r="P6" s="17"/>
      <c r="Q6" s="44" t="str">
        <f aca="true">IF(C6="","",IF(P6="Backed out",IF(S6="Paid","Refunded – closed",IF(R6="","Refund – log reason first","Refund in progress")),IF(K6="","Awaiting payment",IF(N6="",IF(M6="","Schedule free video","Free video in production"),IF(P6="Approved","Active",IF(TODAY()&gt;O6,"Active – plan went ahead","Decision pending – "&amp;NETWORKDAYS(TODAY(),O6)&amp;" working day(s) left"))))))</f>
        <v/>
      </c>
      <c r="R6" s="17"/>
      <c r="S6" s="17"/>
      <c r="T6" s="50"/>
      <c r="U6" s="40"/>
      <c r="V6" s="40"/>
      <c r="W6" s="45" t="str">
        <f aca="false">IF(V6="","",EDATE(V6,Settings!$S$6))</f>
        <v/>
      </c>
      <c r="X6" s="17"/>
      <c r="Y6" s="17"/>
      <c r="Z6" s="17"/>
    </row>
    <row r="7" customFormat="false" ht="15" hidden="false" customHeight="false" outlineLevel="0" collapsed="false">
      <c r="A7" s="17"/>
      <c r="B7" s="17"/>
      <c r="C7" s="17"/>
      <c r="D7" s="17"/>
      <c r="E7" s="42"/>
      <c r="F7" s="17"/>
      <c r="G7" s="17"/>
      <c r="H7" s="17"/>
      <c r="I7" s="49" t="str">
        <f aca="false">IF(H7="","",IFERROR(INDEX(Settings!$G$2:$G$4,MATCH(H7,Settings!$F$2:$F$4,0)),""))</f>
        <v/>
      </c>
      <c r="J7" s="40"/>
      <c r="K7" s="50"/>
      <c r="L7" s="17"/>
      <c r="M7" s="40"/>
      <c r="N7" s="40"/>
      <c r="O7" s="45" t="str">
        <f aca="false">IF(N7="","",WORKDAY(N7,Settings!$S$4))</f>
        <v/>
      </c>
      <c r="P7" s="17"/>
      <c r="Q7" s="44" t="str">
        <f aca="true">IF(C7="","",IF(P7="Backed out",IF(S7="Paid","Refunded – closed",IF(R7="","Refund – log reason first","Refund in progress")),IF(K7="","Awaiting payment",IF(N7="",IF(M7="","Schedule free video","Free video in production"),IF(P7="Approved","Active",IF(TODAY()&gt;O7,"Active – plan went ahead","Decision pending – "&amp;NETWORKDAYS(TODAY(),O7)&amp;" working day(s) left"))))))</f>
        <v/>
      </c>
      <c r="R7" s="17"/>
      <c r="S7" s="17"/>
      <c r="T7" s="50"/>
      <c r="U7" s="40"/>
      <c r="V7" s="40"/>
      <c r="W7" s="45" t="str">
        <f aca="false">IF(V7="","",EDATE(V7,Settings!$S$6))</f>
        <v/>
      </c>
      <c r="X7" s="17"/>
      <c r="Y7" s="17"/>
      <c r="Z7" s="17"/>
    </row>
    <row r="8" customFormat="false" ht="15" hidden="false" customHeight="false" outlineLevel="0" collapsed="false">
      <c r="A8" s="17"/>
      <c r="B8" s="17"/>
      <c r="C8" s="17"/>
      <c r="D8" s="17"/>
      <c r="E8" s="42"/>
      <c r="F8" s="17"/>
      <c r="G8" s="17"/>
      <c r="H8" s="17"/>
      <c r="I8" s="49" t="str">
        <f aca="false">IF(H8="","",IFERROR(INDEX(Settings!$G$2:$G$4,MATCH(H8,Settings!$F$2:$F$4,0)),""))</f>
        <v/>
      </c>
      <c r="J8" s="40"/>
      <c r="K8" s="50"/>
      <c r="L8" s="17"/>
      <c r="M8" s="40"/>
      <c r="N8" s="40"/>
      <c r="O8" s="45" t="str">
        <f aca="false">IF(N8="","",WORKDAY(N8,Settings!$S$4))</f>
        <v/>
      </c>
      <c r="P8" s="17"/>
      <c r="Q8" s="44" t="str">
        <f aca="true">IF(C8="","",IF(P8="Backed out",IF(S8="Paid","Refunded – closed",IF(R8="","Refund – log reason first","Refund in progress")),IF(K8="","Awaiting payment",IF(N8="",IF(M8="","Schedule free video","Free video in production"),IF(P8="Approved","Active",IF(TODAY()&gt;O8,"Active – plan went ahead","Decision pending – "&amp;NETWORKDAYS(TODAY(),O8)&amp;" working day(s) left"))))))</f>
        <v/>
      </c>
      <c r="R8" s="17"/>
      <c r="S8" s="17"/>
      <c r="T8" s="50"/>
      <c r="U8" s="40"/>
      <c r="V8" s="40"/>
      <c r="W8" s="45" t="str">
        <f aca="false">IF(V8="","",EDATE(V8,Settings!$S$6))</f>
        <v/>
      </c>
      <c r="X8" s="17"/>
      <c r="Y8" s="17"/>
      <c r="Z8" s="17"/>
    </row>
    <row r="9" customFormat="false" ht="15" hidden="false" customHeight="false" outlineLevel="0" collapsed="false">
      <c r="A9" s="17"/>
      <c r="B9" s="17"/>
      <c r="C9" s="17"/>
      <c r="D9" s="17"/>
      <c r="E9" s="42"/>
      <c r="F9" s="17"/>
      <c r="G9" s="17"/>
      <c r="H9" s="17"/>
      <c r="I9" s="49" t="str">
        <f aca="false">IF(H9="","",IFERROR(INDEX(Settings!$G$2:$G$4,MATCH(H9,Settings!$F$2:$F$4,0)),""))</f>
        <v/>
      </c>
      <c r="J9" s="40"/>
      <c r="K9" s="50"/>
      <c r="L9" s="17"/>
      <c r="M9" s="40"/>
      <c r="N9" s="40"/>
      <c r="O9" s="45" t="str">
        <f aca="false">IF(N9="","",WORKDAY(N9,Settings!$S$4))</f>
        <v/>
      </c>
      <c r="P9" s="17"/>
      <c r="Q9" s="44" t="str">
        <f aca="true">IF(C9="","",IF(P9="Backed out",IF(S9="Paid","Refunded – closed",IF(R9="","Refund – log reason first","Refund in progress")),IF(K9="","Awaiting payment",IF(N9="",IF(M9="","Schedule free video","Free video in production"),IF(P9="Approved","Active",IF(TODAY()&gt;O9,"Active – plan went ahead","Decision pending – "&amp;NETWORKDAYS(TODAY(),O9)&amp;" working day(s) left"))))))</f>
        <v/>
      </c>
      <c r="R9" s="17"/>
      <c r="S9" s="17"/>
      <c r="T9" s="50"/>
      <c r="U9" s="40"/>
      <c r="V9" s="40"/>
      <c r="W9" s="45" t="str">
        <f aca="false">IF(V9="","",EDATE(V9,Settings!$S$6))</f>
        <v/>
      </c>
      <c r="X9" s="17"/>
      <c r="Y9" s="17"/>
      <c r="Z9" s="17"/>
    </row>
    <row r="10" customFormat="false" ht="15" hidden="false" customHeight="false" outlineLevel="0" collapsed="false">
      <c r="A10" s="17"/>
      <c r="B10" s="17"/>
      <c r="C10" s="17"/>
      <c r="D10" s="17"/>
      <c r="E10" s="42"/>
      <c r="F10" s="17"/>
      <c r="G10" s="17"/>
      <c r="H10" s="17"/>
      <c r="I10" s="49" t="str">
        <f aca="false">IF(H10="","",IFERROR(INDEX(Settings!$G$2:$G$4,MATCH(H10,Settings!$F$2:$F$4,0)),""))</f>
        <v/>
      </c>
      <c r="J10" s="40"/>
      <c r="K10" s="50"/>
      <c r="L10" s="17"/>
      <c r="M10" s="40"/>
      <c r="N10" s="40"/>
      <c r="O10" s="45" t="str">
        <f aca="false">IF(N10="","",WORKDAY(N10,Settings!$S$4))</f>
        <v/>
      </c>
      <c r="P10" s="17"/>
      <c r="Q10" s="44" t="str">
        <f aca="true">IF(C10="","",IF(P10="Backed out",IF(S10="Paid","Refunded – closed",IF(R10="","Refund – log reason first","Refund in progress")),IF(K10="","Awaiting payment",IF(N10="",IF(M10="","Schedule free video","Free video in production"),IF(P10="Approved","Active",IF(TODAY()&gt;O10,"Active – plan went ahead","Decision pending – "&amp;NETWORKDAYS(TODAY(),O10)&amp;" working day(s) left"))))))</f>
        <v/>
      </c>
      <c r="R10" s="17"/>
      <c r="S10" s="17"/>
      <c r="T10" s="50"/>
      <c r="U10" s="40"/>
      <c r="V10" s="40"/>
      <c r="W10" s="45" t="str">
        <f aca="false">IF(V10="","",EDATE(V10,Settings!$S$6))</f>
        <v/>
      </c>
      <c r="X10" s="17"/>
      <c r="Y10" s="17"/>
      <c r="Z10" s="17"/>
    </row>
    <row r="11" customFormat="false" ht="15" hidden="false" customHeight="false" outlineLevel="0" collapsed="false">
      <c r="A11" s="17"/>
      <c r="B11" s="17"/>
      <c r="C11" s="17"/>
      <c r="D11" s="17"/>
      <c r="E11" s="42"/>
      <c r="F11" s="17"/>
      <c r="G11" s="17"/>
      <c r="H11" s="17"/>
      <c r="I11" s="49" t="str">
        <f aca="false">IF(H11="","",IFERROR(INDEX(Settings!$G$2:$G$4,MATCH(H11,Settings!$F$2:$F$4,0)),""))</f>
        <v/>
      </c>
      <c r="J11" s="40"/>
      <c r="K11" s="50"/>
      <c r="L11" s="17"/>
      <c r="M11" s="40"/>
      <c r="N11" s="40"/>
      <c r="O11" s="45" t="str">
        <f aca="false">IF(N11="","",WORKDAY(N11,Settings!$S$4))</f>
        <v/>
      </c>
      <c r="P11" s="17"/>
      <c r="Q11" s="44" t="str">
        <f aca="true">IF(C11="","",IF(P11="Backed out",IF(S11="Paid","Refunded – closed",IF(R11="","Refund – log reason first","Refund in progress")),IF(K11="","Awaiting payment",IF(N11="",IF(M11="","Schedule free video","Free video in production"),IF(P11="Approved","Active",IF(TODAY()&gt;O11,"Active – plan went ahead","Decision pending – "&amp;NETWORKDAYS(TODAY(),O11)&amp;" working day(s) left"))))))</f>
        <v/>
      </c>
      <c r="R11" s="17"/>
      <c r="S11" s="17"/>
      <c r="T11" s="50"/>
      <c r="U11" s="40"/>
      <c r="V11" s="40"/>
      <c r="W11" s="45" t="str">
        <f aca="false">IF(V11="","",EDATE(V11,Settings!$S$6))</f>
        <v/>
      </c>
      <c r="X11" s="17"/>
      <c r="Y11" s="17"/>
      <c r="Z11" s="17"/>
    </row>
    <row r="12" customFormat="false" ht="15" hidden="false" customHeight="false" outlineLevel="0" collapsed="false">
      <c r="A12" s="17"/>
      <c r="B12" s="17"/>
      <c r="C12" s="17"/>
      <c r="D12" s="17"/>
      <c r="E12" s="42"/>
      <c r="F12" s="17"/>
      <c r="G12" s="17"/>
      <c r="H12" s="17"/>
      <c r="I12" s="49" t="str">
        <f aca="false">IF(H12="","",IFERROR(INDEX(Settings!$G$2:$G$4,MATCH(H12,Settings!$F$2:$F$4,0)),""))</f>
        <v/>
      </c>
      <c r="J12" s="40"/>
      <c r="K12" s="50"/>
      <c r="L12" s="17"/>
      <c r="M12" s="40"/>
      <c r="N12" s="40"/>
      <c r="O12" s="45" t="str">
        <f aca="false">IF(N12="","",WORKDAY(N12,Settings!$S$4))</f>
        <v/>
      </c>
      <c r="P12" s="17"/>
      <c r="Q12" s="44" t="str">
        <f aca="true">IF(C12="","",IF(P12="Backed out",IF(S12="Paid","Refunded – closed",IF(R12="","Refund – log reason first","Refund in progress")),IF(K12="","Awaiting payment",IF(N12="",IF(M12="","Schedule free video","Free video in production"),IF(P12="Approved","Active",IF(TODAY()&gt;O12,"Active – plan went ahead","Decision pending – "&amp;NETWORKDAYS(TODAY(),O12)&amp;" working day(s) left"))))))</f>
        <v/>
      </c>
      <c r="R12" s="17"/>
      <c r="S12" s="17"/>
      <c r="T12" s="50"/>
      <c r="U12" s="40"/>
      <c r="V12" s="40"/>
      <c r="W12" s="45" t="str">
        <f aca="false">IF(V12="","",EDATE(V12,Settings!$S$6))</f>
        <v/>
      </c>
      <c r="X12" s="17"/>
      <c r="Y12" s="17"/>
      <c r="Z12" s="17"/>
    </row>
    <row r="13" customFormat="false" ht="15" hidden="false" customHeight="false" outlineLevel="0" collapsed="false">
      <c r="A13" s="17"/>
      <c r="B13" s="17"/>
      <c r="C13" s="17"/>
      <c r="D13" s="17"/>
      <c r="E13" s="42"/>
      <c r="F13" s="17"/>
      <c r="G13" s="17"/>
      <c r="H13" s="17"/>
      <c r="I13" s="49" t="str">
        <f aca="false">IF(H13="","",IFERROR(INDEX(Settings!$G$2:$G$4,MATCH(H13,Settings!$F$2:$F$4,0)),""))</f>
        <v/>
      </c>
      <c r="J13" s="40"/>
      <c r="K13" s="50"/>
      <c r="L13" s="17"/>
      <c r="M13" s="40"/>
      <c r="N13" s="40"/>
      <c r="O13" s="45" t="str">
        <f aca="false">IF(N13="","",WORKDAY(N13,Settings!$S$4))</f>
        <v/>
      </c>
      <c r="P13" s="17"/>
      <c r="Q13" s="44" t="str">
        <f aca="true">IF(C13="","",IF(P13="Backed out",IF(S13="Paid","Refunded – closed",IF(R13="","Refund – log reason first","Refund in progress")),IF(K13="","Awaiting payment",IF(N13="",IF(M13="","Schedule free video","Free video in production"),IF(P13="Approved","Active",IF(TODAY()&gt;O13,"Active – plan went ahead","Decision pending – "&amp;NETWORKDAYS(TODAY(),O13)&amp;" working day(s) left"))))))</f>
        <v/>
      </c>
      <c r="R13" s="17"/>
      <c r="S13" s="17"/>
      <c r="T13" s="50"/>
      <c r="U13" s="40"/>
      <c r="V13" s="40"/>
      <c r="W13" s="45" t="str">
        <f aca="false">IF(V13="","",EDATE(V13,Settings!$S$6))</f>
        <v/>
      </c>
      <c r="X13" s="17"/>
      <c r="Y13" s="17"/>
      <c r="Z13" s="17"/>
    </row>
    <row r="14" customFormat="false" ht="15" hidden="false" customHeight="false" outlineLevel="0" collapsed="false">
      <c r="A14" s="17"/>
      <c r="B14" s="17"/>
      <c r="C14" s="17"/>
      <c r="D14" s="17"/>
      <c r="E14" s="42"/>
      <c r="F14" s="17"/>
      <c r="G14" s="17"/>
      <c r="H14" s="17"/>
      <c r="I14" s="49" t="str">
        <f aca="false">IF(H14="","",IFERROR(INDEX(Settings!$G$2:$G$4,MATCH(H14,Settings!$F$2:$F$4,0)),""))</f>
        <v/>
      </c>
      <c r="J14" s="40"/>
      <c r="K14" s="50"/>
      <c r="L14" s="17"/>
      <c r="M14" s="40"/>
      <c r="N14" s="40"/>
      <c r="O14" s="45" t="str">
        <f aca="false">IF(N14="","",WORKDAY(N14,Settings!$S$4))</f>
        <v/>
      </c>
      <c r="P14" s="17"/>
      <c r="Q14" s="44" t="str">
        <f aca="true">IF(C14="","",IF(P14="Backed out",IF(S14="Paid","Refunded – closed",IF(R14="","Refund – log reason first","Refund in progress")),IF(K14="","Awaiting payment",IF(N14="",IF(M14="","Schedule free video","Free video in production"),IF(P14="Approved","Active",IF(TODAY()&gt;O14,"Active – plan went ahead","Decision pending – "&amp;NETWORKDAYS(TODAY(),O14)&amp;" working day(s) left"))))))</f>
        <v/>
      </c>
      <c r="R14" s="17"/>
      <c r="S14" s="17"/>
      <c r="T14" s="50"/>
      <c r="U14" s="40"/>
      <c r="V14" s="40"/>
      <c r="W14" s="45" t="str">
        <f aca="false">IF(V14="","",EDATE(V14,Settings!$S$6))</f>
        <v/>
      </c>
      <c r="X14" s="17"/>
      <c r="Y14" s="17"/>
      <c r="Z14" s="17"/>
    </row>
    <row r="15" customFormat="false" ht="15" hidden="false" customHeight="false" outlineLevel="0" collapsed="false">
      <c r="A15" s="17"/>
      <c r="B15" s="17"/>
      <c r="C15" s="17"/>
      <c r="D15" s="17"/>
      <c r="E15" s="42"/>
      <c r="F15" s="17"/>
      <c r="G15" s="17"/>
      <c r="H15" s="17"/>
      <c r="I15" s="49" t="str">
        <f aca="false">IF(H15="","",IFERROR(INDEX(Settings!$G$2:$G$4,MATCH(H15,Settings!$F$2:$F$4,0)),""))</f>
        <v/>
      </c>
      <c r="J15" s="40"/>
      <c r="K15" s="50"/>
      <c r="L15" s="17"/>
      <c r="M15" s="40"/>
      <c r="N15" s="40"/>
      <c r="O15" s="45" t="str">
        <f aca="false">IF(N15="","",WORKDAY(N15,Settings!$S$4))</f>
        <v/>
      </c>
      <c r="P15" s="17"/>
      <c r="Q15" s="44" t="str">
        <f aca="true">IF(C15="","",IF(P15="Backed out",IF(S15="Paid","Refunded – closed",IF(R15="","Refund – log reason first","Refund in progress")),IF(K15="","Awaiting payment",IF(N15="",IF(M15="","Schedule free video","Free video in production"),IF(P15="Approved","Active",IF(TODAY()&gt;O15,"Active – plan went ahead","Decision pending – "&amp;NETWORKDAYS(TODAY(),O15)&amp;" working day(s) left"))))))</f>
        <v/>
      </c>
      <c r="R15" s="17"/>
      <c r="S15" s="17"/>
      <c r="T15" s="50"/>
      <c r="U15" s="40"/>
      <c r="V15" s="40"/>
      <c r="W15" s="45" t="str">
        <f aca="false">IF(V15="","",EDATE(V15,Settings!$S$6))</f>
        <v/>
      </c>
      <c r="X15" s="17"/>
      <c r="Y15" s="17"/>
      <c r="Z15" s="17"/>
    </row>
    <row r="16" customFormat="false" ht="15" hidden="false" customHeight="false" outlineLevel="0" collapsed="false">
      <c r="A16" s="17"/>
      <c r="B16" s="17"/>
      <c r="C16" s="17"/>
      <c r="D16" s="17"/>
      <c r="E16" s="42"/>
      <c r="F16" s="17"/>
      <c r="G16" s="17"/>
      <c r="H16" s="17"/>
      <c r="I16" s="49" t="str">
        <f aca="false">IF(H16="","",IFERROR(INDEX(Settings!$G$2:$G$4,MATCH(H16,Settings!$F$2:$F$4,0)),""))</f>
        <v/>
      </c>
      <c r="J16" s="40"/>
      <c r="K16" s="50"/>
      <c r="L16" s="17"/>
      <c r="M16" s="40"/>
      <c r="N16" s="40"/>
      <c r="O16" s="45" t="str">
        <f aca="false">IF(N16="","",WORKDAY(N16,Settings!$S$4))</f>
        <v/>
      </c>
      <c r="P16" s="17"/>
      <c r="Q16" s="44" t="str">
        <f aca="true">IF(C16="","",IF(P16="Backed out",IF(S16="Paid","Refunded – closed",IF(R16="","Refund – log reason first","Refund in progress")),IF(K16="","Awaiting payment",IF(N16="",IF(M16="","Schedule free video","Free video in production"),IF(P16="Approved","Active",IF(TODAY()&gt;O16,"Active – plan went ahead","Decision pending – "&amp;NETWORKDAYS(TODAY(),O16)&amp;" working day(s) left"))))))</f>
        <v/>
      </c>
      <c r="R16" s="17"/>
      <c r="S16" s="17"/>
      <c r="T16" s="50"/>
      <c r="U16" s="40"/>
      <c r="V16" s="40"/>
      <c r="W16" s="45" t="str">
        <f aca="false">IF(V16="","",EDATE(V16,Settings!$S$6))</f>
        <v/>
      </c>
      <c r="X16" s="17"/>
      <c r="Y16" s="17"/>
      <c r="Z16" s="17"/>
    </row>
    <row r="17" customFormat="false" ht="15" hidden="false" customHeight="false" outlineLevel="0" collapsed="false">
      <c r="A17" s="17"/>
      <c r="B17" s="17"/>
      <c r="C17" s="17"/>
      <c r="D17" s="17"/>
      <c r="E17" s="42"/>
      <c r="F17" s="17"/>
      <c r="G17" s="17"/>
      <c r="H17" s="17"/>
      <c r="I17" s="49" t="str">
        <f aca="false">IF(H17="","",IFERROR(INDEX(Settings!$G$2:$G$4,MATCH(H17,Settings!$F$2:$F$4,0)),""))</f>
        <v/>
      </c>
      <c r="J17" s="40"/>
      <c r="K17" s="50"/>
      <c r="L17" s="17"/>
      <c r="M17" s="40"/>
      <c r="N17" s="40"/>
      <c r="O17" s="45" t="str">
        <f aca="false">IF(N17="","",WORKDAY(N17,Settings!$S$4))</f>
        <v/>
      </c>
      <c r="P17" s="17"/>
      <c r="Q17" s="44" t="str">
        <f aca="true">IF(C17="","",IF(P17="Backed out",IF(S17="Paid","Refunded – closed",IF(R17="","Refund – log reason first","Refund in progress")),IF(K17="","Awaiting payment",IF(N17="",IF(M17="","Schedule free video","Free video in production"),IF(P17="Approved","Active",IF(TODAY()&gt;O17,"Active – plan went ahead","Decision pending – "&amp;NETWORKDAYS(TODAY(),O17)&amp;" working day(s) left"))))))</f>
        <v/>
      </c>
      <c r="R17" s="17"/>
      <c r="S17" s="17"/>
      <c r="T17" s="50"/>
      <c r="U17" s="40"/>
      <c r="V17" s="40"/>
      <c r="W17" s="45" t="str">
        <f aca="false">IF(V17="","",EDATE(V17,Settings!$S$6))</f>
        <v/>
      </c>
      <c r="X17" s="17"/>
      <c r="Y17" s="17"/>
      <c r="Z17" s="17"/>
    </row>
    <row r="18" customFormat="false" ht="15" hidden="false" customHeight="false" outlineLevel="0" collapsed="false">
      <c r="A18" s="17"/>
      <c r="B18" s="17"/>
      <c r="C18" s="17"/>
      <c r="D18" s="17"/>
      <c r="E18" s="42"/>
      <c r="F18" s="17"/>
      <c r="G18" s="17"/>
      <c r="H18" s="17"/>
      <c r="I18" s="49" t="str">
        <f aca="false">IF(H18="","",IFERROR(INDEX(Settings!$G$2:$G$4,MATCH(H18,Settings!$F$2:$F$4,0)),""))</f>
        <v/>
      </c>
      <c r="J18" s="40"/>
      <c r="K18" s="50"/>
      <c r="L18" s="17"/>
      <c r="M18" s="40"/>
      <c r="N18" s="40"/>
      <c r="O18" s="45" t="str">
        <f aca="false">IF(N18="","",WORKDAY(N18,Settings!$S$4))</f>
        <v/>
      </c>
      <c r="P18" s="17"/>
      <c r="Q18" s="44" t="str">
        <f aca="true">IF(C18="","",IF(P18="Backed out",IF(S18="Paid","Refunded – closed",IF(R18="","Refund – log reason first","Refund in progress")),IF(K18="","Awaiting payment",IF(N18="",IF(M18="","Schedule free video","Free video in production"),IF(P18="Approved","Active",IF(TODAY()&gt;O18,"Active – plan went ahead","Decision pending – "&amp;NETWORKDAYS(TODAY(),O18)&amp;" working day(s) left"))))))</f>
        <v/>
      </c>
      <c r="R18" s="17"/>
      <c r="S18" s="17"/>
      <c r="T18" s="50"/>
      <c r="U18" s="40"/>
      <c r="V18" s="40"/>
      <c r="W18" s="45" t="str">
        <f aca="false">IF(V18="","",EDATE(V18,Settings!$S$6))</f>
        <v/>
      </c>
      <c r="X18" s="17"/>
      <c r="Y18" s="17"/>
      <c r="Z18" s="17"/>
    </row>
    <row r="19" customFormat="false" ht="15" hidden="false" customHeight="false" outlineLevel="0" collapsed="false">
      <c r="A19" s="17"/>
      <c r="B19" s="17"/>
      <c r="C19" s="17"/>
      <c r="D19" s="17"/>
      <c r="E19" s="42"/>
      <c r="F19" s="17"/>
      <c r="G19" s="17"/>
      <c r="H19" s="17"/>
      <c r="I19" s="49" t="str">
        <f aca="false">IF(H19="","",IFERROR(INDEX(Settings!$G$2:$G$4,MATCH(H19,Settings!$F$2:$F$4,0)),""))</f>
        <v/>
      </c>
      <c r="J19" s="40"/>
      <c r="K19" s="50"/>
      <c r="L19" s="17"/>
      <c r="M19" s="40"/>
      <c r="N19" s="40"/>
      <c r="O19" s="45" t="str">
        <f aca="false">IF(N19="","",WORKDAY(N19,Settings!$S$4))</f>
        <v/>
      </c>
      <c r="P19" s="17"/>
      <c r="Q19" s="44" t="str">
        <f aca="true">IF(C19="","",IF(P19="Backed out",IF(S19="Paid","Refunded – closed",IF(R19="","Refund – log reason first","Refund in progress")),IF(K19="","Awaiting payment",IF(N19="",IF(M19="","Schedule free video","Free video in production"),IF(P19="Approved","Active",IF(TODAY()&gt;O19,"Active – plan went ahead","Decision pending – "&amp;NETWORKDAYS(TODAY(),O19)&amp;" working day(s) left"))))))</f>
        <v/>
      </c>
      <c r="R19" s="17"/>
      <c r="S19" s="17"/>
      <c r="T19" s="50"/>
      <c r="U19" s="40"/>
      <c r="V19" s="40"/>
      <c r="W19" s="45" t="str">
        <f aca="false">IF(V19="","",EDATE(V19,Settings!$S$6))</f>
        <v/>
      </c>
      <c r="X19" s="17"/>
      <c r="Y19" s="17"/>
      <c r="Z19" s="17"/>
    </row>
    <row r="20" customFormat="false" ht="15" hidden="false" customHeight="false" outlineLevel="0" collapsed="false">
      <c r="A20" s="17"/>
      <c r="B20" s="17"/>
      <c r="C20" s="17"/>
      <c r="D20" s="17"/>
      <c r="E20" s="42"/>
      <c r="F20" s="17"/>
      <c r="G20" s="17"/>
      <c r="H20" s="17"/>
      <c r="I20" s="49" t="str">
        <f aca="false">IF(H20="","",IFERROR(INDEX(Settings!$G$2:$G$4,MATCH(H20,Settings!$F$2:$F$4,0)),""))</f>
        <v/>
      </c>
      <c r="J20" s="40"/>
      <c r="K20" s="50"/>
      <c r="L20" s="17"/>
      <c r="M20" s="40"/>
      <c r="N20" s="40"/>
      <c r="O20" s="45" t="str">
        <f aca="false">IF(N20="","",WORKDAY(N20,Settings!$S$4))</f>
        <v/>
      </c>
      <c r="P20" s="17"/>
      <c r="Q20" s="44" t="str">
        <f aca="true">IF(C20="","",IF(P20="Backed out",IF(S20="Paid","Refunded – closed",IF(R20="","Refund – log reason first","Refund in progress")),IF(K20="","Awaiting payment",IF(N20="",IF(M20="","Schedule free video","Free video in production"),IF(P20="Approved","Active",IF(TODAY()&gt;O20,"Active – plan went ahead","Decision pending – "&amp;NETWORKDAYS(TODAY(),O20)&amp;" working day(s) left"))))))</f>
        <v/>
      </c>
      <c r="R20" s="17"/>
      <c r="S20" s="17"/>
      <c r="T20" s="50"/>
      <c r="U20" s="40"/>
      <c r="V20" s="40"/>
      <c r="W20" s="45" t="str">
        <f aca="false">IF(V20="","",EDATE(V20,Settings!$S$6))</f>
        <v/>
      </c>
      <c r="X20" s="17"/>
      <c r="Y20" s="17"/>
      <c r="Z20" s="17"/>
    </row>
    <row r="21" customFormat="false" ht="15" hidden="false" customHeight="false" outlineLevel="0" collapsed="false">
      <c r="A21" s="17"/>
      <c r="B21" s="17"/>
      <c r="C21" s="17"/>
      <c r="D21" s="17"/>
      <c r="E21" s="42"/>
      <c r="F21" s="17"/>
      <c r="G21" s="17"/>
      <c r="H21" s="17"/>
      <c r="I21" s="49" t="str">
        <f aca="false">IF(H21="","",IFERROR(INDEX(Settings!$G$2:$G$4,MATCH(H21,Settings!$F$2:$F$4,0)),""))</f>
        <v/>
      </c>
      <c r="J21" s="40"/>
      <c r="K21" s="50"/>
      <c r="L21" s="17"/>
      <c r="M21" s="40"/>
      <c r="N21" s="40"/>
      <c r="O21" s="45" t="str">
        <f aca="false">IF(N21="","",WORKDAY(N21,Settings!$S$4))</f>
        <v/>
      </c>
      <c r="P21" s="17"/>
      <c r="Q21" s="44" t="str">
        <f aca="true">IF(C21="","",IF(P21="Backed out",IF(S21="Paid","Refunded – closed",IF(R21="","Refund – log reason first","Refund in progress")),IF(K21="","Awaiting payment",IF(N21="",IF(M21="","Schedule free video","Free video in production"),IF(P21="Approved","Active",IF(TODAY()&gt;O21,"Active – plan went ahead","Decision pending – "&amp;NETWORKDAYS(TODAY(),O21)&amp;" working day(s) left"))))))</f>
        <v/>
      </c>
      <c r="R21" s="17"/>
      <c r="S21" s="17"/>
      <c r="T21" s="50"/>
      <c r="U21" s="40"/>
      <c r="V21" s="40"/>
      <c r="W21" s="45" t="str">
        <f aca="false">IF(V21="","",EDATE(V21,Settings!$S$6))</f>
        <v/>
      </c>
      <c r="X21" s="17"/>
      <c r="Y21" s="17"/>
      <c r="Z21" s="17"/>
    </row>
    <row r="22" customFormat="false" ht="15" hidden="false" customHeight="false" outlineLevel="0" collapsed="false">
      <c r="A22" s="17"/>
      <c r="B22" s="17"/>
      <c r="C22" s="17"/>
      <c r="D22" s="17"/>
      <c r="E22" s="42"/>
      <c r="F22" s="17"/>
      <c r="G22" s="17"/>
      <c r="H22" s="17"/>
      <c r="I22" s="49" t="str">
        <f aca="false">IF(H22="","",IFERROR(INDEX(Settings!$G$2:$G$4,MATCH(H22,Settings!$F$2:$F$4,0)),""))</f>
        <v/>
      </c>
      <c r="J22" s="40"/>
      <c r="K22" s="50"/>
      <c r="L22" s="17"/>
      <c r="M22" s="40"/>
      <c r="N22" s="40"/>
      <c r="O22" s="45" t="str">
        <f aca="false">IF(N22="","",WORKDAY(N22,Settings!$S$4))</f>
        <v/>
      </c>
      <c r="P22" s="17"/>
      <c r="Q22" s="44" t="str">
        <f aca="true">IF(C22="","",IF(P22="Backed out",IF(S22="Paid","Refunded – closed",IF(R22="","Refund – log reason first","Refund in progress")),IF(K22="","Awaiting payment",IF(N22="",IF(M22="","Schedule free video","Free video in production"),IF(P22="Approved","Active",IF(TODAY()&gt;O22,"Active – plan went ahead","Decision pending – "&amp;NETWORKDAYS(TODAY(),O22)&amp;" working day(s) left"))))))</f>
        <v/>
      </c>
      <c r="R22" s="17"/>
      <c r="S22" s="17"/>
      <c r="T22" s="50"/>
      <c r="U22" s="40"/>
      <c r="V22" s="40"/>
      <c r="W22" s="45" t="str">
        <f aca="false">IF(V22="","",EDATE(V22,Settings!$S$6))</f>
        <v/>
      </c>
      <c r="X22" s="17"/>
      <c r="Y22" s="17"/>
      <c r="Z22" s="17"/>
    </row>
    <row r="23" customFormat="false" ht="15" hidden="false" customHeight="false" outlineLevel="0" collapsed="false">
      <c r="A23" s="17"/>
      <c r="B23" s="17"/>
      <c r="C23" s="17"/>
      <c r="D23" s="17"/>
      <c r="E23" s="42"/>
      <c r="F23" s="17"/>
      <c r="G23" s="17"/>
      <c r="H23" s="17"/>
      <c r="I23" s="49" t="str">
        <f aca="false">IF(H23="","",IFERROR(INDEX(Settings!$G$2:$G$4,MATCH(H23,Settings!$F$2:$F$4,0)),""))</f>
        <v/>
      </c>
      <c r="J23" s="40"/>
      <c r="K23" s="50"/>
      <c r="L23" s="17"/>
      <c r="M23" s="40"/>
      <c r="N23" s="40"/>
      <c r="O23" s="45" t="str">
        <f aca="false">IF(N23="","",WORKDAY(N23,Settings!$S$4))</f>
        <v/>
      </c>
      <c r="P23" s="17"/>
      <c r="Q23" s="44" t="str">
        <f aca="true">IF(C23="","",IF(P23="Backed out",IF(S23="Paid","Refunded – closed",IF(R23="","Refund – log reason first","Refund in progress")),IF(K23="","Awaiting payment",IF(N23="",IF(M23="","Schedule free video","Free video in production"),IF(P23="Approved","Active",IF(TODAY()&gt;O23,"Active – plan went ahead","Decision pending – "&amp;NETWORKDAYS(TODAY(),O23)&amp;" working day(s) left"))))))</f>
        <v/>
      </c>
      <c r="R23" s="17"/>
      <c r="S23" s="17"/>
      <c r="T23" s="50"/>
      <c r="U23" s="40"/>
      <c r="V23" s="40"/>
      <c r="W23" s="45" t="str">
        <f aca="false">IF(V23="","",EDATE(V23,Settings!$S$6))</f>
        <v/>
      </c>
      <c r="X23" s="17"/>
      <c r="Y23" s="17"/>
      <c r="Z23" s="17"/>
    </row>
    <row r="24" customFormat="false" ht="15" hidden="false" customHeight="false" outlineLevel="0" collapsed="false">
      <c r="A24" s="17"/>
      <c r="B24" s="17"/>
      <c r="C24" s="17"/>
      <c r="D24" s="17"/>
      <c r="E24" s="42"/>
      <c r="F24" s="17"/>
      <c r="G24" s="17"/>
      <c r="H24" s="17"/>
      <c r="I24" s="49" t="str">
        <f aca="false">IF(H24="","",IFERROR(INDEX(Settings!$G$2:$G$4,MATCH(H24,Settings!$F$2:$F$4,0)),""))</f>
        <v/>
      </c>
      <c r="J24" s="40"/>
      <c r="K24" s="50"/>
      <c r="L24" s="17"/>
      <c r="M24" s="40"/>
      <c r="N24" s="40"/>
      <c r="O24" s="45" t="str">
        <f aca="false">IF(N24="","",WORKDAY(N24,Settings!$S$4))</f>
        <v/>
      </c>
      <c r="P24" s="17"/>
      <c r="Q24" s="44" t="str">
        <f aca="true">IF(C24="","",IF(P24="Backed out",IF(S24="Paid","Refunded – closed",IF(R24="","Refund – log reason first","Refund in progress")),IF(K24="","Awaiting payment",IF(N24="",IF(M24="","Schedule free video","Free video in production"),IF(P24="Approved","Active",IF(TODAY()&gt;O24,"Active – plan went ahead","Decision pending – "&amp;NETWORKDAYS(TODAY(),O24)&amp;" working day(s) left"))))))</f>
        <v/>
      </c>
      <c r="R24" s="17"/>
      <c r="S24" s="17"/>
      <c r="T24" s="50"/>
      <c r="U24" s="40"/>
      <c r="V24" s="40"/>
      <c r="W24" s="45" t="str">
        <f aca="false">IF(V24="","",EDATE(V24,Settings!$S$6))</f>
        <v/>
      </c>
      <c r="X24" s="17"/>
      <c r="Y24" s="17"/>
      <c r="Z24" s="17"/>
    </row>
    <row r="25" customFormat="false" ht="15" hidden="false" customHeight="false" outlineLevel="0" collapsed="false">
      <c r="A25" s="17"/>
      <c r="B25" s="17"/>
      <c r="C25" s="17"/>
      <c r="D25" s="17"/>
      <c r="E25" s="42"/>
      <c r="F25" s="17"/>
      <c r="G25" s="17"/>
      <c r="H25" s="17"/>
      <c r="I25" s="49" t="str">
        <f aca="false">IF(H25="","",IFERROR(INDEX(Settings!$G$2:$G$4,MATCH(H25,Settings!$F$2:$F$4,0)),""))</f>
        <v/>
      </c>
      <c r="J25" s="40"/>
      <c r="K25" s="50"/>
      <c r="L25" s="17"/>
      <c r="M25" s="40"/>
      <c r="N25" s="40"/>
      <c r="O25" s="45" t="str">
        <f aca="false">IF(N25="","",WORKDAY(N25,Settings!$S$4))</f>
        <v/>
      </c>
      <c r="P25" s="17"/>
      <c r="Q25" s="44" t="str">
        <f aca="true">IF(C25="","",IF(P25="Backed out",IF(S25="Paid","Refunded – closed",IF(R25="","Refund – log reason first","Refund in progress")),IF(K25="","Awaiting payment",IF(N25="",IF(M25="","Schedule free video","Free video in production"),IF(P25="Approved","Active",IF(TODAY()&gt;O25,"Active – plan went ahead","Decision pending – "&amp;NETWORKDAYS(TODAY(),O25)&amp;" working day(s) left"))))))</f>
        <v/>
      </c>
      <c r="R25" s="17"/>
      <c r="S25" s="17"/>
      <c r="T25" s="50"/>
      <c r="U25" s="40"/>
      <c r="V25" s="40"/>
      <c r="W25" s="45" t="str">
        <f aca="false">IF(V25="","",EDATE(V25,Settings!$S$6))</f>
        <v/>
      </c>
      <c r="X25" s="17"/>
      <c r="Y25" s="17"/>
      <c r="Z25" s="17"/>
    </row>
    <row r="26" customFormat="false" ht="15" hidden="false" customHeight="false" outlineLevel="0" collapsed="false">
      <c r="A26" s="17"/>
      <c r="B26" s="17"/>
      <c r="C26" s="17"/>
      <c r="D26" s="17"/>
      <c r="E26" s="42"/>
      <c r="F26" s="17"/>
      <c r="G26" s="17"/>
      <c r="H26" s="17"/>
      <c r="I26" s="49" t="str">
        <f aca="false">IF(H26="","",IFERROR(INDEX(Settings!$G$2:$G$4,MATCH(H26,Settings!$F$2:$F$4,0)),""))</f>
        <v/>
      </c>
      <c r="J26" s="40"/>
      <c r="K26" s="50"/>
      <c r="L26" s="17"/>
      <c r="M26" s="40"/>
      <c r="N26" s="40"/>
      <c r="O26" s="45" t="str">
        <f aca="false">IF(N26="","",WORKDAY(N26,Settings!$S$4))</f>
        <v/>
      </c>
      <c r="P26" s="17"/>
      <c r="Q26" s="44" t="str">
        <f aca="true">IF(C26="","",IF(P26="Backed out",IF(S26="Paid","Refunded – closed",IF(R26="","Refund – log reason first","Refund in progress")),IF(K26="","Awaiting payment",IF(N26="",IF(M26="","Schedule free video","Free video in production"),IF(P26="Approved","Active",IF(TODAY()&gt;O26,"Active – plan went ahead","Decision pending – "&amp;NETWORKDAYS(TODAY(),O26)&amp;" working day(s) left"))))))</f>
        <v/>
      </c>
      <c r="R26" s="17"/>
      <c r="S26" s="17"/>
      <c r="T26" s="50"/>
      <c r="U26" s="40"/>
      <c r="V26" s="40"/>
      <c r="W26" s="45" t="str">
        <f aca="false">IF(V26="","",EDATE(V26,Settings!$S$6))</f>
        <v/>
      </c>
      <c r="X26" s="17"/>
      <c r="Y26" s="17"/>
      <c r="Z26" s="17"/>
    </row>
    <row r="27" customFormat="false" ht="15" hidden="false" customHeight="false" outlineLevel="0" collapsed="false">
      <c r="A27" s="17"/>
      <c r="B27" s="17"/>
      <c r="C27" s="17"/>
      <c r="D27" s="17"/>
      <c r="E27" s="42"/>
      <c r="F27" s="17"/>
      <c r="G27" s="17"/>
      <c r="H27" s="17"/>
      <c r="I27" s="49" t="str">
        <f aca="false">IF(H27="","",IFERROR(INDEX(Settings!$G$2:$G$4,MATCH(H27,Settings!$F$2:$F$4,0)),""))</f>
        <v/>
      </c>
      <c r="J27" s="40"/>
      <c r="K27" s="50"/>
      <c r="L27" s="17"/>
      <c r="M27" s="40"/>
      <c r="N27" s="40"/>
      <c r="O27" s="45" t="str">
        <f aca="false">IF(N27="","",WORKDAY(N27,Settings!$S$4))</f>
        <v/>
      </c>
      <c r="P27" s="17"/>
      <c r="Q27" s="44" t="str">
        <f aca="true">IF(C27="","",IF(P27="Backed out",IF(S27="Paid","Refunded – closed",IF(R27="","Refund – log reason first","Refund in progress")),IF(K27="","Awaiting payment",IF(N27="",IF(M27="","Schedule free video","Free video in production"),IF(P27="Approved","Active",IF(TODAY()&gt;O27,"Active – plan went ahead","Decision pending – "&amp;NETWORKDAYS(TODAY(),O27)&amp;" working day(s) left"))))))</f>
        <v/>
      </c>
      <c r="R27" s="17"/>
      <c r="S27" s="17"/>
      <c r="T27" s="50"/>
      <c r="U27" s="40"/>
      <c r="V27" s="40"/>
      <c r="W27" s="45" t="str">
        <f aca="false">IF(V27="","",EDATE(V27,Settings!$S$6))</f>
        <v/>
      </c>
      <c r="X27" s="17"/>
      <c r="Y27" s="17"/>
      <c r="Z27" s="17"/>
    </row>
    <row r="28" customFormat="false" ht="15" hidden="false" customHeight="false" outlineLevel="0" collapsed="false">
      <c r="A28" s="17"/>
      <c r="B28" s="17"/>
      <c r="C28" s="17"/>
      <c r="D28" s="17"/>
      <c r="E28" s="42"/>
      <c r="F28" s="17"/>
      <c r="G28" s="17"/>
      <c r="H28" s="17"/>
      <c r="I28" s="49" t="str">
        <f aca="false">IF(H28="","",IFERROR(INDEX(Settings!$G$2:$G$4,MATCH(H28,Settings!$F$2:$F$4,0)),""))</f>
        <v/>
      </c>
      <c r="J28" s="40"/>
      <c r="K28" s="50"/>
      <c r="L28" s="17"/>
      <c r="M28" s="40"/>
      <c r="N28" s="40"/>
      <c r="O28" s="45" t="str">
        <f aca="false">IF(N28="","",WORKDAY(N28,Settings!$S$4))</f>
        <v/>
      </c>
      <c r="P28" s="17"/>
      <c r="Q28" s="44" t="str">
        <f aca="true">IF(C28="","",IF(P28="Backed out",IF(S28="Paid","Refunded – closed",IF(R28="","Refund – log reason first","Refund in progress")),IF(K28="","Awaiting payment",IF(N28="",IF(M28="","Schedule free video","Free video in production"),IF(P28="Approved","Active",IF(TODAY()&gt;O28,"Active – plan went ahead","Decision pending – "&amp;NETWORKDAYS(TODAY(),O28)&amp;" working day(s) left"))))))</f>
        <v/>
      </c>
      <c r="R28" s="17"/>
      <c r="S28" s="17"/>
      <c r="T28" s="50"/>
      <c r="U28" s="40"/>
      <c r="V28" s="40"/>
      <c r="W28" s="45" t="str">
        <f aca="false">IF(V28="","",EDATE(V28,Settings!$S$6))</f>
        <v/>
      </c>
      <c r="X28" s="17"/>
      <c r="Y28" s="17"/>
      <c r="Z28" s="17"/>
    </row>
    <row r="29" customFormat="false" ht="15" hidden="false" customHeight="false" outlineLevel="0" collapsed="false">
      <c r="A29" s="17"/>
      <c r="B29" s="17"/>
      <c r="C29" s="17"/>
      <c r="D29" s="17"/>
      <c r="E29" s="42"/>
      <c r="F29" s="17"/>
      <c r="G29" s="17"/>
      <c r="H29" s="17"/>
      <c r="I29" s="49" t="str">
        <f aca="false">IF(H29="","",IFERROR(INDEX(Settings!$G$2:$G$4,MATCH(H29,Settings!$F$2:$F$4,0)),""))</f>
        <v/>
      </c>
      <c r="J29" s="40"/>
      <c r="K29" s="50"/>
      <c r="L29" s="17"/>
      <c r="M29" s="40"/>
      <c r="N29" s="40"/>
      <c r="O29" s="45" t="str">
        <f aca="false">IF(N29="","",WORKDAY(N29,Settings!$S$4))</f>
        <v/>
      </c>
      <c r="P29" s="17"/>
      <c r="Q29" s="44" t="str">
        <f aca="true">IF(C29="","",IF(P29="Backed out",IF(S29="Paid","Refunded – closed",IF(R29="","Refund – log reason first","Refund in progress")),IF(K29="","Awaiting payment",IF(N29="",IF(M29="","Schedule free video","Free video in production"),IF(P29="Approved","Active",IF(TODAY()&gt;O29,"Active – plan went ahead","Decision pending – "&amp;NETWORKDAYS(TODAY(),O29)&amp;" working day(s) left"))))))</f>
        <v/>
      </c>
      <c r="R29" s="17"/>
      <c r="S29" s="17"/>
      <c r="T29" s="50"/>
      <c r="U29" s="40"/>
      <c r="V29" s="40"/>
      <c r="W29" s="45" t="str">
        <f aca="false">IF(V29="","",EDATE(V29,Settings!$S$6))</f>
        <v/>
      </c>
      <c r="X29" s="17"/>
      <c r="Y29" s="17"/>
      <c r="Z29" s="17"/>
    </row>
    <row r="30" customFormat="false" ht="15" hidden="false" customHeight="false" outlineLevel="0" collapsed="false">
      <c r="A30" s="17"/>
      <c r="B30" s="17"/>
      <c r="C30" s="17"/>
      <c r="D30" s="17"/>
      <c r="E30" s="42"/>
      <c r="F30" s="17"/>
      <c r="G30" s="17"/>
      <c r="H30" s="17"/>
      <c r="I30" s="49" t="str">
        <f aca="false">IF(H30="","",IFERROR(INDEX(Settings!$G$2:$G$4,MATCH(H30,Settings!$F$2:$F$4,0)),""))</f>
        <v/>
      </c>
      <c r="J30" s="40"/>
      <c r="K30" s="50"/>
      <c r="L30" s="17"/>
      <c r="M30" s="40"/>
      <c r="N30" s="40"/>
      <c r="O30" s="45" t="str">
        <f aca="false">IF(N30="","",WORKDAY(N30,Settings!$S$4))</f>
        <v/>
      </c>
      <c r="P30" s="17"/>
      <c r="Q30" s="44" t="str">
        <f aca="true">IF(C30="","",IF(P30="Backed out",IF(S30="Paid","Refunded – closed",IF(R30="","Refund – log reason first","Refund in progress")),IF(K30="","Awaiting payment",IF(N30="",IF(M30="","Schedule free video","Free video in production"),IF(P30="Approved","Active",IF(TODAY()&gt;O30,"Active – plan went ahead","Decision pending – "&amp;NETWORKDAYS(TODAY(),O30)&amp;" working day(s) left"))))))</f>
        <v/>
      </c>
      <c r="R30" s="17"/>
      <c r="S30" s="17"/>
      <c r="T30" s="50"/>
      <c r="U30" s="40"/>
      <c r="V30" s="40"/>
      <c r="W30" s="45" t="str">
        <f aca="false">IF(V30="","",EDATE(V30,Settings!$S$6))</f>
        <v/>
      </c>
      <c r="X30" s="17"/>
      <c r="Y30" s="17"/>
      <c r="Z30" s="17"/>
    </row>
    <row r="31" customFormat="false" ht="15" hidden="false" customHeight="false" outlineLevel="0" collapsed="false">
      <c r="A31" s="17"/>
      <c r="B31" s="17"/>
      <c r="C31" s="17"/>
      <c r="D31" s="17"/>
      <c r="E31" s="42"/>
      <c r="F31" s="17"/>
      <c r="G31" s="17"/>
      <c r="H31" s="17"/>
      <c r="I31" s="49" t="str">
        <f aca="false">IF(H31="","",IFERROR(INDEX(Settings!$G$2:$G$4,MATCH(H31,Settings!$F$2:$F$4,0)),""))</f>
        <v/>
      </c>
      <c r="J31" s="40"/>
      <c r="K31" s="50"/>
      <c r="L31" s="17"/>
      <c r="M31" s="40"/>
      <c r="N31" s="40"/>
      <c r="O31" s="45" t="str">
        <f aca="false">IF(N31="","",WORKDAY(N31,Settings!$S$4))</f>
        <v/>
      </c>
      <c r="P31" s="17"/>
      <c r="Q31" s="44" t="str">
        <f aca="true">IF(C31="","",IF(P31="Backed out",IF(S31="Paid","Refunded – closed",IF(R31="","Refund – log reason first","Refund in progress")),IF(K31="","Awaiting payment",IF(N31="",IF(M31="","Schedule free video","Free video in production"),IF(P31="Approved","Active",IF(TODAY()&gt;O31,"Active – plan went ahead","Decision pending – "&amp;NETWORKDAYS(TODAY(),O31)&amp;" working day(s) left"))))))</f>
        <v/>
      </c>
      <c r="R31" s="17"/>
      <c r="S31" s="17"/>
      <c r="T31" s="50"/>
      <c r="U31" s="40"/>
      <c r="V31" s="40"/>
      <c r="W31" s="45" t="str">
        <f aca="false">IF(V31="","",EDATE(V31,Settings!$S$6))</f>
        <v/>
      </c>
      <c r="X31" s="17"/>
      <c r="Y31" s="17"/>
      <c r="Z31" s="17"/>
    </row>
    <row r="32" customFormat="false" ht="15" hidden="false" customHeight="false" outlineLevel="0" collapsed="false">
      <c r="A32" s="17"/>
      <c r="B32" s="17"/>
      <c r="C32" s="17"/>
      <c r="D32" s="17"/>
      <c r="E32" s="42"/>
      <c r="F32" s="17"/>
      <c r="G32" s="17"/>
      <c r="H32" s="17"/>
      <c r="I32" s="49" t="str">
        <f aca="false">IF(H32="","",IFERROR(INDEX(Settings!$G$2:$G$4,MATCH(H32,Settings!$F$2:$F$4,0)),""))</f>
        <v/>
      </c>
      <c r="J32" s="40"/>
      <c r="K32" s="50"/>
      <c r="L32" s="17"/>
      <c r="M32" s="40"/>
      <c r="N32" s="40"/>
      <c r="O32" s="45" t="str">
        <f aca="false">IF(N32="","",WORKDAY(N32,Settings!$S$4))</f>
        <v/>
      </c>
      <c r="P32" s="17"/>
      <c r="Q32" s="44" t="str">
        <f aca="true">IF(C32="","",IF(P32="Backed out",IF(S32="Paid","Refunded – closed",IF(R32="","Refund – log reason first","Refund in progress")),IF(K32="","Awaiting payment",IF(N32="",IF(M32="","Schedule free video","Free video in production"),IF(P32="Approved","Active",IF(TODAY()&gt;O32,"Active – plan went ahead","Decision pending – "&amp;NETWORKDAYS(TODAY(),O32)&amp;" working day(s) left"))))))</f>
        <v/>
      </c>
      <c r="R32" s="17"/>
      <c r="S32" s="17"/>
      <c r="T32" s="50"/>
      <c r="U32" s="40"/>
      <c r="V32" s="40"/>
      <c r="W32" s="45" t="str">
        <f aca="false">IF(V32="","",EDATE(V32,Settings!$S$6))</f>
        <v/>
      </c>
      <c r="X32" s="17"/>
      <c r="Y32" s="17"/>
      <c r="Z32" s="17"/>
    </row>
    <row r="33" customFormat="false" ht="15" hidden="false" customHeight="false" outlineLevel="0" collapsed="false">
      <c r="A33" s="17"/>
      <c r="B33" s="17"/>
      <c r="C33" s="17"/>
      <c r="D33" s="17"/>
      <c r="E33" s="42"/>
      <c r="F33" s="17"/>
      <c r="G33" s="17"/>
      <c r="H33" s="17"/>
      <c r="I33" s="49" t="str">
        <f aca="false">IF(H33="","",IFERROR(INDEX(Settings!$G$2:$G$4,MATCH(H33,Settings!$F$2:$F$4,0)),""))</f>
        <v/>
      </c>
      <c r="J33" s="40"/>
      <c r="K33" s="50"/>
      <c r="L33" s="17"/>
      <c r="M33" s="40"/>
      <c r="N33" s="40"/>
      <c r="O33" s="45" t="str">
        <f aca="false">IF(N33="","",WORKDAY(N33,Settings!$S$4))</f>
        <v/>
      </c>
      <c r="P33" s="17"/>
      <c r="Q33" s="44" t="str">
        <f aca="true">IF(C33="","",IF(P33="Backed out",IF(S33="Paid","Refunded – closed",IF(R33="","Refund – log reason first","Refund in progress")),IF(K33="","Awaiting payment",IF(N33="",IF(M33="","Schedule free video","Free video in production"),IF(P33="Approved","Active",IF(TODAY()&gt;O33,"Active – plan went ahead","Decision pending – "&amp;NETWORKDAYS(TODAY(),O33)&amp;" working day(s) left"))))))</f>
        <v/>
      </c>
      <c r="R33" s="17"/>
      <c r="S33" s="17"/>
      <c r="T33" s="50"/>
      <c r="U33" s="40"/>
      <c r="V33" s="40"/>
      <c r="W33" s="45" t="str">
        <f aca="false">IF(V33="","",EDATE(V33,Settings!$S$6))</f>
        <v/>
      </c>
      <c r="X33" s="17"/>
      <c r="Y33" s="17"/>
      <c r="Z33" s="17"/>
    </row>
    <row r="34" customFormat="false" ht="15" hidden="false" customHeight="false" outlineLevel="0" collapsed="false">
      <c r="A34" s="17"/>
      <c r="B34" s="17"/>
      <c r="C34" s="17"/>
      <c r="D34" s="17"/>
      <c r="E34" s="42"/>
      <c r="F34" s="17"/>
      <c r="G34" s="17"/>
      <c r="H34" s="17"/>
      <c r="I34" s="49" t="str">
        <f aca="false">IF(H34="","",IFERROR(INDEX(Settings!$G$2:$G$4,MATCH(H34,Settings!$F$2:$F$4,0)),""))</f>
        <v/>
      </c>
      <c r="J34" s="40"/>
      <c r="K34" s="50"/>
      <c r="L34" s="17"/>
      <c r="M34" s="40"/>
      <c r="N34" s="40"/>
      <c r="O34" s="45" t="str">
        <f aca="false">IF(N34="","",WORKDAY(N34,Settings!$S$4))</f>
        <v/>
      </c>
      <c r="P34" s="17"/>
      <c r="Q34" s="44" t="str">
        <f aca="true">IF(C34="","",IF(P34="Backed out",IF(S34="Paid","Refunded – closed",IF(R34="","Refund – log reason first","Refund in progress")),IF(K34="","Awaiting payment",IF(N34="",IF(M34="","Schedule free video","Free video in production"),IF(P34="Approved","Active",IF(TODAY()&gt;O34,"Active – plan went ahead","Decision pending – "&amp;NETWORKDAYS(TODAY(),O34)&amp;" working day(s) left"))))))</f>
        <v/>
      </c>
      <c r="R34" s="17"/>
      <c r="S34" s="17"/>
      <c r="T34" s="50"/>
      <c r="U34" s="40"/>
      <c r="V34" s="40"/>
      <c r="W34" s="45" t="str">
        <f aca="false">IF(V34="","",EDATE(V34,Settings!$S$6))</f>
        <v/>
      </c>
      <c r="X34" s="17"/>
      <c r="Y34" s="17"/>
      <c r="Z34" s="17"/>
    </row>
    <row r="35" customFormat="false" ht="15" hidden="false" customHeight="false" outlineLevel="0" collapsed="false">
      <c r="A35" s="17"/>
      <c r="B35" s="17"/>
      <c r="C35" s="17"/>
      <c r="D35" s="17"/>
      <c r="E35" s="42"/>
      <c r="F35" s="17"/>
      <c r="G35" s="17"/>
      <c r="H35" s="17"/>
      <c r="I35" s="49" t="str">
        <f aca="false">IF(H35="","",IFERROR(INDEX(Settings!$G$2:$G$4,MATCH(H35,Settings!$F$2:$F$4,0)),""))</f>
        <v/>
      </c>
      <c r="J35" s="40"/>
      <c r="K35" s="50"/>
      <c r="L35" s="17"/>
      <c r="M35" s="40"/>
      <c r="N35" s="40"/>
      <c r="O35" s="45" t="str">
        <f aca="false">IF(N35="","",WORKDAY(N35,Settings!$S$4))</f>
        <v/>
      </c>
      <c r="P35" s="17"/>
      <c r="Q35" s="44" t="str">
        <f aca="true">IF(C35="","",IF(P35="Backed out",IF(S35="Paid","Refunded – closed",IF(R35="","Refund – log reason first","Refund in progress")),IF(K35="","Awaiting payment",IF(N35="",IF(M35="","Schedule free video","Free video in production"),IF(P35="Approved","Active",IF(TODAY()&gt;O35,"Active – plan went ahead","Decision pending – "&amp;NETWORKDAYS(TODAY(),O35)&amp;" working day(s) left"))))))</f>
        <v/>
      </c>
      <c r="R35" s="17"/>
      <c r="S35" s="17"/>
      <c r="T35" s="50"/>
      <c r="U35" s="40"/>
      <c r="V35" s="40"/>
      <c r="W35" s="45" t="str">
        <f aca="false">IF(V35="","",EDATE(V35,Settings!$S$6))</f>
        <v/>
      </c>
      <c r="X35" s="17"/>
      <c r="Y35" s="17"/>
      <c r="Z35" s="17"/>
    </row>
    <row r="36" customFormat="false" ht="15" hidden="false" customHeight="false" outlineLevel="0" collapsed="false">
      <c r="A36" s="17"/>
      <c r="B36" s="17"/>
      <c r="C36" s="17"/>
      <c r="D36" s="17"/>
      <c r="E36" s="42"/>
      <c r="F36" s="17"/>
      <c r="G36" s="17"/>
      <c r="H36" s="17"/>
      <c r="I36" s="49" t="str">
        <f aca="false">IF(H36="","",IFERROR(INDEX(Settings!$G$2:$G$4,MATCH(H36,Settings!$F$2:$F$4,0)),""))</f>
        <v/>
      </c>
      <c r="J36" s="40"/>
      <c r="K36" s="50"/>
      <c r="L36" s="17"/>
      <c r="M36" s="40"/>
      <c r="N36" s="40"/>
      <c r="O36" s="45" t="str">
        <f aca="false">IF(N36="","",WORKDAY(N36,Settings!$S$4))</f>
        <v/>
      </c>
      <c r="P36" s="17"/>
      <c r="Q36" s="44" t="str">
        <f aca="true">IF(C36="","",IF(P36="Backed out",IF(S36="Paid","Refunded – closed",IF(R36="","Refund – log reason first","Refund in progress")),IF(K36="","Awaiting payment",IF(N36="",IF(M36="","Schedule free video","Free video in production"),IF(P36="Approved","Active",IF(TODAY()&gt;O36,"Active – plan went ahead","Decision pending – "&amp;NETWORKDAYS(TODAY(),O36)&amp;" working day(s) left"))))))</f>
        <v/>
      </c>
      <c r="R36" s="17"/>
      <c r="S36" s="17"/>
      <c r="T36" s="50"/>
      <c r="U36" s="40"/>
      <c r="V36" s="40"/>
      <c r="W36" s="45" t="str">
        <f aca="false">IF(V36="","",EDATE(V36,Settings!$S$6))</f>
        <v/>
      </c>
      <c r="X36" s="17"/>
      <c r="Y36" s="17"/>
      <c r="Z36" s="17"/>
    </row>
    <row r="37" customFormat="false" ht="15" hidden="false" customHeight="false" outlineLevel="0" collapsed="false">
      <c r="A37" s="17"/>
      <c r="B37" s="17"/>
      <c r="C37" s="17"/>
      <c r="D37" s="17"/>
      <c r="E37" s="42"/>
      <c r="F37" s="17"/>
      <c r="G37" s="17"/>
      <c r="H37" s="17"/>
      <c r="I37" s="49" t="str">
        <f aca="false">IF(H37="","",IFERROR(INDEX(Settings!$G$2:$G$4,MATCH(H37,Settings!$F$2:$F$4,0)),""))</f>
        <v/>
      </c>
      <c r="J37" s="40"/>
      <c r="K37" s="50"/>
      <c r="L37" s="17"/>
      <c r="M37" s="40"/>
      <c r="N37" s="40"/>
      <c r="O37" s="45" t="str">
        <f aca="false">IF(N37="","",WORKDAY(N37,Settings!$S$4))</f>
        <v/>
      </c>
      <c r="P37" s="17"/>
      <c r="Q37" s="44" t="str">
        <f aca="true">IF(C37="","",IF(P37="Backed out",IF(S37="Paid","Refunded – closed",IF(R37="","Refund – log reason first","Refund in progress")),IF(K37="","Awaiting payment",IF(N37="",IF(M37="","Schedule free video","Free video in production"),IF(P37="Approved","Active",IF(TODAY()&gt;O37,"Active – plan went ahead","Decision pending – "&amp;NETWORKDAYS(TODAY(),O37)&amp;" working day(s) left"))))))</f>
        <v/>
      </c>
      <c r="R37" s="17"/>
      <c r="S37" s="17"/>
      <c r="T37" s="50"/>
      <c r="U37" s="40"/>
      <c r="V37" s="40"/>
      <c r="W37" s="45" t="str">
        <f aca="false">IF(V37="","",EDATE(V37,Settings!$S$6))</f>
        <v/>
      </c>
      <c r="X37" s="17"/>
      <c r="Y37" s="17"/>
      <c r="Z37" s="17"/>
    </row>
    <row r="38" customFormat="false" ht="15" hidden="false" customHeight="false" outlineLevel="0" collapsed="false">
      <c r="A38" s="17"/>
      <c r="B38" s="17"/>
      <c r="C38" s="17"/>
      <c r="D38" s="17"/>
      <c r="E38" s="42"/>
      <c r="F38" s="17"/>
      <c r="G38" s="17"/>
      <c r="H38" s="17"/>
      <c r="I38" s="49" t="str">
        <f aca="false">IF(H38="","",IFERROR(INDEX(Settings!$G$2:$G$4,MATCH(H38,Settings!$F$2:$F$4,0)),""))</f>
        <v/>
      </c>
      <c r="J38" s="40"/>
      <c r="K38" s="50"/>
      <c r="L38" s="17"/>
      <c r="M38" s="40"/>
      <c r="N38" s="40"/>
      <c r="O38" s="45" t="str">
        <f aca="false">IF(N38="","",WORKDAY(N38,Settings!$S$4))</f>
        <v/>
      </c>
      <c r="P38" s="17"/>
      <c r="Q38" s="44" t="str">
        <f aca="true">IF(C38="","",IF(P38="Backed out",IF(S38="Paid","Refunded – closed",IF(R38="","Refund – log reason first","Refund in progress")),IF(K38="","Awaiting payment",IF(N38="",IF(M38="","Schedule free video","Free video in production"),IF(P38="Approved","Active",IF(TODAY()&gt;O38,"Active – plan went ahead","Decision pending – "&amp;NETWORKDAYS(TODAY(),O38)&amp;" working day(s) left"))))))</f>
        <v/>
      </c>
      <c r="R38" s="17"/>
      <c r="S38" s="17"/>
      <c r="T38" s="50"/>
      <c r="U38" s="40"/>
      <c r="V38" s="40"/>
      <c r="W38" s="45" t="str">
        <f aca="false">IF(V38="","",EDATE(V38,Settings!$S$6))</f>
        <v/>
      </c>
      <c r="X38" s="17"/>
      <c r="Y38" s="17"/>
      <c r="Z38" s="17"/>
    </row>
    <row r="39" customFormat="false" ht="15" hidden="false" customHeight="false" outlineLevel="0" collapsed="false">
      <c r="A39" s="17"/>
      <c r="B39" s="17"/>
      <c r="C39" s="17"/>
      <c r="D39" s="17"/>
      <c r="E39" s="42"/>
      <c r="F39" s="17"/>
      <c r="G39" s="17"/>
      <c r="H39" s="17"/>
      <c r="I39" s="49" t="str">
        <f aca="false">IF(H39="","",IFERROR(INDEX(Settings!$G$2:$G$4,MATCH(H39,Settings!$F$2:$F$4,0)),""))</f>
        <v/>
      </c>
      <c r="J39" s="40"/>
      <c r="K39" s="50"/>
      <c r="L39" s="17"/>
      <c r="M39" s="40"/>
      <c r="N39" s="40"/>
      <c r="O39" s="45" t="str">
        <f aca="false">IF(N39="","",WORKDAY(N39,Settings!$S$4))</f>
        <v/>
      </c>
      <c r="P39" s="17"/>
      <c r="Q39" s="44" t="str">
        <f aca="true">IF(C39="","",IF(P39="Backed out",IF(S39="Paid","Refunded – closed",IF(R39="","Refund – log reason first","Refund in progress")),IF(K39="","Awaiting payment",IF(N39="",IF(M39="","Schedule free video","Free video in production"),IF(P39="Approved","Active",IF(TODAY()&gt;O39,"Active – plan went ahead","Decision pending – "&amp;NETWORKDAYS(TODAY(),O39)&amp;" working day(s) left"))))))</f>
        <v/>
      </c>
      <c r="R39" s="17"/>
      <c r="S39" s="17"/>
      <c r="T39" s="50"/>
      <c r="U39" s="40"/>
      <c r="V39" s="40"/>
      <c r="W39" s="45" t="str">
        <f aca="false">IF(V39="","",EDATE(V39,Settings!$S$6))</f>
        <v/>
      </c>
      <c r="X39" s="17"/>
      <c r="Y39" s="17"/>
      <c r="Z39" s="17"/>
    </row>
    <row r="40" customFormat="false" ht="15" hidden="false" customHeight="false" outlineLevel="0" collapsed="false">
      <c r="A40" s="17"/>
      <c r="B40" s="17"/>
      <c r="C40" s="17"/>
      <c r="D40" s="17"/>
      <c r="E40" s="42"/>
      <c r="F40" s="17"/>
      <c r="G40" s="17"/>
      <c r="H40" s="17"/>
      <c r="I40" s="49" t="str">
        <f aca="false">IF(H40="","",IFERROR(INDEX(Settings!$G$2:$G$4,MATCH(H40,Settings!$F$2:$F$4,0)),""))</f>
        <v/>
      </c>
      <c r="J40" s="40"/>
      <c r="K40" s="50"/>
      <c r="L40" s="17"/>
      <c r="M40" s="40"/>
      <c r="N40" s="40"/>
      <c r="O40" s="45" t="str">
        <f aca="false">IF(N40="","",WORKDAY(N40,Settings!$S$4))</f>
        <v/>
      </c>
      <c r="P40" s="17"/>
      <c r="Q40" s="44" t="str">
        <f aca="true">IF(C40="","",IF(P40="Backed out",IF(S40="Paid","Refunded – closed",IF(R40="","Refund – log reason first","Refund in progress")),IF(K40="","Awaiting payment",IF(N40="",IF(M40="","Schedule free video","Free video in production"),IF(P40="Approved","Active",IF(TODAY()&gt;O40,"Active – plan went ahead","Decision pending – "&amp;NETWORKDAYS(TODAY(),O40)&amp;" working day(s) left"))))))</f>
        <v/>
      </c>
      <c r="R40" s="17"/>
      <c r="S40" s="17"/>
      <c r="T40" s="50"/>
      <c r="U40" s="40"/>
      <c r="V40" s="40"/>
      <c r="W40" s="45" t="str">
        <f aca="false">IF(V40="","",EDATE(V40,Settings!$S$6))</f>
        <v/>
      </c>
      <c r="X40" s="17"/>
      <c r="Y40" s="17"/>
      <c r="Z40" s="17"/>
    </row>
    <row r="41" customFormat="false" ht="15" hidden="false" customHeight="false" outlineLevel="0" collapsed="false">
      <c r="A41" s="17"/>
      <c r="B41" s="17"/>
      <c r="C41" s="17"/>
      <c r="D41" s="17"/>
      <c r="E41" s="42"/>
      <c r="F41" s="17"/>
      <c r="G41" s="17"/>
      <c r="H41" s="17"/>
      <c r="I41" s="49" t="str">
        <f aca="false">IF(H41="","",IFERROR(INDEX(Settings!$G$2:$G$4,MATCH(H41,Settings!$F$2:$F$4,0)),""))</f>
        <v/>
      </c>
      <c r="J41" s="40"/>
      <c r="K41" s="50"/>
      <c r="L41" s="17"/>
      <c r="M41" s="40"/>
      <c r="N41" s="40"/>
      <c r="O41" s="45" t="str">
        <f aca="false">IF(N41="","",WORKDAY(N41,Settings!$S$4))</f>
        <v/>
      </c>
      <c r="P41" s="17"/>
      <c r="Q41" s="44" t="str">
        <f aca="true">IF(C41="","",IF(P41="Backed out",IF(S41="Paid","Refunded – closed",IF(R41="","Refund – log reason first","Refund in progress")),IF(K41="","Awaiting payment",IF(N41="",IF(M41="","Schedule free video","Free video in production"),IF(P41="Approved","Active",IF(TODAY()&gt;O41,"Active – plan went ahead","Decision pending – "&amp;NETWORKDAYS(TODAY(),O41)&amp;" working day(s) left"))))))</f>
        <v/>
      </c>
      <c r="R41" s="17"/>
      <c r="S41" s="17"/>
      <c r="T41" s="50"/>
      <c r="U41" s="40"/>
      <c r="V41" s="40"/>
      <c r="W41" s="45" t="str">
        <f aca="false">IF(V41="","",EDATE(V41,Settings!$S$6))</f>
        <v/>
      </c>
      <c r="X41" s="17"/>
      <c r="Y41" s="17"/>
      <c r="Z41" s="17"/>
    </row>
    <row r="42" customFormat="false" ht="15" hidden="false" customHeight="false" outlineLevel="0" collapsed="false">
      <c r="A42" s="17"/>
      <c r="B42" s="17"/>
      <c r="C42" s="17"/>
      <c r="D42" s="17"/>
      <c r="E42" s="42"/>
      <c r="F42" s="17"/>
      <c r="G42" s="17"/>
      <c r="H42" s="17"/>
      <c r="I42" s="49" t="str">
        <f aca="false">IF(H42="","",IFERROR(INDEX(Settings!$G$2:$G$4,MATCH(H42,Settings!$F$2:$F$4,0)),""))</f>
        <v/>
      </c>
      <c r="J42" s="40"/>
      <c r="K42" s="50"/>
      <c r="L42" s="17"/>
      <c r="M42" s="40"/>
      <c r="N42" s="40"/>
      <c r="O42" s="45" t="str">
        <f aca="false">IF(N42="","",WORKDAY(N42,Settings!$S$4))</f>
        <v/>
      </c>
      <c r="P42" s="17"/>
      <c r="Q42" s="44" t="str">
        <f aca="true">IF(C42="","",IF(P42="Backed out",IF(S42="Paid","Refunded – closed",IF(R42="","Refund – log reason first","Refund in progress")),IF(K42="","Awaiting payment",IF(N42="",IF(M42="","Schedule free video","Free video in production"),IF(P42="Approved","Active",IF(TODAY()&gt;O42,"Active – plan went ahead","Decision pending – "&amp;NETWORKDAYS(TODAY(),O42)&amp;" working day(s) left"))))))</f>
        <v/>
      </c>
      <c r="R42" s="17"/>
      <c r="S42" s="17"/>
      <c r="T42" s="50"/>
      <c r="U42" s="40"/>
      <c r="V42" s="40"/>
      <c r="W42" s="45" t="str">
        <f aca="false">IF(V42="","",EDATE(V42,Settings!$S$6))</f>
        <v/>
      </c>
      <c r="X42" s="17"/>
      <c r="Y42" s="17"/>
      <c r="Z42" s="17"/>
    </row>
    <row r="43" customFormat="false" ht="15" hidden="false" customHeight="false" outlineLevel="0" collapsed="false">
      <c r="A43" s="17"/>
      <c r="B43" s="17"/>
      <c r="C43" s="17"/>
      <c r="D43" s="17"/>
      <c r="E43" s="42"/>
      <c r="F43" s="17"/>
      <c r="G43" s="17"/>
      <c r="H43" s="17"/>
      <c r="I43" s="49" t="str">
        <f aca="false">IF(H43="","",IFERROR(INDEX(Settings!$G$2:$G$4,MATCH(H43,Settings!$F$2:$F$4,0)),""))</f>
        <v/>
      </c>
      <c r="J43" s="40"/>
      <c r="K43" s="50"/>
      <c r="L43" s="17"/>
      <c r="M43" s="40"/>
      <c r="N43" s="40"/>
      <c r="O43" s="45" t="str">
        <f aca="false">IF(N43="","",WORKDAY(N43,Settings!$S$4))</f>
        <v/>
      </c>
      <c r="P43" s="17"/>
      <c r="Q43" s="44" t="str">
        <f aca="true">IF(C43="","",IF(P43="Backed out",IF(S43="Paid","Refunded – closed",IF(R43="","Refund – log reason first","Refund in progress")),IF(K43="","Awaiting payment",IF(N43="",IF(M43="","Schedule free video","Free video in production"),IF(P43="Approved","Active",IF(TODAY()&gt;O43,"Active – plan went ahead","Decision pending – "&amp;NETWORKDAYS(TODAY(),O43)&amp;" working day(s) left"))))))</f>
        <v/>
      </c>
      <c r="R43" s="17"/>
      <c r="S43" s="17"/>
      <c r="T43" s="50"/>
      <c r="U43" s="40"/>
      <c r="V43" s="40"/>
      <c r="W43" s="45" t="str">
        <f aca="false">IF(V43="","",EDATE(V43,Settings!$S$6))</f>
        <v/>
      </c>
      <c r="X43" s="17"/>
      <c r="Y43" s="17"/>
      <c r="Z43" s="17"/>
    </row>
    <row r="44" customFormat="false" ht="15" hidden="false" customHeight="false" outlineLevel="0" collapsed="false">
      <c r="A44" s="17"/>
      <c r="B44" s="17"/>
      <c r="C44" s="17"/>
      <c r="D44" s="17"/>
      <c r="E44" s="42"/>
      <c r="F44" s="17"/>
      <c r="G44" s="17"/>
      <c r="H44" s="17"/>
      <c r="I44" s="49" t="str">
        <f aca="false">IF(H44="","",IFERROR(INDEX(Settings!$G$2:$G$4,MATCH(H44,Settings!$F$2:$F$4,0)),""))</f>
        <v/>
      </c>
      <c r="J44" s="40"/>
      <c r="K44" s="50"/>
      <c r="L44" s="17"/>
      <c r="M44" s="40"/>
      <c r="N44" s="40"/>
      <c r="O44" s="45" t="str">
        <f aca="false">IF(N44="","",WORKDAY(N44,Settings!$S$4))</f>
        <v/>
      </c>
      <c r="P44" s="17"/>
      <c r="Q44" s="44" t="str">
        <f aca="true">IF(C44="","",IF(P44="Backed out",IF(S44="Paid","Refunded – closed",IF(R44="","Refund – log reason first","Refund in progress")),IF(K44="","Awaiting payment",IF(N44="",IF(M44="","Schedule free video","Free video in production"),IF(P44="Approved","Active",IF(TODAY()&gt;O44,"Active – plan went ahead","Decision pending – "&amp;NETWORKDAYS(TODAY(),O44)&amp;" working day(s) left"))))))</f>
        <v/>
      </c>
      <c r="R44" s="17"/>
      <c r="S44" s="17"/>
      <c r="T44" s="50"/>
      <c r="U44" s="40"/>
      <c r="V44" s="40"/>
      <c r="W44" s="45" t="str">
        <f aca="false">IF(V44="","",EDATE(V44,Settings!$S$6))</f>
        <v/>
      </c>
      <c r="X44" s="17"/>
      <c r="Y44" s="17"/>
      <c r="Z44" s="17"/>
    </row>
    <row r="45" customFormat="false" ht="15" hidden="false" customHeight="false" outlineLevel="0" collapsed="false">
      <c r="A45" s="17"/>
      <c r="B45" s="17"/>
      <c r="C45" s="17"/>
      <c r="D45" s="17"/>
      <c r="E45" s="42"/>
      <c r="F45" s="17"/>
      <c r="G45" s="17"/>
      <c r="H45" s="17"/>
      <c r="I45" s="49" t="str">
        <f aca="false">IF(H45="","",IFERROR(INDEX(Settings!$G$2:$G$4,MATCH(H45,Settings!$F$2:$F$4,0)),""))</f>
        <v/>
      </c>
      <c r="J45" s="40"/>
      <c r="K45" s="50"/>
      <c r="L45" s="17"/>
      <c r="M45" s="40"/>
      <c r="N45" s="40"/>
      <c r="O45" s="45" t="str">
        <f aca="false">IF(N45="","",WORKDAY(N45,Settings!$S$4))</f>
        <v/>
      </c>
      <c r="P45" s="17"/>
      <c r="Q45" s="44" t="str">
        <f aca="true">IF(C45="","",IF(P45="Backed out",IF(S45="Paid","Refunded – closed",IF(R45="","Refund – log reason first","Refund in progress")),IF(K45="","Awaiting payment",IF(N45="",IF(M45="","Schedule free video","Free video in production"),IF(P45="Approved","Active",IF(TODAY()&gt;O45,"Active – plan went ahead","Decision pending – "&amp;NETWORKDAYS(TODAY(),O45)&amp;" working day(s) left"))))))</f>
        <v/>
      </c>
      <c r="R45" s="17"/>
      <c r="S45" s="17"/>
      <c r="T45" s="50"/>
      <c r="U45" s="40"/>
      <c r="V45" s="40"/>
      <c r="W45" s="45" t="str">
        <f aca="false">IF(V45="","",EDATE(V45,Settings!$S$6))</f>
        <v/>
      </c>
      <c r="X45" s="17"/>
      <c r="Y45" s="17"/>
      <c r="Z45" s="17"/>
    </row>
    <row r="46" customFormat="false" ht="15" hidden="false" customHeight="false" outlineLevel="0" collapsed="false">
      <c r="A46" s="17"/>
      <c r="B46" s="17"/>
      <c r="C46" s="17"/>
      <c r="D46" s="17"/>
      <c r="E46" s="42"/>
      <c r="F46" s="17"/>
      <c r="G46" s="17"/>
      <c r="H46" s="17"/>
      <c r="I46" s="49" t="str">
        <f aca="false">IF(H46="","",IFERROR(INDEX(Settings!$G$2:$G$4,MATCH(H46,Settings!$F$2:$F$4,0)),""))</f>
        <v/>
      </c>
      <c r="J46" s="40"/>
      <c r="K46" s="50"/>
      <c r="L46" s="17"/>
      <c r="M46" s="40"/>
      <c r="N46" s="40"/>
      <c r="O46" s="45" t="str">
        <f aca="false">IF(N46="","",WORKDAY(N46,Settings!$S$4))</f>
        <v/>
      </c>
      <c r="P46" s="17"/>
      <c r="Q46" s="44" t="str">
        <f aca="true">IF(C46="","",IF(P46="Backed out",IF(S46="Paid","Refunded – closed",IF(R46="","Refund – log reason first","Refund in progress")),IF(K46="","Awaiting payment",IF(N46="",IF(M46="","Schedule free video","Free video in production"),IF(P46="Approved","Active",IF(TODAY()&gt;O46,"Active – plan went ahead","Decision pending – "&amp;NETWORKDAYS(TODAY(),O46)&amp;" working day(s) left"))))))</f>
        <v/>
      </c>
      <c r="R46" s="17"/>
      <c r="S46" s="17"/>
      <c r="T46" s="50"/>
      <c r="U46" s="40"/>
      <c r="V46" s="40"/>
      <c r="W46" s="45" t="str">
        <f aca="false">IF(V46="","",EDATE(V46,Settings!$S$6))</f>
        <v/>
      </c>
      <c r="X46" s="17"/>
      <c r="Y46" s="17"/>
      <c r="Z46" s="17"/>
    </row>
    <row r="47" customFormat="false" ht="15" hidden="false" customHeight="false" outlineLevel="0" collapsed="false">
      <c r="A47" s="17"/>
      <c r="B47" s="17"/>
      <c r="C47" s="17"/>
      <c r="D47" s="17"/>
      <c r="E47" s="42"/>
      <c r="F47" s="17"/>
      <c r="G47" s="17"/>
      <c r="H47" s="17"/>
      <c r="I47" s="49" t="str">
        <f aca="false">IF(H47="","",IFERROR(INDEX(Settings!$G$2:$G$4,MATCH(H47,Settings!$F$2:$F$4,0)),""))</f>
        <v/>
      </c>
      <c r="J47" s="40"/>
      <c r="K47" s="50"/>
      <c r="L47" s="17"/>
      <c r="M47" s="40"/>
      <c r="N47" s="40"/>
      <c r="O47" s="45" t="str">
        <f aca="false">IF(N47="","",WORKDAY(N47,Settings!$S$4))</f>
        <v/>
      </c>
      <c r="P47" s="17"/>
      <c r="Q47" s="44" t="str">
        <f aca="true">IF(C47="","",IF(P47="Backed out",IF(S47="Paid","Refunded – closed",IF(R47="","Refund – log reason first","Refund in progress")),IF(K47="","Awaiting payment",IF(N47="",IF(M47="","Schedule free video","Free video in production"),IF(P47="Approved","Active",IF(TODAY()&gt;O47,"Active – plan went ahead","Decision pending – "&amp;NETWORKDAYS(TODAY(),O47)&amp;" working day(s) left"))))))</f>
        <v/>
      </c>
      <c r="R47" s="17"/>
      <c r="S47" s="17"/>
      <c r="T47" s="50"/>
      <c r="U47" s="40"/>
      <c r="V47" s="40"/>
      <c r="W47" s="45" t="str">
        <f aca="false">IF(V47="","",EDATE(V47,Settings!$S$6))</f>
        <v/>
      </c>
      <c r="X47" s="17"/>
      <c r="Y47" s="17"/>
      <c r="Z47" s="17"/>
    </row>
    <row r="48" customFormat="false" ht="15" hidden="false" customHeight="false" outlineLevel="0" collapsed="false">
      <c r="A48" s="17"/>
      <c r="B48" s="17"/>
      <c r="C48" s="17"/>
      <c r="D48" s="17"/>
      <c r="E48" s="42"/>
      <c r="F48" s="17"/>
      <c r="G48" s="17"/>
      <c r="H48" s="17"/>
      <c r="I48" s="49" t="str">
        <f aca="false">IF(H48="","",IFERROR(INDEX(Settings!$G$2:$G$4,MATCH(H48,Settings!$F$2:$F$4,0)),""))</f>
        <v/>
      </c>
      <c r="J48" s="40"/>
      <c r="K48" s="50"/>
      <c r="L48" s="17"/>
      <c r="M48" s="40"/>
      <c r="N48" s="40"/>
      <c r="O48" s="45" t="str">
        <f aca="false">IF(N48="","",WORKDAY(N48,Settings!$S$4))</f>
        <v/>
      </c>
      <c r="P48" s="17"/>
      <c r="Q48" s="44" t="str">
        <f aca="true">IF(C48="","",IF(P48="Backed out",IF(S48="Paid","Refunded – closed",IF(R48="","Refund – log reason first","Refund in progress")),IF(K48="","Awaiting payment",IF(N48="",IF(M48="","Schedule free video","Free video in production"),IF(P48="Approved","Active",IF(TODAY()&gt;O48,"Active – plan went ahead","Decision pending – "&amp;NETWORKDAYS(TODAY(),O48)&amp;" working day(s) left"))))))</f>
        <v/>
      </c>
      <c r="R48" s="17"/>
      <c r="S48" s="17"/>
      <c r="T48" s="50"/>
      <c r="U48" s="40"/>
      <c r="V48" s="40"/>
      <c r="W48" s="45" t="str">
        <f aca="false">IF(V48="","",EDATE(V48,Settings!$S$6))</f>
        <v/>
      </c>
      <c r="X48" s="17"/>
      <c r="Y48" s="17"/>
      <c r="Z48" s="17"/>
    </row>
    <row r="49" customFormat="false" ht="15" hidden="false" customHeight="false" outlineLevel="0" collapsed="false">
      <c r="A49" s="17"/>
      <c r="B49" s="17"/>
      <c r="C49" s="17"/>
      <c r="D49" s="17"/>
      <c r="E49" s="42"/>
      <c r="F49" s="17"/>
      <c r="G49" s="17"/>
      <c r="H49" s="17"/>
      <c r="I49" s="49" t="str">
        <f aca="false">IF(H49="","",IFERROR(INDEX(Settings!$G$2:$G$4,MATCH(H49,Settings!$F$2:$F$4,0)),""))</f>
        <v/>
      </c>
      <c r="J49" s="40"/>
      <c r="K49" s="50"/>
      <c r="L49" s="17"/>
      <c r="M49" s="40"/>
      <c r="N49" s="40"/>
      <c r="O49" s="45" t="str">
        <f aca="false">IF(N49="","",WORKDAY(N49,Settings!$S$4))</f>
        <v/>
      </c>
      <c r="P49" s="17"/>
      <c r="Q49" s="44" t="str">
        <f aca="true">IF(C49="","",IF(P49="Backed out",IF(S49="Paid","Refunded – closed",IF(R49="","Refund – log reason first","Refund in progress")),IF(K49="","Awaiting payment",IF(N49="",IF(M49="","Schedule free video","Free video in production"),IF(P49="Approved","Active",IF(TODAY()&gt;O49,"Active – plan went ahead","Decision pending – "&amp;NETWORKDAYS(TODAY(),O49)&amp;" working day(s) left"))))))</f>
        <v/>
      </c>
      <c r="R49" s="17"/>
      <c r="S49" s="17"/>
      <c r="T49" s="50"/>
      <c r="U49" s="40"/>
      <c r="V49" s="40"/>
      <c r="W49" s="45" t="str">
        <f aca="false">IF(V49="","",EDATE(V49,Settings!$S$6))</f>
        <v/>
      </c>
      <c r="X49" s="17"/>
      <c r="Y49" s="17"/>
      <c r="Z49" s="17"/>
    </row>
    <row r="50" customFormat="false" ht="15" hidden="false" customHeight="false" outlineLevel="0" collapsed="false">
      <c r="A50" s="17"/>
      <c r="B50" s="17"/>
      <c r="C50" s="17"/>
      <c r="D50" s="17"/>
      <c r="E50" s="42"/>
      <c r="F50" s="17"/>
      <c r="G50" s="17"/>
      <c r="H50" s="17"/>
      <c r="I50" s="49" t="str">
        <f aca="false">IF(H50="","",IFERROR(INDEX(Settings!$G$2:$G$4,MATCH(H50,Settings!$F$2:$F$4,0)),""))</f>
        <v/>
      </c>
      <c r="J50" s="40"/>
      <c r="K50" s="50"/>
      <c r="L50" s="17"/>
      <c r="M50" s="40"/>
      <c r="N50" s="40"/>
      <c r="O50" s="45" t="str">
        <f aca="false">IF(N50="","",WORKDAY(N50,Settings!$S$4))</f>
        <v/>
      </c>
      <c r="P50" s="17"/>
      <c r="Q50" s="44" t="str">
        <f aca="true">IF(C50="","",IF(P50="Backed out",IF(S50="Paid","Refunded – closed",IF(R50="","Refund – log reason first","Refund in progress")),IF(K50="","Awaiting payment",IF(N50="",IF(M50="","Schedule free video","Free video in production"),IF(P50="Approved","Active",IF(TODAY()&gt;O50,"Active – plan went ahead","Decision pending – "&amp;NETWORKDAYS(TODAY(),O50)&amp;" working day(s) left"))))))</f>
        <v/>
      </c>
      <c r="R50" s="17"/>
      <c r="S50" s="17"/>
      <c r="T50" s="50"/>
      <c r="U50" s="40"/>
      <c r="V50" s="40"/>
      <c r="W50" s="45" t="str">
        <f aca="false">IF(V50="","",EDATE(V50,Settings!$S$6))</f>
        <v/>
      </c>
      <c r="X50" s="17"/>
      <c r="Y50" s="17"/>
      <c r="Z50" s="17"/>
    </row>
    <row r="51" customFormat="false" ht="15" hidden="false" customHeight="false" outlineLevel="0" collapsed="false">
      <c r="A51" s="17"/>
      <c r="B51" s="17"/>
      <c r="C51" s="17"/>
      <c r="D51" s="17"/>
      <c r="E51" s="42"/>
      <c r="F51" s="17"/>
      <c r="G51" s="17"/>
      <c r="H51" s="17"/>
      <c r="I51" s="49" t="str">
        <f aca="false">IF(H51="","",IFERROR(INDEX(Settings!$G$2:$G$4,MATCH(H51,Settings!$F$2:$F$4,0)),""))</f>
        <v/>
      </c>
      <c r="J51" s="40"/>
      <c r="K51" s="50"/>
      <c r="L51" s="17"/>
      <c r="M51" s="40"/>
      <c r="N51" s="40"/>
      <c r="O51" s="45" t="str">
        <f aca="false">IF(N51="","",WORKDAY(N51,Settings!$S$4))</f>
        <v/>
      </c>
      <c r="P51" s="17"/>
      <c r="Q51" s="44" t="str">
        <f aca="true">IF(C51="","",IF(P51="Backed out",IF(S51="Paid","Refunded – closed",IF(R51="","Refund – log reason first","Refund in progress")),IF(K51="","Awaiting payment",IF(N51="",IF(M51="","Schedule free video","Free video in production"),IF(P51="Approved","Active",IF(TODAY()&gt;O51,"Active – plan went ahead","Decision pending – "&amp;NETWORKDAYS(TODAY(),O51)&amp;" working day(s) left"))))))</f>
        <v/>
      </c>
      <c r="R51" s="17"/>
      <c r="S51" s="17"/>
      <c r="T51" s="50"/>
      <c r="U51" s="40"/>
      <c r="V51" s="40"/>
      <c r="W51" s="45" t="str">
        <f aca="false">IF(V51="","",EDATE(V51,Settings!$S$6))</f>
        <v/>
      </c>
      <c r="X51" s="17"/>
      <c r="Y51" s="17"/>
      <c r="Z51" s="17"/>
    </row>
    <row r="52" customFormat="false" ht="15" hidden="false" customHeight="false" outlineLevel="0" collapsed="false">
      <c r="A52" s="17"/>
      <c r="B52" s="17"/>
      <c r="C52" s="17"/>
      <c r="D52" s="17"/>
      <c r="E52" s="42"/>
      <c r="F52" s="17"/>
      <c r="G52" s="17"/>
      <c r="H52" s="17"/>
      <c r="I52" s="49" t="str">
        <f aca="false">IF(H52="","",IFERROR(INDEX(Settings!$G$2:$G$4,MATCH(H52,Settings!$F$2:$F$4,0)),""))</f>
        <v/>
      </c>
      <c r="J52" s="40"/>
      <c r="K52" s="50"/>
      <c r="L52" s="17"/>
      <c r="M52" s="40"/>
      <c r="N52" s="40"/>
      <c r="O52" s="45" t="str">
        <f aca="false">IF(N52="","",WORKDAY(N52,Settings!$S$4))</f>
        <v/>
      </c>
      <c r="P52" s="17"/>
      <c r="Q52" s="44" t="str">
        <f aca="true">IF(C52="","",IF(P52="Backed out",IF(S52="Paid","Refunded – closed",IF(R52="","Refund – log reason first","Refund in progress")),IF(K52="","Awaiting payment",IF(N52="",IF(M52="","Schedule free video","Free video in production"),IF(P52="Approved","Active",IF(TODAY()&gt;O52,"Active – plan went ahead","Decision pending – "&amp;NETWORKDAYS(TODAY(),O52)&amp;" working day(s) left"))))))</f>
        <v/>
      </c>
      <c r="R52" s="17"/>
      <c r="S52" s="17"/>
      <c r="T52" s="50"/>
      <c r="U52" s="40"/>
      <c r="V52" s="40"/>
      <c r="W52" s="45" t="str">
        <f aca="false">IF(V52="","",EDATE(V52,Settings!$S$6))</f>
        <v/>
      </c>
      <c r="X52" s="17"/>
      <c r="Y52" s="17"/>
      <c r="Z52" s="17"/>
    </row>
    <row r="53" customFormat="false" ht="15" hidden="false" customHeight="false" outlineLevel="0" collapsed="false">
      <c r="A53" s="17"/>
      <c r="B53" s="17"/>
      <c r="C53" s="17"/>
      <c r="D53" s="17"/>
      <c r="E53" s="42"/>
      <c r="F53" s="17"/>
      <c r="G53" s="17"/>
      <c r="H53" s="17"/>
      <c r="I53" s="49" t="str">
        <f aca="false">IF(H53="","",IFERROR(INDEX(Settings!$G$2:$G$4,MATCH(H53,Settings!$F$2:$F$4,0)),""))</f>
        <v/>
      </c>
      <c r="J53" s="40"/>
      <c r="K53" s="50"/>
      <c r="L53" s="17"/>
      <c r="M53" s="40"/>
      <c r="N53" s="40"/>
      <c r="O53" s="45" t="str">
        <f aca="false">IF(N53="","",WORKDAY(N53,Settings!$S$4))</f>
        <v/>
      </c>
      <c r="P53" s="17"/>
      <c r="Q53" s="44" t="str">
        <f aca="true">IF(C53="","",IF(P53="Backed out",IF(S53="Paid","Refunded – closed",IF(R53="","Refund – log reason first","Refund in progress")),IF(K53="","Awaiting payment",IF(N53="",IF(M53="","Schedule free video","Free video in production"),IF(P53="Approved","Active",IF(TODAY()&gt;O53,"Active – plan went ahead","Decision pending – "&amp;NETWORKDAYS(TODAY(),O53)&amp;" working day(s) left"))))))</f>
        <v/>
      </c>
      <c r="R53" s="17"/>
      <c r="S53" s="17"/>
      <c r="T53" s="50"/>
      <c r="U53" s="40"/>
      <c r="V53" s="40"/>
      <c r="W53" s="45" t="str">
        <f aca="false">IF(V53="","",EDATE(V53,Settings!$S$6))</f>
        <v/>
      </c>
      <c r="X53" s="17"/>
      <c r="Y53" s="17"/>
      <c r="Z53" s="17"/>
    </row>
    <row r="54" customFormat="false" ht="15" hidden="false" customHeight="false" outlineLevel="0" collapsed="false">
      <c r="A54" s="17"/>
      <c r="B54" s="17"/>
      <c r="C54" s="17"/>
      <c r="D54" s="17"/>
      <c r="E54" s="42"/>
      <c r="F54" s="17"/>
      <c r="G54" s="17"/>
      <c r="H54" s="17"/>
      <c r="I54" s="49" t="str">
        <f aca="false">IF(H54="","",IFERROR(INDEX(Settings!$G$2:$G$4,MATCH(H54,Settings!$F$2:$F$4,0)),""))</f>
        <v/>
      </c>
      <c r="J54" s="40"/>
      <c r="K54" s="50"/>
      <c r="L54" s="17"/>
      <c r="M54" s="40"/>
      <c r="N54" s="40"/>
      <c r="O54" s="45" t="str">
        <f aca="false">IF(N54="","",WORKDAY(N54,Settings!$S$4))</f>
        <v/>
      </c>
      <c r="P54" s="17"/>
      <c r="Q54" s="44" t="str">
        <f aca="true">IF(C54="","",IF(P54="Backed out",IF(S54="Paid","Refunded – closed",IF(R54="","Refund – log reason first","Refund in progress")),IF(K54="","Awaiting payment",IF(N54="",IF(M54="","Schedule free video","Free video in production"),IF(P54="Approved","Active",IF(TODAY()&gt;O54,"Active – plan went ahead","Decision pending – "&amp;NETWORKDAYS(TODAY(),O54)&amp;" working day(s) left"))))))</f>
        <v/>
      </c>
      <c r="R54" s="17"/>
      <c r="S54" s="17"/>
      <c r="T54" s="50"/>
      <c r="U54" s="40"/>
      <c r="V54" s="40"/>
      <c r="W54" s="45" t="str">
        <f aca="false">IF(V54="","",EDATE(V54,Settings!$S$6))</f>
        <v/>
      </c>
      <c r="X54" s="17"/>
      <c r="Y54" s="17"/>
      <c r="Z54" s="17"/>
    </row>
    <row r="55" customFormat="false" ht="15" hidden="false" customHeight="false" outlineLevel="0" collapsed="false">
      <c r="A55" s="17"/>
      <c r="B55" s="17"/>
      <c r="C55" s="17"/>
      <c r="D55" s="17"/>
      <c r="E55" s="42"/>
      <c r="F55" s="17"/>
      <c r="G55" s="17"/>
      <c r="H55" s="17"/>
      <c r="I55" s="49" t="str">
        <f aca="false">IF(H55="","",IFERROR(INDEX(Settings!$G$2:$G$4,MATCH(H55,Settings!$F$2:$F$4,0)),""))</f>
        <v/>
      </c>
      <c r="J55" s="40"/>
      <c r="K55" s="50"/>
      <c r="L55" s="17"/>
      <c r="M55" s="40"/>
      <c r="N55" s="40"/>
      <c r="O55" s="45" t="str">
        <f aca="false">IF(N55="","",WORKDAY(N55,Settings!$S$4))</f>
        <v/>
      </c>
      <c r="P55" s="17"/>
      <c r="Q55" s="44" t="str">
        <f aca="true">IF(C55="","",IF(P55="Backed out",IF(S55="Paid","Refunded – closed",IF(R55="","Refund – log reason first","Refund in progress")),IF(K55="","Awaiting payment",IF(N55="",IF(M55="","Schedule free video","Free video in production"),IF(P55="Approved","Active",IF(TODAY()&gt;O55,"Active – plan went ahead","Decision pending – "&amp;NETWORKDAYS(TODAY(),O55)&amp;" working day(s) left"))))))</f>
        <v/>
      </c>
      <c r="R55" s="17"/>
      <c r="S55" s="17"/>
      <c r="T55" s="50"/>
      <c r="U55" s="40"/>
      <c r="V55" s="40"/>
      <c r="W55" s="45" t="str">
        <f aca="false">IF(V55="","",EDATE(V55,Settings!$S$6))</f>
        <v/>
      </c>
      <c r="X55" s="17"/>
      <c r="Y55" s="17"/>
      <c r="Z55" s="17"/>
    </row>
    <row r="56" customFormat="false" ht="15" hidden="false" customHeight="false" outlineLevel="0" collapsed="false">
      <c r="A56" s="17"/>
      <c r="B56" s="17"/>
      <c r="C56" s="17"/>
      <c r="D56" s="17"/>
      <c r="E56" s="42"/>
      <c r="F56" s="17"/>
      <c r="G56" s="17"/>
      <c r="H56" s="17"/>
      <c r="I56" s="49" t="str">
        <f aca="false">IF(H56="","",IFERROR(INDEX(Settings!$G$2:$G$4,MATCH(H56,Settings!$F$2:$F$4,0)),""))</f>
        <v/>
      </c>
      <c r="J56" s="40"/>
      <c r="K56" s="50"/>
      <c r="L56" s="17"/>
      <c r="M56" s="40"/>
      <c r="N56" s="40"/>
      <c r="O56" s="45" t="str">
        <f aca="false">IF(N56="","",WORKDAY(N56,Settings!$S$4))</f>
        <v/>
      </c>
      <c r="P56" s="17"/>
      <c r="Q56" s="44" t="str">
        <f aca="true">IF(C56="","",IF(P56="Backed out",IF(S56="Paid","Refunded – closed",IF(R56="","Refund – log reason first","Refund in progress")),IF(K56="","Awaiting payment",IF(N56="",IF(M56="","Schedule free video","Free video in production"),IF(P56="Approved","Active",IF(TODAY()&gt;O56,"Active – plan went ahead","Decision pending – "&amp;NETWORKDAYS(TODAY(),O56)&amp;" working day(s) left"))))))</f>
        <v/>
      </c>
      <c r="R56" s="17"/>
      <c r="S56" s="17"/>
      <c r="T56" s="50"/>
      <c r="U56" s="40"/>
      <c r="V56" s="40"/>
      <c r="W56" s="45" t="str">
        <f aca="false">IF(V56="","",EDATE(V56,Settings!$S$6))</f>
        <v/>
      </c>
      <c r="X56" s="17"/>
      <c r="Y56" s="17"/>
      <c r="Z56" s="17"/>
    </row>
    <row r="57" customFormat="false" ht="15" hidden="false" customHeight="false" outlineLevel="0" collapsed="false">
      <c r="A57" s="17"/>
      <c r="B57" s="17"/>
      <c r="C57" s="17"/>
      <c r="D57" s="17"/>
      <c r="E57" s="42"/>
      <c r="F57" s="17"/>
      <c r="G57" s="17"/>
      <c r="H57" s="17"/>
      <c r="I57" s="49" t="str">
        <f aca="false">IF(H57="","",IFERROR(INDEX(Settings!$G$2:$G$4,MATCH(H57,Settings!$F$2:$F$4,0)),""))</f>
        <v/>
      </c>
      <c r="J57" s="40"/>
      <c r="K57" s="50"/>
      <c r="L57" s="17"/>
      <c r="M57" s="40"/>
      <c r="N57" s="40"/>
      <c r="O57" s="45" t="str">
        <f aca="false">IF(N57="","",WORKDAY(N57,Settings!$S$4))</f>
        <v/>
      </c>
      <c r="P57" s="17"/>
      <c r="Q57" s="44" t="str">
        <f aca="true">IF(C57="","",IF(P57="Backed out",IF(S57="Paid","Refunded – closed",IF(R57="","Refund – log reason first","Refund in progress")),IF(K57="","Awaiting payment",IF(N57="",IF(M57="","Schedule free video","Free video in production"),IF(P57="Approved","Active",IF(TODAY()&gt;O57,"Active – plan went ahead","Decision pending – "&amp;NETWORKDAYS(TODAY(),O57)&amp;" working day(s) left"))))))</f>
        <v/>
      </c>
      <c r="R57" s="17"/>
      <c r="S57" s="17"/>
      <c r="T57" s="50"/>
      <c r="U57" s="40"/>
      <c r="V57" s="40"/>
      <c r="W57" s="45" t="str">
        <f aca="false">IF(V57="","",EDATE(V57,Settings!$S$6))</f>
        <v/>
      </c>
      <c r="X57" s="17"/>
      <c r="Y57" s="17"/>
      <c r="Z57" s="17"/>
    </row>
    <row r="58" customFormat="false" ht="15" hidden="false" customHeight="false" outlineLevel="0" collapsed="false">
      <c r="A58" s="17"/>
      <c r="B58" s="17"/>
      <c r="C58" s="17"/>
      <c r="D58" s="17"/>
      <c r="E58" s="42"/>
      <c r="F58" s="17"/>
      <c r="G58" s="17"/>
      <c r="H58" s="17"/>
      <c r="I58" s="49" t="str">
        <f aca="false">IF(H58="","",IFERROR(INDEX(Settings!$G$2:$G$4,MATCH(H58,Settings!$F$2:$F$4,0)),""))</f>
        <v/>
      </c>
      <c r="J58" s="40"/>
      <c r="K58" s="50"/>
      <c r="L58" s="17"/>
      <c r="M58" s="40"/>
      <c r="N58" s="40"/>
      <c r="O58" s="45" t="str">
        <f aca="false">IF(N58="","",WORKDAY(N58,Settings!$S$4))</f>
        <v/>
      </c>
      <c r="P58" s="17"/>
      <c r="Q58" s="44" t="str">
        <f aca="true">IF(C58="","",IF(P58="Backed out",IF(S58="Paid","Refunded – closed",IF(R58="","Refund – log reason first","Refund in progress")),IF(K58="","Awaiting payment",IF(N58="",IF(M58="","Schedule free video","Free video in production"),IF(P58="Approved","Active",IF(TODAY()&gt;O58,"Active – plan went ahead","Decision pending – "&amp;NETWORKDAYS(TODAY(),O58)&amp;" working day(s) left"))))))</f>
        <v/>
      </c>
      <c r="R58" s="17"/>
      <c r="S58" s="17"/>
      <c r="T58" s="50"/>
      <c r="U58" s="40"/>
      <c r="V58" s="40"/>
      <c r="W58" s="45" t="str">
        <f aca="false">IF(V58="","",EDATE(V58,Settings!$S$6))</f>
        <v/>
      </c>
      <c r="X58" s="17"/>
      <c r="Y58" s="17"/>
      <c r="Z58" s="17"/>
    </row>
    <row r="59" customFormat="false" ht="15" hidden="false" customHeight="false" outlineLevel="0" collapsed="false">
      <c r="A59" s="17"/>
      <c r="B59" s="17"/>
      <c r="C59" s="17"/>
      <c r="D59" s="17"/>
      <c r="E59" s="42"/>
      <c r="F59" s="17"/>
      <c r="G59" s="17"/>
      <c r="H59" s="17"/>
      <c r="I59" s="49" t="str">
        <f aca="false">IF(H59="","",IFERROR(INDEX(Settings!$G$2:$G$4,MATCH(H59,Settings!$F$2:$F$4,0)),""))</f>
        <v/>
      </c>
      <c r="J59" s="40"/>
      <c r="K59" s="50"/>
      <c r="L59" s="17"/>
      <c r="M59" s="40"/>
      <c r="N59" s="40"/>
      <c r="O59" s="45" t="str">
        <f aca="false">IF(N59="","",WORKDAY(N59,Settings!$S$4))</f>
        <v/>
      </c>
      <c r="P59" s="17"/>
      <c r="Q59" s="44" t="str">
        <f aca="true">IF(C59="","",IF(P59="Backed out",IF(S59="Paid","Refunded – closed",IF(R59="","Refund – log reason first","Refund in progress")),IF(K59="","Awaiting payment",IF(N59="",IF(M59="","Schedule free video","Free video in production"),IF(P59="Approved","Active",IF(TODAY()&gt;O59,"Active – plan went ahead","Decision pending – "&amp;NETWORKDAYS(TODAY(),O59)&amp;" working day(s) left"))))))</f>
        <v/>
      </c>
      <c r="R59" s="17"/>
      <c r="S59" s="17"/>
      <c r="T59" s="50"/>
      <c r="U59" s="40"/>
      <c r="V59" s="40"/>
      <c r="W59" s="45" t="str">
        <f aca="false">IF(V59="","",EDATE(V59,Settings!$S$6))</f>
        <v/>
      </c>
      <c r="X59" s="17"/>
      <c r="Y59" s="17"/>
      <c r="Z59" s="17"/>
    </row>
    <row r="60" customFormat="false" ht="15" hidden="false" customHeight="false" outlineLevel="0" collapsed="false">
      <c r="A60" s="17"/>
      <c r="B60" s="17"/>
      <c r="C60" s="17"/>
      <c r="D60" s="17"/>
      <c r="E60" s="42"/>
      <c r="F60" s="17"/>
      <c r="G60" s="17"/>
      <c r="H60" s="17"/>
      <c r="I60" s="49" t="str">
        <f aca="false">IF(H60="","",IFERROR(INDEX(Settings!$G$2:$G$4,MATCH(H60,Settings!$F$2:$F$4,0)),""))</f>
        <v/>
      </c>
      <c r="J60" s="40"/>
      <c r="K60" s="50"/>
      <c r="L60" s="17"/>
      <c r="M60" s="40"/>
      <c r="N60" s="40"/>
      <c r="O60" s="45" t="str">
        <f aca="false">IF(N60="","",WORKDAY(N60,Settings!$S$4))</f>
        <v/>
      </c>
      <c r="P60" s="17"/>
      <c r="Q60" s="44" t="str">
        <f aca="true">IF(C60="","",IF(P60="Backed out",IF(S60="Paid","Refunded – closed",IF(R60="","Refund – log reason first","Refund in progress")),IF(K60="","Awaiting payment",IF(N60="",IF(M60="","Schedule free video","Free video in production"),IF(P60="Approved","Active",IF(TODAY()&gt;O60,"Active – plan went ahead","Decision pending – "&amp;NETWORKDAYS(TODAY(),O60)&amp;" working day(s) left"))))))</f>
        <v/>
      </c>
      <c r="R60" s="17"/>
      <c r="S60" s="17"/>
      <c r="T60" s="50"/>
      <c r="U60" s="40"/>
      <c r="V60" s="40"/>
      <c r="W60" s="45" t="str">
        <f aca="false">IF(V60="","",EDATE(V60,Settings!$S$6))</f>
        <v/>
      </c>
      <c r="X60" s="17"/>
      <c r="Y60" s="17"/>
      <c r="Z60" s="17"/>
    </row>
    <row r="61" customFormat="false" ht="15" hidden="false" customHeight="false" outlineLevel="0" collapsed="false">
      <c r="A61" s="17"/>
      <c r="B61" s="17"/>
      <c r="C61" s="17"/>
      <c r="D61" s="17"/>
      <c r="E61" s="42"/>
      <c r="F61" s="17"/>
      <c r="G61" s="17"/>
      <c r="H61" s="17"/>
      <c r="I61" s="49" t="str">
        <f aca="false">IF(H61="","",IFERROR(INDEX(Settings!$G$2:$G$4,MATCH(H61,Settings!$F$2:$F$4,0)),""))</f>
        <v/>
      </c>
      <c r="J61" s="40"/>
      <c r="K61" s="50"/>
      <c r="L61" s="17"/>
      <c r="M61" s="40"/>
      <c r="N61" s="40"/>
      <c r="O61" s="45" t="str">
        <f aca="false">IF(N61="","",WORKDAY(N61,Settings!$S$4))</f>
        <v/>
      </c>
      <c r="P61" s="17"/>
      <c r="Q61" s="44" t="str">
        <f aca="true">IF(C61="","",IF(P61="Backed out",IF(S61="Paid","Refunded – closed",IF(R61="","Refund – log reason first","Refund in progress")),IF(K61="","Awaiting payment",IF(N61="",IF(M61="","Schedule free video","Free video in production"),IF(P61="Approved","Active",IF(TODAY()&gt;O61,"Active – plan went ahead","Decision pending – "&amp;NETWORKDAYS(TODAY(),O61)&amp;" working day(s) left"))))))</f>
        <v/>
      </c>
      <c r="R61" s="17"/>
      <c r="S61" s="17"/>
      <c r="T61" s="50"/>
      <c r="U61" s="40"/>
      <c r="V61" s="40"/>
      <c r="W61" s="45" t="str">
        <f aca="false">IF(V61="","",EDATE(V61,Settings!$S$6))</f>
        <v/>
      </c>
      <c r="X61" s="17"/>
      <c r="Y61" s="17"/>
      <c r="Z61" s="17"/>
    </row>
    <row r="62" customFormat="false" ht="15" hidden="false" customHeight="false" outlineLevel="0" collapsed="false">
      <c r="A62" s="17"/>
      <c r="B62" s="17"/>
      <c r="C62" s="17"/>
      <c r="D62" s="17"/>
      <c r="E62" s="42"/>
      <c r="F62" s="17"/>
      <c r="G62" s="17"/>
      <c r="H62" s="17"/>
      <c r="I62" s="49" t="str">
        <f aca="false">IF(H62="","",IFERROR(INDEX(Settings!$G$2:$G$4,MATCH(H62,Settings!$F$2:$F$4,0)),""))</f>
        <v/>
      </c>
      <c r="J62" s="40"/>
      <c r="K62" s="50"/>
      <c r="L62" s="17"/>
      <c r="M62" s="40"/>
      <c r="N62" s="40"/>
      <c r="O62" s="45" t="str">
        <f aca="false">IF(N62="","",WORKDAY(N62,Settings!$S$4))</f>
        <v/>
      </c>
      <c r="P62" s="17"/>
      <c r="Q62" s="44" t="str">
        <f aca="true">IF(C62="","",IF(P62="Backed out",IF(S62="Paid","Refunded – closed",IF(R62="","Refund – log reason first","Refund in progress")),IF(K62="","Awaiting payment",IF(N62="",IF(M62="","Schedule free video","Free video in production"),IF(P62="Approved","Active",IF(TODAY()&gt;O62,"Active – plan went ahead","Decision pending – "&amp;NETWORKDAYS(TODAY(),O62)&amp;" working day(s) left"))))))</f>
        <v/>
      </c>
      <c r="R62" s="17"/>
      <c r="S62" s="17"/>
      <c r="T62" s="50"/>
      <c r="U62" s="40"/>
      <c r="V62" s="40"/>
      <c r="W62" s="45" t="str">
        <f aca="false">IF(V62="","",EDATE(V62,Settings!$S$6))</f>
        <v/>
      </c>
      <c r="X62" s="17"/>
      <c r="Y62" s="17"/>
      <c r="Z62" s="17"/>
    </row>
    <row r="63" customFormat="false" ht="15" hidden="false" customHeight="false" outlineLevel="0" collapsed="false">
      <c r="A63" s="17"/>
      <c r="B63" s="17"/>
      <c r="C63" s="17"/>
      <c r="D63" s="17"/>
      <c r="E63" s="42"/>
      <c r="F63" s="17"/>
      <c r="G63" s="17"/>
      <c r="H63" s="17"/>
      <c r="I63" s="49" t="str">
        <f aca="false">IF(H63="","",IFERROR(INDEX(Settings!$G$2:$G$4,MATCH(H63,Settings!$F$2:$F$4,0)),""))</f>
        <v/>
      </c>
      <c r="J63" s="40"/>
      <c r="K63" s="50"/>
      <c r="L63" s="17"/>
      <c r="M63" s="40"/>
      <c r="N63" s="40"/>
      <c r="O63" s="45" t="str">
        <f aca="false">IF(N63="","",WORKDAY(N63,Settings!$S$4))</f>
        <v/>
      </c>
      <c r="P63" s="17"/>
      <c r="Q63" s="44" t="str">
        <f aca="true">IF(C63="","",IF(P63="Backed out",IF(S63="Paid","Refunded – closed",IF(R63="","Refund – log reason first","Refund in progress")),IF(K63="","Awaiting payment",IF(N63="",IF(M63="","Schedule free video","Free video in production"),IF(P63="Approved","Active",IF(TODAY()&gt;O63,"Active – plan went ahead","Decision pending – "&amp;NETWORKDAYS(TODAY(),O63)&amp;" working day(s) left"))))))</f>
        <v/>
      </c>
      <c r="R63" s="17"/>
      <c r="S63" s="17"/>
      <c r="T63" s="50"/>
      <c r="U63" s="40"/>
      <c r="V63" s="40"/>
      <c r="W63" s="45" t="str">
        <f aca="false">IF(V63="","",EDATE(V63,Settings!$S$6))</f>
        <v/>
      </c>
      <c r="X63" s="17"/>
      <c r="Y63" s="17"/>
      <c r="Z63" s="17"/>
    </row>
    <row r="64" customFormat="false" ht="15" hidden="false" customHeight="false" outlineLevel="0" collapsed="false">
      <c r="A64" s="17"/>
      <c r="B64" s="17"/>
      <c r="C64" s="17"/>
      <c r="D64" s="17"/>
      <c r="E64" s="42"/>
      <c r="F64" s="17"/>
      <c r="G64" s="17"/>
      <c r="H64" s="17"/>
      <c r="I64" s="49" t="str">
        <f aca="false">IF(H64="","",IFERROR(INDEX(Settings!$G$2:$G$4,MATCH(H64,Settings!$F$2:$F$4,0)),""))</f>
        <v/>
      </c>
      <c r="J64" s="40"/>
      <c r="K64" s="50"/>
      <c r="L64" s="17"/>
      <c r="M64" s="40"/>
      <c r="N64" s="40"/>
      <c r="O64" s="45" t="str">
        <f aca="false">IF(N64="","",WORKDAY(N64,Settings!$S$4))</f>
        <v/>
      </c>
      <c r="P64" s="17"/>
      <c r="Q64" s="44" t="str">
        <f aca="true">IF(C64="","",IF(P64="Backed out",IF(S64="Paid","Refunded – closed",IF(R64="","Refund – log reason first","Refund in progress")),IF(K64="","Awaiting payment",IF(N64="",IF(M64="","Schedule free video","Free video in production"),IF(P64="Approved","Active",IF(TODAY()&gt;O64,"Active – plan went ahead","Decision pending – "&amp;NETWORKDAYS(TODAY(),O64)&amp;" working day(s) left"))))))</f>
        <v/>
      </c>
      <c r="R64" s="17"/>
      <c r="S64" s="17"/>
      <c r="T64" s="50"/>
      <c r="U64" s="40"/>
      <c r="V64" s="40"/>
      <c r="W64" s="45" t="str">
        <f aca="false">IF(V64="","",EDATE(V64,Settings!$S$6))</f>
        <v/>
      </c>
      <c r="X64" s="17"/>
      <c r="Y64" s="17"/>
      <c r="Z64" s="17"/>
    </row>
    <row r="65" customFormat="false" ht="15" hidden="false" customHeight="false" outlineLevel="0" collapsed="false">
      <c r="A65" s="17"/>
      <c r="B65" s="17"/>
      <c r="C65" s="17"/>
      <c r="D65" s="17"/>
      <c r="E65" s="42"/>
      <c r="F65" s="17"/>
      <c r="G65" s="17"/>
      <c r="H65" s="17"/>
      <c r="I65" s="49" t="str">
        <f aca="false">IF(H65="","",IFERROR(INDEX(Settings!$G$2:$G$4,MATCH(H65,Settings!$F$2:$F$4,0)),""))</f>
        <v/>
      </c>
      <c r="J65" s="40"/>
      <c r="K65" s="50"/>
      <c r="L65" s="17"/>
      <c r="M65" s="40"/>
      <c r="N65" s="40"/>
      <c r="O65" s="45" t="str">
        <f aca="false">IF(N65="","",WORKDAY(N65,Settings!$S$4))</f>
        <v/>
      </c>
      <c r="P65" s="17"/>
      <c r="Q65" s="44" t="str">
        <f aca="true">IF(C65="","",IF(P65="Backed out",IF(S65="Paid","Refunded – closed",IF(R65="","Refund – log reason first","Refund in progress")),IF(K65="","Awaiting payment",IF(N65="",IF(M65="","Schedule free video","Free video in production"),IF(P65="Approved","Active",IF(TODAY()&gt;O65,"Active – plan went ahead","Decision pending – "&amp;NETWORKDAYS(TODAY(),O65)&amp;" working day(s) left"))))))</f>
        <v/>
      </c>
      <c r="R65" s="17"/>
      <c r="S65" s="17"/>
      <c r="T65" s="50"/>
      <c r="U65" s="40"/>
      <c r="V65" s="40"/>
      <c r="W65" s="45" t="str">
        <f aca="false">IF(V65="","",EDATE(V65,Settings!$S$6))</f>
        <v/>
      </c>
      <c r="X65" s="17"/>
      <c r="Y65" s="17"/>
      <c r="Z65" s="17"/>
    </row>
    <row r="66" customFormat="false" ht="15" hidden="false" customHeight="false" outlineLevel="0" collapsed="false">
      <c r="A66" s="17"/>
      <c r="B66" s="17"/>
      <c r="C66" s="17"/>
      <c r="D66" s="17"/>
      <c r="E66" s="42"/>
      <c r="F66" s="17"/>
      <c r="G66" s="17"/>
      <c r="H66" s="17"/>
      <c r="I66" s="49" t="str">
        <f aca="false">IF(H66="","",IFERROR(INDEX(Settings!$G$2:$G$4,MATCH(H66,Settings!$F$2:$F$4,0)),""))</f>
        <v/>
      </c>
      <c r="J66" s="40"/>
      <c r="K66" s="50"/>
      <c r="L66" s="17"/>
      <c r="M66" s="40"/>
      <c r="N66" s="40"/>
      <c r="O66" s="45" t="str">
        <f aca="false">IF(N66="","",WORKDAY(N66,Settings!$S$4))</f>
        <v/>
      </c>
      <c r="P66" s="17"/>
      <c r="Q66" s="44" t="str">
        <f aca="true">IF(C66="","",IF(P66="Backed out",IF(S66="Paid","Refunded – closed",IF(R66="","Refund – log reason first","Refund in progress")),IF(K66="","Awaiting payment",IF(N66="",IF(M66="","Schedule free video","Free video in production"),IF(P66="Approved","Active",IF(TODAY()&gt;O66,"Active – plan went ahead","Decision pending – "&amp;NETWORKDAYS(TODAY(),O66)&amp;" working day(s) left"))))))</f>
        <v/>
      </c>
      <c r="R66" s="17"/>
      <c r="S66" s="17"/>
      <c r="T66" s="50"/>
      <c r="U66" s="40"/>
      <c r="V66" s="40"/>
      <c r="W66" s="45" t="str">
        <f aca="false">IF(V66="","",EDATE(V66,Settings!$S$6))</f>
        <v/>
      </c>
      <c r="X66" s="17"/>
      <c r="Y66" s="17"/>
      <c r="Z66" s="17"/>
    </row>
    <row r="67" customFormat="false" ht="15" hidden="false" customHeight="false" outlineLevel="0" collapsed="false">
      <c r="A67" s="17"/>
      <c r="B67" s="17"/>
      <c r="C67" s="17"/>
      <c r="D67" s="17"/>
      <c r="E67" s="42"/>
      <c r="F67" s="17"/>
      <c r="G67" s="17"/>
      <c r="H67" s="17"/>
      <c r="I67" s="49" t="str">
        <f aca="false">IF(H67="","",IFERROR(INDEX(Settings!$G$2:$G$4,MATCH(H67,Settings!$F$2:$F$4,0)),""))</f>
        <v/>
      </c>
      <c r="J67" s="40"/>
      <c r="K67" s="50"/>
      <c r="L67" s="17"/>
      <c r="M67" s="40"/>
      <c r="N67" s="40"/>
      <c r="O67" s="45" t="str">
        <f aca="false">IF(N67="","",WORKDAY(N67,Settings!$S$4))</f>
        <v/>
      </c>
      <c r="P67" s="17"/>
      <c r="Q67" s="44" t="str">
        <f aca="true">IF(C67="","",IF(P67="Backed out",IF(S67="Paid","Refunded – closed",IF(R67="","Refund – log reason first","Refund in progress")),IF(K67="","Awaiting payment",IF(N67="",IF(M67="","Schedule free video","Free video in production"),IF(P67="Approved","Active",IF(TODAY()&gt;O67,"Active – plan went ahead","Decision pending – "&amp;NETWORKDAYS(TODAY(),O67)&amp;" working day(s) left"))))))</f>
        <v/>
      </c>
      <c r="R67" s="17"/>
      <c r="S67" s="17"/>
      <c r="T67" s="50"/>
      <c r="U67" s="40"/>
      <c r="V67" s="40"/>
      <c r="W67" s="45" t="str">
        <f aca="false">IF(V67="","",EDATE(V67,Settings!$S$6))</f>
        <v/>
      </c>
      <c r="X67" s="17"/>
      <c r="Y67" s="17"/>
      <c r="Z67" s="17"/>
    </row>
    <row r="68" customFormat="false" ht="15" hidden="false" customHeight="false" outlineLevel="0" collapsed="false">
      <c r="A68" s="17"/>
      <c r="B68" s="17"/>
      <c r="C68" s="17"/>
      <c r="D68" s="17"/>
      <c r="E68" s="42"/>
      <c r="F68" s="17"/>
      <c r="G68" s="17"/>
      <c r="H68" s="17"/>
      <c r="I68" s="49" t="str">
        <f aca="false">IF(H68="","",IFERROR(INDEX(Settings!$G$2:$G$4,MATCH(H68,Settings!$F$2:$F$4,0)),""))</f>
        <v/>
      </c>
      <c r="J68" s="40"/>
      <c r="K68" s="50"/>
      <c r="L68" s="17"/>
      <c r="M68" s="40"/>
      <c r="N68" s="40"/>
      <c r="O68" s="45" t="str">
        <f aca="false">IF(N68="","",WORKDAY(N68,Settings!$S$4))</f>
        <v/>
      </c>
      <c r="P68" s="17"/>
      <c r="Q68" s="44" t="str">
        <f aca="true">IF(C68="","",IF(P68="Backed out",IF(S68="Paid","Refunded – closed",IF(R68="","Refund – log reason first","Refund in progress")),IF(K68="","Awaiting payment",IF(N68="",IF(M68="","Schedule free video","Free video in production"),IF(P68="Approved","Active",IF(TODAY()&gt;O68,"Active – plan went ahead","Decision pending – "&amp;NETWORKDAYS(TODAY(),O68)&amp;" working day(s) left"))))))</f>
        <v/>
      </c>
      <c r="R68" s="17"/>
      <c r="S68" s="17"/>
      <c r="T68" s="50"/>
      <c r="U68" s="40"/>
      <c r="V68" s="40"/>
      <c r="W68" s="45" t="str">
        <f aca="false">IF(V68="","",EDATE(V68,Settings!$S$6))</f>
        <v/>
      </c>
      <c r="X68" s="17"/>
      <c r="Y68" s="17"/>
      <c r="Z68" s="17"/>
    </row>
    <row r="69" customFormat="false" ht="15" hidden="false" customHeight="false" outlineLevel="0" collapsed="false">
      <c r="A69" s="17"/>
      <c r="B69" s="17"/>
      <c r="C69" s="17"/>
      <c r="D69" s="17"/>
      <c r="E69" s="42"/>
      <c r="F69" s="17"/>
      <c r="G69" s="17"/>
      <c r="H69" s="17"/>
      <c r="I69" s="49" t="str">
        <f aca="false">IF(H69="","",IFERROR(INDEX(Settings!$G$2:$G$4,MATCH(H69,Settings!$F$2:$F$4,0)),""))</f>
        <v/>
      </c>
      <c r="J69" s="40"/>
      <c r="K69" s="50"/>
      <c r="L69" s="17"/>
      <c r="M69" s="40"/>
      <c r="N69" s="40"/>
      <c r="O69" s="45" t="str">
        <f aca="false">IF(N69="","",WORKDAY(N69,Settings!$S$4))</f>
        <v/>
      </c>
      <c r="P69" s="17"/>
      <c r="Q69" s="44" t="str">
        <f aca="true">IF(C69="","",IF(P69="Backed out",IF(S69="Paid","Refunded – closed",IF(R69="","Refund – log reason first","Refund in progress")),IF(K69="","Awaiting payment",IF(N69="",IF(M69="","Schedule free video","Free video in production"),IF(P69="Approved","Active",IF(TODAY()&gt;O69,"Active – plan went ahead","Decision pending – "&amp;NETWORKDAYS(TODAY(),O69)&amp;" working day(s) left"))))))</f>
        <v/>
      </c>
      <c r="R69" s="17"/>
      <c r="S69" s="17"/>
      <c r="T69" s="50"/>
      <c r="U69" s="40"/>
      <c r="V69" s="40"/>
      <c r="W69" s="45" t="str">
        <f aca="false">IF(V69="","",EDATE(V69,Settings!$S$6))</f>
        <v/>
      </c>
      <c r="X69" s="17"/>
      <c r="Y69" s="17"/>
      <c r="Z69" s="17"/>
    </row>
    <row r="70" customFormat="false" ht="15" hidden="false" customHeight="false" outlineLevel="0" collapsed="false">
      <c r="A70" s="17"/>
      <c r="B70" s="17"/>
      <c r="C70" s="17"/>
      <c r="D70" s="17"/>
      <c r="E70" s="42"/>
      <c r="F70" s="17"/>
      <c r="G70" s="17"/>
      <c r="H70" s="17"/>
      <c r="I70" s="49" t="str">
        <f aca="false">IF(H70="","",IFERROR(INDEX(Settings!$G$2:$G$4,MATCH(H70,Settings!$F$2:$F$4,0)),""))</f>
        <v/>
      </c>
      <c r="J70" s="40"/>
      <c r="K70" s="50"/>
      <c r="L70" s="17"/>
      <c r="M70" s="40"/>
      <c r="N70" s="40"/>
      <c r="O70" s="45" t="str">
        <f aca="false">IF(N70="","",WORKDAY(N70,Settings!$S$4))</f>
        <v/>
      </c>
      <c r="P70" s="17"/>
      <c r="Q70" s="44" t="str">
        <f aca="true">IF(C70="","",IF(P70="Backed out",IF(S70="Paid","Refunded – closed",IF(R70="","Refund – log reason first","Refund in progress")),IF(K70="","Awaiting payment",IF(N70="",IF(M70="","Schedule free video","Free video in production"),IF(P70="Approved","Active",IF(TODAY()&gt;O70,"Active – plan went ahead","Decision pending – "&amp;NETWORKDAYS(TODAY(),O70)&amp;" working day(s) left"))))))</f>
        <v/>
      </c>
      <c r="R70" s="17"/>
      <c r="S70" s="17"/>
      <c r="T70" s="50"/>
      <c r="U70" s="40"/>
      <c r="V70" s="40"/>
      <c r="W70" s="45" t="str">
        <f aca="false">IF(V70="","",EDATE(V70,Settings!$S$6))</f>
        <v/>
      </c>
      <c r="X70" s="17"/>
      <c r="Y70" s="17"/>
      <c r="Z70" s="17"/>
    </row>
    <row r="71" customFormat="false" ht="15" hidden="false" customHeight="false" outlineLevel="0" collapsed="false">
      <c r="A71" s="17"/>
      <c r="B71" s="17"/>
      <c r="C71" s="17"/>
      <c r="D71" s="17"/>
      <c r="E71" s="42"/>
      <c r="F71" s="17"/>
      <c r="G71" s="17"/>
      <c r="H71" s="17"/>
      <c r="I71" s="49" t="str">
        <f aca="false">IF(H71="","",IFERROR(INDEX(Settings!$G$2:$G$4,MATCH(H71,Settings!$F$2:$F$4,0)),""))</f>
        <v/>
      </c>
      <c r="J71" s="40"/>
      <c r="K71" s="50"/>
      <c r="L71" s="17"/>
      <c r="M71" s="40"/>
      <c r="N71" s="40"/>
      <c r="O71" s="45" t="str">
        <f aca="false">IF(N71="","",WORKDAY(N71,Settings!$S$4))</f>
        <v/>
      </c>
      <c r="P71" s="17"/>
      <c r="Q71" s="44" t="str">
        <f aca="true">IF(C71="","",IF(P71="Backed out",IF(S71="Paid","Refunded – closed",IF(R71="","Refund – log reason first","Refund in progress")),IF(K71="","Awaiting payment",IF(N71="",IF(M71="","Schedule free video","Free video in production"),IF(P71="Approved","Active",IF(TODAY()&gt;O71,"Active – plan went ahead","Decision pending – "&amp;NETWORKDAYS(TODAY(),O71)&amp;" working day(s) left"))))))</f>
        <v/>
      </c>
      <c r="R71" s="17"/>
      <c r="S71" s="17"/>
      <c r="T71" s="50"/>
      <c r="U71" s="40"/>
      <c r="V71" s="40"/>
      <c r="W71" s="45" t="str">
        <f aca="false">IF(V71="","",EDATE(V71,Settings!$S$6))</f>
        <v/>
      </c>
      <c r="X71" s="17"/>
      <c r="Y71" s="17"/>
      <c r="Z71" s="17"/>
    </row>
    <row r="72" customFormat="false" ht="15" hidden="false" customHeight="false" outlineLevel="0" collapsed="false">
      <c r="A72" s="17"/>
      <c r="B72" s="17"/>
      <c r="C72" s="17"/>
      <c r="D72" s="17"/>
      <c r="E72" s="42"/>
      <c r="F72" s="17"/>
      <c r="G72" s="17"/>
      <c r="H72" s="17"/>
      <c r="I72" s="49" t="str">
        <f aca="false">IF(H72="","",IFERROR(INDEX(Settings!$G$2:$G$4,MATCH(H72,Settings!$F$2:$F$4,0)),""))</f>
        <v/>
      </c>
      <c r="J72" s="40"/>
      <c r="K72" s="50"/>
      <c r="L72" s="17"/>
      <c r="M72" s="40"/>
      <c r="N72" s="40"/>
      <c r="O72" s="45" t="str">
        <f aca="false">IF(N72="","",WORKDAY(N72,Settings!$S$4))</f>
        <v/>
      </c>
      <c r="P72" s="17"/>
      <c r="Q72" s="44" t="str">
        <f aca="true">IF(C72="","",IF(P72="Backed out",IF(S72="Paid","Refunded – closed",IF(R72="","Refund – log reason first","Refund in progress")),IF(K72="","Awaiting payment",IF(N72="",IF(M72="","Schedule free video","Free video in production"),IF(P72="Approved","Active",IF(TODAY()&gt;O72,"Active – plan went ahead","Decision pending – "&amp;NETWORKDAYS(TODAY(),O72)&amp;" working day(s) left"))))))</f>
        <v/>
      </c>
      <c r="R72" s="17"/>
      <c r="S72" s="17"/>
      <c r="T72" s="50"/>
      <c r="U72" s="40"/>
      <c r="V72" s="40"/>
      <c r="W72" s="45" t="str">
        <f aca="false">IF(V72="","",EDATE(V72,Settings!$S$6))</f>
        <v/>
      </c>
      <c r="X72" s="17"/>
      <c r="Y72" s="17"/>
      <c r="Z72" s="17"/>
    </row>
    <row r="73" customFormat="false" ht="15" hidden="false" customHeight="false" outlineLevel="0" collapsed="false">
      <c r="A73" s="17"/>
      <c r="B73" s="17"/>
      <c r="C73" s="17"/>
      <c r="D73" s="17"/>
      <c r="E73" s="42"/>
      <c r="F73" s="17"/>
      <c r="G73" s="17"/>
      <c r="H73" s="17"/>
      <c r="I73" s="49" t="str">
        <f aca="false">IF(H73="","",IFERROR(INDEX(Settings!$G$2:$G$4,MATCH(H73,Settings!$F$2:$F$4,0)),""))</f>
        <v/>
      </c>
      <c r="J73" s="40"/>
      <c r="K73" s="50"/>
      <c r="L73" s="17"/>
      <c r="M73" s="40"/>
      <c r="N73" s="40"/>
      <c r="O73" s="45" t="str">
        <f aca="false">IF(N73="","",WORKDAY(N73,Settings!$S$4))</f>
        <v/>
      </c>
      <c r="P73" s="17"/>
      <c r="Q73" s="44" t="str">
        <f aca="true">IF(C73="","",IF(P73="Backed out",IF(S73="Paid","Refunded – closed",IF(R73="","Refund – log reason first","Refund in progress")),IF(K73="","Awaiting payment",IF(N73="",IF(M73="","Schedule free video","Free video in production"),IF(P73="Approved","Active",IF(TODAY()&gt;O73,"Active – plan went ahead","Decision pending – "&amp;NETWORKDAYS(TODAY(),O73)&amp;" working day(s) left"))))))</f>
        <v/>
      </c>
      <c r="R73" s="17"/>
      <c r="S73" s="17"/>
      <c r="T73" s="50"/>
      <c r="U73" s="40"/>
      <c r="V73" s="40"/>
      <c r="W73" s="45" t="str">
        <f aca="false">IF(V73="","",EDATE(V73,Settings!$S$6))</f>
        <v/>
      </c>
      <c r="X73" s="17"/>
      <c r="Y73" s="17"/>
      <c r="Z73" s="17"/>
    </row>
    <row r="74" customFormat="false" ht="15" hidden="false" customHeight="false" outlineLevel="0" collapsed="false">
      <c r="A74" s="17"/>
      <c r="B74" s="17"/>
      <c r="C74" s="17"/>
      <c r="D74" s="17"/>
      <c r="E74" s="42"/>
      <c r="F74" s="17"/>
      <c r="G74" s="17"/>
      <c r="H74" s="17"/>
      <c r="I74" s="49" t="str">
        <f aca="false">IF(H74="","",IFERROR(INDEX(Settings!$G$2:$G$4,MATCH(H74,Settings!$F$2:$F$4,0)),""))</f>
        <v/>
      </c>
      <c r="J74" s="40"/>
      <c r="K74" s="50"/>
      <c r="L74" s="17"/>
      <c r="M74" s="40"/>
      <c r="N74" s="40"/>
      <c r="O74" s="45" t="str">
        <f aca="false">IF(N74="","",WORKDAY(N74,Settings!$S$4))</f>
        <v/>
      </c>
      <c r="P74" s="17"/>
      <c r="Q74" s="44" t="str">
        <f aca="true">IF(C74="","",IF(P74="Backed out",IF(S74="Paid","Refunded – closed",IF(R74="","Refund – log reason first","Refund in progress")),IF(K74="","Awaiting payment",IF(N74="",IF(M74="","Schedule free video","Free video in production"),IF(P74="Approved","Active",IF(TODAY()&gt;O74,"Active – plan went ahead","Decision pending – "&amp;NETWORKDAYS(TODAY(),O74)&amp;" working day(s) left"))))))</f>
        <v/>
      </c>
      <c r="R74" s="17"/>
      <c r="S74" s="17"/>
      <c r="T74" s="50"/>
      <c r="U74" s="40"/>
      <c r="V74" s="40"/>
      <c r="W74" s="45" t="str">
        <f aca="false">IF(V74="","",EDATE(V74,Settings!$S$6))</f>
        <v/>
      </c>
      <c r="X74" s="17"/>
      <c r="Y74" s="17"/>
      <c r="Z74" s="17"/>
    </row>
    <row r="75" customFormat="false" ht="15" hidden="false" customHeight="false" outlineLevel="0" collapsed="false">
      <c r="A75" s="17"/>
      <c r="B75" s="17"/>
      <c r="C75" s="17"/>
      <c r="D75" s="17"/>
      <c r="E75" s="42"/>
      <c r="F75" s="17"/>
      <c r="G75" s="17"/>
      <c r="H75" s="17"/>
      <c r="I75" s="49" t="str">
        <f aca="false">IF(H75="","",IFERROR(INDEX(Settings!$G$2:$G$4,MATCH(H75,Settings!$F$2:$F$4,0)),""))</f>
        <v/>
      </c>
      <c r="J75" s="40"/>
      <c r="K75" s="50"/>
      <c r="L75" s="17"/>
      <c r="M75" s="40"/>
      <c r="N75" s="40"/>
      <c r="O75" s="45" t="str">
        <f aca="false">IF(N75="","",WORKDAY(N75,Settings!$S$4))</f>
        <v/>
      </c>
      <c r="P75" s="17"/>
      <c r="Q75" s="44" t="str">
        <f aca="true">IF(C75="","",IF(P75="Backed out",IF(S75="Paid","Refunded – closed",IF(R75="","Refund – log reason first","Refund in progress")),IF(K75="","Awaiting payment",IF(N75="",IF(M75="","Schedule free video","Free video in production"),IF(P75="Approved","Active",IF(TODAY()&gt;O75,"Active – plan went ahead","Decision pending – "&amp;NETWORKDAYS(TODAY(),O75)&amp;" working day(s) left"))))))</f>
        <v/>
      </c>
      <c r="R75" s="17"/>
      <c r="S75" s="17"/>
      <c r="T75" s="50"/>
      <c r="U75" s="40"/>
      <c r="V75" s="40"/>
      <c r="W75" s="45" t="str">
        <f aca="false">IF(V75="","",EDATE(V75,Settings!$S$6))</f>
        <v/>
      </c>
      <c r="X75" s="17"/>
      <c r="Y75" s="17"/>
      <c r="Z75" s="17"/>
    </row>
    <row r="76" customFormat="false" ht="15" hidden="false" customHeight="false" outlineLevel="0" collapsed="false">
      <c r="A76" s="17"/>
      <c r="B76" s="17"/>
      <c r="C76" s="17"/>
      <c r="D76" s="17"/>
      <c r="E76" s="42"/>
      <c r="F76" s="17"/>
      <c r="G76" s="17"/>
      <c r="H76" s="17"/>
      <c r="I76" s="49" t="str">
        <f aca="false">IF(H76="","",IFERROR(INDEX(Settings!$G$2:$G$4,MATCH(H76,Settings!$F$2:$F$4,0)),""))</f>
        <v/>
      </c>
      <c r="J76" s="40"/>
      <c r="K76" s="50"/>
      <c r="L76" s="17"/>
      <c r="M76" s="40"/>
      <c r="N76" s="40"/>
      <c r="O76" s="45" t="str">
        <f aca="false">IF(N76="","",WORKDAY(N76,Settings!$S$4))</f>
        <v/>
      </c>
      <c r="P76" s="17"/>
      <c r="Q76" s="44" t="str">
        <f aca="true">IF(C76="","",IF(P76="Backed out",IF(S76="Paid","Refunded – closed",IF(R76="","Refund – log reason first","Refund in progress")),IF(K76="","Awaiting payment",IF(N76="",IF(M76="","Schedule free video","Free video in production"),IF(P76="Approved","Active",IF(TODAY()&gt;O76,"Active – plan went ahead","Decision pending – "&amp;NETWORKDAYS(TODAY(),O76)&amp;" working day(s) left"))))))</f>
        <v/>
      </c>
      <c r="R76" s="17"/>
      <c r="S76" s="17"/>
      <c r="T76" s="50"/>
      <c r="U76" s="40"/>
      <c r="V76" s="40"/>
      <c r="W76" s="45" t="str">
        <f aca="false">IF(V76="","",EDATE(V76,Settings!$S$6))</f>
        <v/>
      </c>
      <c r="X76" s="17"/>
      <c r="Y76" s="17"/>
      <c r="Z76" s="17"/>
    </row>
    <row r="77" customFormat="false" ht="15" hidden="false" customHeight="false" outlineLevel="0" collapsed="false">
      <c r="A77" s="17"/>
      <c r="B77" s="17"/>
      <c r="C77" s="17"/>
      <c r="D77" s="17"/>
      <c r="E77" s="42"/>
      <c r="F77" s="17"/>
      <c r="G77" s="17"/>
      <c r="H77" s="17"/>
      <c r="I77" s="49" t="str">
        <f aca="false">IF(H77="","",IFERROR(INDEX(Settings!$G$2:$G$4,MATCH(H77,Settings!$F$2:$F$4,0)),""))</f>
        <v/>
      </c>
      <c r="J77" s="40"/>
      <c r="K77" s="50"/>
      <c r="L77" s="17"/>
      <c r="M77" s="40"/>
      <c r="N77" s="40"/>
      <c r="O77" s="45" t="str">
        <f aca="false">IF(N77="","",WORKDAY(N77,Settings!$S$4))</f>
        <v/>
      </c>
      <c r="P77" s="17"/>
      <c r="Q77" s="44" t="str">
        <f aca="true">IF(C77="","",IF(P77="Backed out",IF(S77="Paid","Refunded – closed",IF(R77="","Refund – log reason first","Refund in progress")),IF(K77="","Awaiting payment",IF(N77="",IF(M77="","Schedule free video","Free video in production"),IF(P77="Approved","Active",IF(TODAY()&gt;O77,"Active – plan went ahead","Decision pending – "&amp;NETWORKDAYS(TODAY(),O77)&amp;" working day(s) left"))))))</f>
        <v/>
      </c>
      <c r="R77" s="17"/>
      <c r="S77" s="17"/>
      <c r="T77" s="50"/>
      <c r="U77" s="40"/>
      <c r="V77" s="40"/>
      <c r="W77" s="45" t="str">
        <f aca="false">IF(V77="","",EDATE(V77,Settings!$S$6))</f>
        <v/>
      </c>
      <c r="X77" s="17"/>
      <c r="Y77" s="17"/>
      <c r="Z77" s="17"/>
    </row>
    <row r="78" customFormat="false" ht="15" hidden="false" customHeight="false" outlineLevel="0" collapsed="false">
      <c r="A78" s="17"/>
      <c r="B78" s="17"/>
      <c r="C78" s="17"/>
      <c r="D78" s="17"/>
      <c r="E78" s="42"/>
      <c r="F78" s="17"/>
      <c r="G78" s="17"/>
      <c r="H78" s="17"/>
      <c r="I78" s="49" t="str">
        <f aca="false">IF(H78="","",IFERROR(INDEX(Settings!$G$2:$G$4,MATCH(H78,Settings!$F$2:$F$4,0)),""))</f>
        <v/>
      </c>
      <c r="J78" s="40"/>
      <c r="K78" s="50"/>
      <c r="L78" s="17"/>
      <c r="M78" s="40"/>
      <c r="N78" s="40"/>
      <c r="O78" s="45" t="str">
        <f aca="false">IF(N78="","",WORKDAY(N78,Settings!$S$4))</f>
        <v/>
      </c>
      <c r="P78" s="17"/>
      <c r="Q78" s="44" t="str">
        <f aca="true">IF(C78="","",IF(P78="Backed out",IF(S78="Paid","Refunded – closed",IF(R78="","Refund – log reason first","Refund in progress")),IF(K78="","Awaiting payment",IF(N78="",IF(M78="","Schedule free video","Free video in production"),IF(P78="Approved","Active",IF(TODAY()&gt;O78,"Active – plan went ahead","Decision pending – "&amp;NETWORKDAYS(TODAY(),O78)&amp;" working day(s) left"))))))</f>
        <v/>
      </c>
      <c r="R78" s="17"/>
      <c r="S78" s="17"/>
      <c r="T78" s="50"/>
      <c r="U78" s="40"/>
      <c r="V78" s="40"/>
      <c r="W78" s="45" t="str">
        <f aca="false">IF(V78="","",EDATE(V78,Settings!$S$6))</f>
        <v/>
      </c>
      <c r="X78" s="17"/>
      <c r="Y78" s="17"/>
      <c r="Z78" s="17"/>
    </row>
    <row r="79" customFormat="false" ht="15" hidden="false" customHeight="false" outlineLevel="0" collapsed="false">
      <c r="A79" s="17"/>
      <c r="B79" s="17"/>
      <c r="C79" s="17"/>
      <c r="D79" s="17"/>
      <c r="E79" s="42"/>
      <c r="F79" s="17"/>
      <c r="G79" s="17"/>
      <c r="H79" s="17"/>
      <c r="I79" s="49" t="str">
        <f aca="false">IF(H79="","",IFERROR(INDEX(Settings!$G$2:$G$4,MATCH(H79,Settings!$F$2:$F$4,0)),""))</f>
        <v/>
      </c>
      <c r="J79" s="40"/>
      <c r="K79" s="50"/>
      <c r="L79" s="17"/>
      <c r="M79" s="40"/>
      <c r="N79" s="40"/>
      <c r="O79" s="45" t="str">
        <f aca="false">IF(N79="","",WORKDAY(N79,Settings!$S$4))</f>
        <v/>
      </c>
      <c r="P79" s="17"/>
      <c r="Q79" s="44" t="str">
        <f aca="true">IF(C79="","",IF(P79="Backed out",IF(S79="Paid","Refunded – closed",IF(R79="","Refund – log reason first","Refund in progress")),IF(K79="","Awaiting payment",IF(N79="",IF(M79="","Schedule free video","Free video in production"),IF(P79="Approved","Active",IF(TODAY()&gt;O79,"Active – plan went ahead","Decision pending – "&amp;NETWORKDAYS(TODAY(),O79)&amp;" working day(s) left"))))))</f>
        <v/>
      </c>
      <c r="R79" s="17"/>
      <c r="S79" s="17"/>
      <c r="T79" s="50"/>
      <c r="U79" s="40"/>
      <c r="V79" s="40"/>
      <c r="W79" s="45" t="str">
        <f aca="false">IF(V79="","",EDATE(V79,Settings!$S$6))</f>
        <v/>
      </c>
      <c r="X79" s="17"/>
      <c r="Y79" s="17"/>
      <c r="Z79" s="17"/>
    </row>
    <row r="80" customFormat="false" ht="15" hidden="false" customHeight="false" outlineLevel="0" collapsed="false">
      <c r="A80" s="17"/>
      <c r="B80" s="17"/>
      <c r="C80" s="17"/>
      <c r="D80" s="17"/>
      <c r="E80" s="42"/>
      <c r="F80" s="17"/>
      <c r="G80" s="17"/>
      <c r="H80" s="17"/>
      <c r="I80" s="49" t="str">
        <f aca="false">IF(H80="","",IFERROR(INDEX(Settings!$G$2:$G$4,MATCH(H80,Settings!$F$2:$F$4,0)),""))</f>
        <v/>
      </c>
      <c r="J80" s="40"/>
      <c r="K80" s="50"/>
      <c r="L80" s="17"/>
      <c r="M80" s="40"/>
      <c r="N80" s="40"/>
      <c r="O80" s="45" t="str">
        <f aca="false">IF(N80="","",WORKDAY(N80,Settings!$S$4))</f>
        <v/>
      </c>
      <c r="P80" s="17"/>
      <c r="Q80" s="44" t="str">
        <f aca="true">IF(C80="","",IF(P80="Backed out",IF(S80="Paid","Refunded – closed",IF(R80="","Refund – log reason first","Refund in progress")),IF(K80="","Awaiting payment",IF(N80="",IF(M80="","Schedule free video","Free video in production"),IF(P80="Approved","Active",IF(TODAY()&gt;O80,"Active – plan went ahead","Decision pending – "&amp;NETWORKDAYS(TODAY(),O80)&amp;" working day(s) left"))))))</f>
        <v/>
      </c>
      <c r="R80" s="17"/>
      <c r="S80" s="17"/>
      <c r="T80" s="50"/>
      <c r="U80" s="40"/>
      <c r="V80" s="40"/>
      <c r="W80" s="45" t="str">
        <f aca="false">IF(V80="","",EDATE(V80,Settings!$S$6))</f>
        <v/>
      </c>
      <c r="X80" s="17"/>
      <c r="Y80" s="17"/>
      <c r="Z80" s="17"/>
    </row>
    <row r="81" customFormat="false" ht="15" hidden="false" customHeight="false" outlineLevel="0" collapsed="false">
      <c r="A81" s="17"/>
      <c r="B81" s="17"/>
      <c r="C81" s="17"/>
      <c r="D81" s="17"/>
      <c r="E81" s="42"/>
      <c r="F81" s="17"/>
      <c r="G81" s="17"/>
      <c r="H81" s="17"/>
      <c r="I81" s="49" t="str">
        <f aca="false">IF(H81="","",IFERROR(INDEX(Settings!$G$2:$G$4,MATCH(H81,Settings!$F$2:$F$4,0)),""))</f>
        <v/>
      </c>
      <c r="J81" s="40"/>
      <c r="K81" s="50"/>
      <c r="L81" s="17"/>
      <c r="M81" s="40"/>
      <c r="N81" s="40"/>
      <c r="O81" s="45" t="str">
        <f aca="false">IF(N81="","",WORKDAY(N81,Settings!$S$4))</f>
        <v/>
      </c>
      <c r="P81" s="17"/>
      <c r="Q81" s="44" t="str">
        <f aca="true">IF(C81="","",IF(P81="Backed out",IF(S81="Paid","Refunded – closed",IF(R81="","Refund – log reason first","Refund in progress")),IF(K81="","Awaiting payment",IF(N81="",IF(M81="","Schedule free video","Free video in production"),IF(P81="Approved","Active",IF(TODAY()&gt;O81,"Active – plan went ahead","Decision pending – "&amp;NETWORKDAYS(TODAY(),O81)&amp;" working day(s) left"))))))</f>
        <v/>
      </c>
      <c r="R81" s="17"/>
      <c r="S81" s="17"/>
      <c r="T81" s="50"/>
      <c r="U81" s="40"/>
      <c r="V81" s="40"/>
      <c r="W81" s="45" t="str">
        <f aca="false">IF(V81="","",EDATE(V81,Settings!$S$6))</f>
        <v/>
      </c>
      <c r="X81" s="17"/>
      <c r="Y81" s="17"/>
      <c r="Z81" s="17"/>
    </row>
    <row r="82" customFormat="false" ht="15" hidden="false" customHeight="false" outlineLevel="0" collapsed="false">
      <c r="A82" s="17"/>
      <c r="B82" s="17"/>
      <c r="C82" s="17"/>
      <c r="D82" s="17"/>
      <c r="E82" s="42"/>
      <c r="F82" s="17"/>
      <c r="G82" s="17"/>
      <c r="H82" s="17"/>
      <c r="I82" s="49" t="str">
        <f aca="false">IF(H82="","",IFERROR(INDEX(Settings!$G$2:$G$4,MATCH(H82,Settings!$F$2:$F$4,0)),""))</f>
        <v/>
      </c>
      <c r="J82" s="40"/>
      <c r="K82" s="50"/>
      <c r="L82" s="17"/>
      <c r="M82" s="40"/>
      <c r="N82" s="40"/>
      <c r="O82" s="45" t="str">
        <f aca="false">IF(N82="","",WORKDAY(N82,Settings!$S$4))</f>
        <v/>
      </c>
      <c r="P82" s="17"/>
      <c r="Q82" s="44" t="str">
        <f aca="true">IF(C82="","",IF(P82="Backed out",IF(S82="Paid","Refunded – closed",IF(R82="","Refund – log reason first","Refund in progress")),IF(K82="","Awaiting payment",IF(N82="",IF(M82="","Schedule free video","Free video in production"),IF(P82="Approved","Active",IF(TODAY()&gt;O82,"Active – plan went ahead","Decision pending – "&amp;NETWORKDAYS(TODAY(),O82)&amp;" working day(s) left"))))))</f>
        <v/>
      </c>
      <c r="R82" s="17"/>
      <c r="S82" s="17"/>
      <c r="T82" s="50"/>
      <c r="U82" s="40"/>
      <c r="V82" s="40"/>
      <c r="W82" s="45" t="str">
        <f aca="false">IF(V82="","",EDATE(V82,Settings!$S$6))</f>
        <v/>
      </c>
      <c r="X82" s="17"/>
      <c r="Y82" s="17"/>
      <c r="Z82" s="17"/>
    </row>
    <row r="83" customFormat="false" ht="15" hidden="false" customHeight="false" outlineLevel="0" collapsed="false">
      <c r="A83" s="17"/>
      <c r="B83" s="17"/>
      <c r="C83" s="17"/>
      <c r="D83" s="17"/>
      <c r="E83" s="42"/>
      <c r="F83" s="17"/>
      <c r="G83" s="17"/>
      <c r="H83" s="17"/>
      <c r="I83" s="49" t="str">
        <f aca="false">IF(H83="","",IFERROR(INDEX(Settings!$G$2:$G$4,MATCH(H83,Settings!$F$2:$F$4,0)),""))</f>
        <v/>
      </c>
      <c r="J83" s="40"/>
      <c r="K83" s="50"/>
      <c r="L83" s="17"/>
      <c r="M83" s="40"/>
      <c r="N83" s="40"/>
      <c r="O83" s="45" t="str">
        <f aca="false">IF(N83="","",WORKDAY(N83,Settings!$S$4))</f>
        <v/>
      </c>
      <c r="P83" s="17"/>
      <c r="Q83" s="44" t="str">
        <f aca="true">IF(C83="","",IF(P83="Backed out",IF(S83="Paid","Refunded – closed",IF(R83="","Refund – log reason first","Refund in progress")),IF(K83="","Awaiting payment",IF(N83="",IF(M83="","Schedule free video","Free video in production"),IF(P83="Approved","Active",IF(TODAY()&gt;O83,"Active – plan went ahead","Decision pending – "&amp;NETWORKDAYS(TODAY(),O83)&amp;" working day(s) left"))))))</f>
        <v/>
      </c>
      <c r="R83" s="17"/>
      <c r="S83" s="17"/>
      <c r="T83" s="50"/>
      <c r="U83" s="40"/>
      <c r="V83" s="40"/>
      <c r="W83" s="45" t="str">
        <f aca="false">IF(V83="","",EDATE(V83,Settings!$S$6))</f>
        <v/>
      </c>
      <c r="X83" s="17"/>
      <c r="Y83" s="17"/>
      <c r="Z83" s="17"/>
    </row>
    <row r="84" customFormat="false" ht="15" hidden="false" customHeight="false" outlineLevel="0" collapsed="false">
      <c r="A84" s="17"/>
      <c r="B84" s="17"/>
      <c r="C84" s="17"/>
      <c r="D84" s="17"/>
      <c r="E84" s="42"/>
      <c r="F84" s="17"/>
      <c r="G84" s="17"/>
      <c r="H84" s="17"/>
      <c r="I84" s="49" t="str">
        <f aca="false">IF(H84="","",IFERROR(INDEX(Settings!$G$2:$G$4,MATCH(H84,Settings!$F$2:$F$4,0)),""))</f>
        <v/>
      </c>
      <c r="J84" s="40"/>
      <c r="K84" s="50"/>
      <c r="L84" s="17"/>
      <c r="M84" s="40"/>
      <c r="N84" s="40"/>
      <c r="O84" s="45" t="str">
        <f aca="false">IF(N84="","",WORKDAY(N84,Settings!$S$4))</f>
        <v/>
      </c>
      <c r="P84" s="17"/>
      <c r="Q84" s="44" t="str">
        <f aca="true">IF(C84="","",IF(P84="Backed out",IF(S84="Paid","Refunded – closed",IF(R84="","Refund – log reason first","Refund in progress")),IF(K84="","Awaiting payment",IF(N84="",IF(M84="","Schedule free video","Free video in production"),IF(P84="Approved","Active",IF(TODAY()&gt;O84,"Active – plan went ahead","Decision pending – "&amp;NETWORKDAYS(TODAY(),O84)&amp;" working day(s) left"))))))</f>
        <v/>
      </c>
      <c r="R84" s="17"/>
      <c r="S84" s="17"/>
      <c r="T84" s="50"/>
      <c r="U84" s="40"/>
      <c r="V84" s="40"/>
      <c r="W84" s="45" t="str">
        <f aca="false">IF(V84="","",EDATE(V84,Settings!$S$6))</f>
        <v/>
      </c>
      <c r="X84" s="17"/>
      <c r="Y84" s="17"/>
      <c r="Z84" s="17"/>
    </row>
    <row r="85" customFormat="false" ht="15" hidden="false" customHeight="false" outlineLevel="0" collapsed="false">
      <c r="A85" s="17"/>
      <c r="B85" s="17"/>
      <c r="C85" s="17"/>
      <c r="D85" s="17"/>
      <c r="E85" s="42"/>
      <c r="F85" s="17"/>
      <c r="G85" s="17"/>
      <c r="H85" s="17"/>
      <c r="I85" s="49" t="str">
        <f aca="false">IF(H85="","",IFERROR(INDEX(Settings!$G$2:$G$4,MATCH(H85,Settings!$F$2:$F$4,0)),""))</f>
        <v/>
      </c>
      <c r="J85" s="40"/>
      <c r="K85" s="50"/>
      <c r="L85" s="17"/>
      <c r="M85" s="40"/>
      <c r="N85" s="40"/>
      <c r="O85" s="45" t="str">
        <f aca="false">IF(N85="","",WORKDAY(N85,Settings!$S$4))</f>
        <v/>
      </c>
      <c r="P85" s="17"/>
      <c r="Q85" s="44" t="str">
        <f aca="true">IF(C85="","",IF(P85="Backed out",IF(S85="Paid","Refunded – closed",IF(R85="","Refund – log reason first","Refund in progress")),IF(K85="","Awaiting payment",IF(N85="",IF(M85="","Schedule free video","Free video in production"),IF(P85="Approved","Active",IF(TODAY()&gt;O85,"Active – plan went ahead","Decision pending – "&amp;NETWORKDAYS(TODAY(),O85)&amp;" working day(s) left"))))))</f>
        <v/>
      </c>
      <c r="R85" s="17"/>
      <c r="S85" s="17"/>
      <c r="T85" s="50"/>
      <c r="U85" s="40"/>
      <c r="V85" s="40"/>
      <c r="W85" s="45" t="str">
        <f aca="false">IF(V85="","",EDATE(V85,Settings!$S$6))</f>
        <v/>
      </c>
      <c r="X85" s="17"/>
      <c r="Y85" s="17"/>
      <c r="Z85" s="17"/>
    </row>
    <row r="86" customFormat="false" ht="15" hidden="false" customHeight="false" outlineLevel="0" collapsed="false">
      <c r="A86" s="17"/>
      <c r="B86" s="17"/>
      <c r="C86" s="17"/>
      <c r="D86" s="17"/>
      <c r="E86" s="42"/>
      <c r="F86" s="17"/>
      <c r="G86" s="17"/>
      <c r="H86" s="17"/>
      <c r="I86" s="49" t="str">
        <f aca="false">IF(H86="","",IFERROR(INDEX(Settings!$G$2:$G$4,MATCH(H86,Settings!$F$2:$F$4,0)),""))</f>
        <v/>
      </c>
      <c r="J86" s="40"/>
      <c r="K86" s="50"/>
      <c r="L86" s="17"/>
      <c r="M86" s="40"/>
      <c r="N86" s="40"/>
      <c r="O86" s="45" t="str">
        <f aca="false">IF(N86="","",WORKDAY(N86,Settings!$S$4))</f>
        <v/>
      </c>
      <c r="P86" s="17"/>
      <c r="Q86" s="44" t="str">
        <f aca="true">IF(C86="","",IF(P86="Backed out",IF(S86="Paid","Refunded – closed",IF(R86="","Refund – log reason first","Refund in progress")),IF(K86="","Awaiting payment",IF(N86="",IF(M86="","Schedule free video","Free video in production"),IF(P86="Approved","Active",IF(TODAY()&gt;O86,"Active – plan went ahead","Decision pending – "&amp;NETWORKDAYS(TODAY(),O86)&amp;" working day(s) left"))))))</f>
        <v/>
      </c>
      <c r="R86" s="17"/>
      <c r="S86" s="17"/>
      <c r="T86" s="50"/>
      <c r="U86" s="40"/>
      <c r="V86" s="40"/>
      <c r="W86" s="45" t="str">
        <f aca="false">IF(V86="","",EDATE(V86,Settings!$S$6))</f>
        <v/>
      </c>
      <c r="X86" s="17"/>
      <c r="Y86" s="17"/>
      <c r="Z86" s="17"/>
    </row>
    <row r="87" customFormat="false" ht="15" hidden="false" customHeight="false" outlineLevel="0" collapsed="false">
      <c r="A87" s="17"/>
      <c r="B87" s="17"/>
      <c r="C87" s="17"/>
      <c r="D87" s="17"/>
      <c r="E87" s="42"/>
      <c r="F87" s="17"/>
      <c r="G87" s="17"/>
      <c r="H87" s="17"/>
      <c r="I87" s="49" t="str">
        <f aca="false">IF(H87="","",IFERROR(INDEX(Settings!$G$2:$G$4,MATCH(H87,Settings!$F$2:$F$4,0)),""))</f>
        <v/>
      </c>
      <c r="J87" s="40"/>
      <c r="K87" s="50"/>
      <c r="L87" s="17"/>
      <c r="M87" s="40"/>
      <c r="N87" s="40"/>
      <c r="O87" s="45" t="str">
        <f aca="false">IF(N87="","",WORKDAY(N87,Settings!$S$4))</f>
        <v/>
      </c>
      <c r="P87" s="17"/>
      <c r="Q87" s="44" t="str">
        <f aca="true">IF(C87="","",IF(P87="Backed out",IF(S87="Paid","Refunded – closed",IF(R87="","Refund – log reason first","Refund in progress")),IF(K87="","Awaiting payment",IF(N87="",IF(M87="","Schedule free video","Free video in production"),IF(P87="Approved","Active",IF(TODAY()&gt;O87,"Active – plan went ahead","Decision pending – "&amp;NETWORKDAYS(TODAY(),O87)&amp;" working day(s) left"))))))</f>
        <v/>
      </c>
      <c r="R87" s="17"/>
      <c r="S87" s="17"/>
      <c r="T87" s="50"/>
      <c r="U87" s="40"/>
      <c r="V87" s="40"/>
      <c r="W87" s="45" t="str">
        <f aca="false">IF(V87="","",EDATE(V87,Settings!$S$6))</f>
        <v/>
      </c>
      <c r="X87" s="17"/>
      <c r="Y87" s="17"/>
      <c r="Z87" s="17"/>
    </row>
    <row r="88" customFormat="false" ht="15" hidden="false" customHeight="false" outlineLevel="0" collapsed="false">
      <c r="A88" s="17"/>
      <c r="B88" s="17"/>
      <c r="C88" s="17"/>
      <c r="D88" s="17"/>
      <c r="E88" s="42"/>
      <c r="F88" s="17"/>
      <c r="G88" s="17"/>
      <c r="H88" s="17"/>
      <c r="I88" s="49" t="str">
        <f aca="false">IF(H88="","",IFERROR(INDEX(Settings!$G$2:$G$4,MATCH(H88,Settings!$F$2:$F$4,0)),""))</f>
        <v/>
      </c>
      <c r="J88" s="40"/>
      <c r="K88" s="50"/>
      <c r="L88" s="17"/>
      <c r="M88" s="40"/>
      <c r="N88" s="40"/>
      <c r="O88" s="45" t="str">
        <f aca="false">IF(N88="","",WORKDAY(N88,Settings!$S$4))</f>
        <v/>
      </c>
      <c r="P88" s="17"/>
      <c r="Q88" s="44" t="str">
        <f aca="true">IF(C88="","",IF(P88="Backed out",IF(S88="Paid","Refunded – closed",IF(R88="","Refund – log reason first","Refund in progress")),IF(K88="","Awaiting payment",IF(N88="",IF(M88="","Schedule free video","Free video in production"),IF(P88="Approved","Active",IF(TODAY()&gt;O88,"Active – plan went ahead","Decision pending – "&amp;NETWORKDAYS(TODAY(),O88)&amp;" working day(s) left"))))))</f>
        <v/>
      </c>
      <c r="R88" s="17"/>
      <c r="S88" s="17"/>
      <c r="T88" s="50"/>
      <c r="U88" s="40"/>
      <c r="V88" s="40"/>
      <c r="W88" s="45" t="str">
        <f aca="false">IF(V88="","",EDATE(V88,Settings!$S$6))</f>
        <v/>
      </c>
      <c r="X88" s="17"/>
      <c r="Y88" s="17"/>
      <c r="Z88" s="17"/>
    </row>
    <row r="89" customFormat="false" ht="15" hidden="false" customHeight="false" outlineLevel="0" collapsed="false">
      <c r="A89" s="17"/>
      <c r="B89" s="17"/>
      <c r="C89" s="17"/>
      <c r="D89" s="17"/>
      <c r="E89" s="42"/>
      <c r="F89" s="17"/>
      <c r="G89" s="17"/>
      <c r="H89" s="17"/>
      <c r="I89" s="49" t="str">
        <f aca="false">IF(H89="","",IFERROR(INDEX(Settings!$G$2:$G$4,MATCH(H89,Settings!$F$2:$F$4,0)),""))</f>
        <v/>
      </c>
      <c r="J89" s="40"/>
      <c r="K89" s="50"/>
      <c r="L89" s="17"/>
      <c r="M89" s="40"/>
      <c r="N89" s="40"/>
      <c r="O89" s="45" t="str">
        <f aca="false">IF(N89="","",WORKDAY(N89,Settings!$S$4))</f>
        <v/>
      </c>
      <c r="P89" s="17"/>
      <c r="Q89" s="44" t="str">
        <f aca="true">IF(C89="","",IF(P89="Backed out",IF(S89="Paid","Refunded – closed",IF(R89="","Refund – log reason first","Refund in progress")),IF(K89="","Awaiting payment",IF(N89="",IF(M89="","Schedule free video","Free video in production"),IF(P89="Approved","Active",IF(TODAY()&gt;O89,"Active – plan went ahead","Decision pending – "&amp;NETWORKDAYS(TODAY(),O89)&amp;" working day(s) left"))))))</f>
        <v/>
      </c>
      <c r="R89" s="17"/>
      <c r="S89" s="17"/>
      <c r="T89" s="50"/>
      <c r="U89" s="40"/>
      <c r="V89" s="40"/>
      <c r="W89" s="45" t="str">
        <f aca="false">IF(V89="","",EDATE(V89,Settings!$S$6))</f>
        <v/>
      </c>
      <c r="X89" s="17"/>
      <c r="Y89" s="17"/>
      <c r="Z89" s="17"/>
    </row>
    <row r="90" customFormat="false" ht="15" hidden="false" customHeight="false" outlineLevel="0" collapsed="false">
      <c r="A90" s="17"/>
      <c r="B90" s="17"/>
      <c r="C90" s="17"/>
      <c r="D90" s="17"/>
      <c r="E90" s="42"/>
      <c r="F90" s="17"/>
      <c r="G90" s="17"/>
      <c r="H90" s="17"/>
      <c r="I90" s="49" t="str">
        <f aca="false">IF(H90="","",IFERROR(INDEX(Settings!$G$2:$G$4,MATCH(H90,Settings!$F$2:$F$4,0)),""))</f>
        <v/>
      </c>
      <c r="J90" s="40"/>
      <c r="K90" s="50"/>
      <c r="L90" s="17"/>
      <c r="M90" s="40"/>
      <c r="N90" s="40"/>
      <c r="O90" s="45" t="str">
        <f aca="false">IF(N90="","",WORKDAY(N90,Settings!$S$4))</f>
        <v/>
      </c>
      <c r="P90" s="17"/>
      <c r="Q90" s="44" t="str">
        <f aca="true">IF(C90="","",IF(P90="Backed out",IF(S90="Paid","Refunded – closed",IF(R90="","Refund – log reason first","Refund in progress")),IF(K90="","Awaiting payment",IF(N90="",IF(M90="","Schedule free video","Free video in production"),IF(P90="Approved","Active",IF(TODAY()&gt;O90,"Active – plan went ahead","Decision pending – "&amp;NETWORKDAYS(TODAY(),O90)&amp;" working day(s) left"))))))</f>
        <v/>
      </c>
      <c r="R90" s="17"/>
      <c r="S90" s="17"/>
      <c r="T90" s="50"/>
      <c r="U90" s="40"/>
      <c r="V90" s="40"/>
      <c r="W90" s="45" t="str">
        <f aca="false">IF(V90="","",EDATE(V90,Settings!$S$6))</f>
        <v/>
      </c>
      <c r="X90" s="17"/>
      <c r="Y90" s="17"/>
      <c r="Z90" s="17"/>
    </row>
    <row r="91" customFormat="false" ht="15" hidden="false" customHeight="false" outlineLevel="0" collapsed="false">
      <c r="A91" s="17"/>
      <c r="B91" s="17"/>
      <c r="C91" s="17"/>
      <c r="D91" s="17"/>
      <c r="E91" s="42"/>
      <c r="F91" s="17"/>
      <c r="G91" s="17"/>
      <c r="H91" s="17"/>
      <c r="I91" s="49" t="str">
        <f aca="false">IF(H91="","",IFERROR(INDEX(Settings!$G$2:$G$4,MATCH(H91,Settings!$F$2:$F$4,0)),""))</f>
        <v/>
      </c>
      <c r="J91" s="40"/>
      <c r="K91" s="50"/>
      <c r="L91" s="17"/>
      <c r="M91" s="40"/>
      <c r="N91" s="40"/>
      <c r="O91" s="45" t="str">
        <f aca="false">IF(N91="","",WORKDAY(N91,Settings!$S$4))</f>
        <v/>
      </c>
      <c r="P91" s="17"/>
      <c r="Q91" s="44" t="str">
        <f aca="true">IF(C91="","",IF(P91="Backed out",IF(S91="Paid","Refunded – closed",IF(R91="","Refund – log reason first","Refund in progress")),IF(K91="","Awaiting payment",IF(N91="",IF(M91="","Schedule free video","Free video in production"),IF(P91="Approved","Active",IF(TODAY()&gt;O91,"Active – plan went ahead","Decision pending – "&amp;NETWORKDAYS(TODAY(),O91)&amp;" working day(s) left"))))))</f>
        <v/>
      </c>
      <c r="R91" s="17"/>
      <c r="S91" s="17"/>
      <c r="T91" s="50"/>
      <c r="U91" s="40"/>
      <c r="V91" s="40"/>
      <c r="W91" s="45" t="str">
        <f aca="false">IF(V91="","",EDATE(V91,Settings!$S$6))</f>
        <v/>
      </c>
      <c r="X91" s="17"/>
      <c r="Y91" s="17"/>
      <c r="Z91" s="17"/>
    </row>
    <row r="92" customFormat="false" ht="15" hidden="false" customHeight="false" outlineLevel="0" collapsed="false">
      <c r="A92" s="17"/>
      <c r="B92" s="17"/>
      <c r="C92" s="17"/>
      <c r="D92" s="17"/>
      <c r="E92" s="42"/>
      <c r="F92" s="17"/>
      <c r="G92" s="17"/>
      <c r="H92" s="17"/>
      <c r="I92" s="49" t="str">
        <f aca="false">IF(H92="","",IFERROR(INDEX(Settings!$G$2:$G$4,MATCH(H92,Settings!$F$2:$F$4,0)),""))</f>
        <v/>
      </c>
      <c r="J92" s="40"/>
      <c r="K92" s="50"/>
      <c r="L92" s="17"/>
      <c r="M92" s="40"/>
      <c r="N92" s="40"/>
      <c r="O92" s="45" t="str">
        <f aca="false">IF(N92="","",WORKDAY(N92,Settings!$S$4))</f>
        <v/>
      </c>
      <c r="P92" s="17"/>
      <c r="Q92" s="44" t="str">
        <f aca="true">IF(C92="","",IF(P92="Backed out",IF(S92="Paid","Refunded – closed",IF(R92="","Refund – log reason first","Refund in progress")),IF(K92="","Awaiting payment",IF(N92="",IF(M92="","Schedule free video","Free video in production"),IF(P92="Approved","Active",IF(TODAY()&gt;O92,"Active – plan went ahead","Decision pending – "&amp;NETWORKDAYS(TODAY(),O92)&amp;" working day(s) left"))))))</f>
        <v/>
      </c>
      <c r="R92" s="17"/>
      <c r="S92" s="17"/>
      <c r="T92" s="50"/>
      <c r="U92" s="40"/>
      <c r="V92" s="40"/>
      <c r="W92" s="45" t="str">
        <f aca="false">IF(V92="","",EDATE(V92,Settings!$S$6))</f>
        <v/>
      </c>
      <c r="X92" s="17"/>
      <c r="Y92" s="17"/>
      <c r="Z92" s="17"/>
    </row>
    <row r="93" customFormat="false" ht="15" hidden="false" customHeight="false" outlineLevel="0" collapsed="false">
      <c r="A93" s="17"/>
      <c r="B93" s="17"/>
      <c r="C93" s="17"/>
      <c r="D93" s="17"/>
      <c r="E93" s="42"/>
      <c r="F93" s="17"/>
      <c r="G93" s="17"/>
      <c r="H93" s="17"/>
      <c r="I93" s="49" t="str">
        <f aca="false">IF(H93="","",IFERROR(INDEX(Settings!$G$2:$G$4,MATCH(H93,Settings!$F$2:$F$4,0)),""))</f>
        <v/>
      </c>
      <c r="J93" s="40"/>
      <c r="K93" s="50"/>
      <c r="L93" s="17"/>
      <c r="M93" s="40"/>
      <c r="N93" s="40"/>
      <c r="O93" s="45" t="str">
        <f aca="false">IF(N93="","",WORKDAY(N93,Settings!$S$4))</f>
        <v/>
      </c>
      <c r="P93" s="17"/>
      <c r="Q93" s="44" t="str">
        <f aca="true">IF(C93="","",IF(P93="Backed out",IF(S93="Paid","Refunded – closed",IF(R93="","Refund – log reason first","Refund in progress")),IF(K93="","Awaiting payment",IF(N93="",IF(M93="","Schedule free video","Free video in production"),IF(P93="Approved","Active",IF(TODAY()&gt;O93,"Active – plan went ahead","Decision pending – "&amp;NETWORKDAYS(TODAY(),O93)&amp;" working day(s) left"))))))</f>
        <v/>
      </c>
      <c r="R93" s="17"/>
      <c r="S93" s="17"/>
      <c r="T93" s="50"/>
      <c r="U93" s="40"/>
      <c r="V93" s="40"/>
      <c r="W93" s="45" t="str">
        <f aca="false">IF(V93="","",EDATE(V93,Settings!$S$6))</f>
        <v/>
      </c>
      <c r="X93" s="17"/>
      <c r="Y93" s="17"/>
      <c r="Z93" s="17"/>
    </row>
    <row r="94" customFormat="false" ht="15" hidden="false" customHeight="false" outlineLevel="0" collapsed="false">
      <c r="A94" s="17"/>
      <c r="B94" s="17"/>
      <c r="C94" s="17"/>
      <c r="D94" s="17"/>
      <c r="E94" s="42"/>
      <c r="F94" s="17"/>
      <c r="G94" s="17"/>
      <c r="H94" s="17"/>
      <c r="I94" s="49" t="str">
        <f aca="false">IF(H94="","",IFERROR(INDEX(Settings!$G$2:$G$4,MATCH(H94,Settings!$F$2:$F$4,0)),""))</f>
        <v/>
      </c>
      <c r="J94" s="40"/>
      <c r="K94" s="50"/>
      <c r="L94" s="17"/>
      <c r="M94" s="40"/>
      <c r="N94" s="40"/>
      <c r="O94" s="45" t="str">
        <f aca="false">IF(N94="","",WORKDAY(N94,Settings!$S$4))</f>
        <v/>
      </c>
      <c r="P94" s="17"/>
      <c r="Q94" s="44" t="str">
        <f aca="true">IF(C94="","",IF(P94="Backed out",IF(S94="Paid","Refunded – closed",IF(R94="","Refund – log reason first","Refund in progress")),IF(K94="","Awaiting payment",IF(N94="",IF(M94="","Schedule free video","Free video in production"),IF(P94="Approved","Active",IF(TODAY()&gt;O94,"Active – plan went ahead","Decision pending – "&amp;NETWORKDAYS(TODAY(),O94)&amp;" working day(s) left"))))))</f>
        <v/>
      </c>
      <c r="R94" s="17"/>
      <c r="S94" s="17"/>
      <c r="T94" s="50"/>
      <c r="U94" s="40"/>
      <c r="V94" s="40"/>
      <c r="W94" s="45" t="str">
        <f aca="false">IF(V94="","",EDATE(V94,Settings!$S$6))</f>
        <v/>
      </c>
      <c r="X94" s="17"/>
      <c r="Y94" s="17"/>
      <c r="Z94" s="17"/>
    </row>
    <row r="95" customFormat="false" ht="15" hidden="false" customHeight="false" outlineLevel="0" collapsed="false">
      <c r="A95" s="17"/>
      <c r="B95" s="17"/>
      <c r="C95" s="17"/>
      <c r="D95" s="17"/>
      <c r="E95" s="42"/>
      <c r="F95" s="17"/>
      <c r="G95" s="17"/>
      <c r="H95" s="17"/>
      <c r="I95" s="49" t="str">
        <f aca="false">IF(H95="","",IFERROR(INDEX(Settings!$G$2:$G$4,MATCH(H95,Settings!$F$2:$F$4,0)),""))</f>
        <v/>
      </c>
      <c r="J95" s="40"/>
      <c r="K95" s="50"/>
      <c r="L95" s="17"/>
      <c r="M95" s="40"/>
      <c r="N95" s="40"/>
      <c r="O95" s="45" t="str">
        <f aca="false">IF(N95="","",WORKDAY(N95,Settings!$S$4))</f>
        <v/>
      </c>
      <c r="P95" s="17"/>
      <c r="Q95" s="44" t="str">
        <f aca="true">IF(C95="","",IF(P95="Backed out",IF(S95="Paid","Refunded – closed",IF(R95="","Refund – log reason first","Refund in progress")),IF(K95="","Awaiting payment",IF(N95="",IF(M95="","Schedule free video","Free video in production"),IF(P95="Approved","Active",IF(TODAY()&gt;O95,"Active – plan went ahead","Decision pending – "&amp;NETWORKDAYS(TODAY(),O95)&amp;" working day(s) left"))))))</f>
        <v/>
      </c>
      <c r="R95" s="17"/>
      <c r="S95" s="17"/>
      <c r="T95" s="50"/>
      <c r="U95" s="40"/>
      <c r="V95" s="40"/>
      <c r="W95" s="45" t="str">
        <f aca="false">IF(V95="","",EDATE(V95,Settings!$S$6))</f>
        <v/>
      </c>
      <c r="X95" s="17"/>
      <c r="Y95" s="17"/>
      <c r="Z95" s="17"/>
    </row>
    <row r="96" customFormat="false" ht="15" hidden="false" customHeight="false" outlineLevel="0" collapsed="false">
      <c r="A96" s="17"/>
      <c r="B96" s="17"/>
      <c r="C96" s="17"/>
      <c r="D96" s="17"/>
      <c r="E96" s="42"/>
      <c r="F96" s="17"/>
      <c r="G96" s="17"/>
      <c r="H96" s="17"/>
      <c r="I96" s="49" t="str">
        <f aca="false">IF(H96="","",IFERROR(INDEX(Settings!$G$2:$G$4,MATCH(H96,Settings!$F$2:$F$4,0)),""))</f>
        <v/>
      </c>
      <c r="J96" s="40"/>
      <c r="K96" s="50"/>
      <c r="L96" s="17"/>
      <c r="M96" s="40"/>
      <c r="N96" s="40"/>
      <c r="O96" s="45" t="str">
        <f aca="false">IF(N96="","",WORKDAY(N96,Settings!$S$4))</f>
        <v/>
      </c>
      <c r="P96" s="17"/>
      <c r="Q96" s="44" t="str">
        <f aca="true">IF(C96="","",IF(P96="Backed out",IF(S96="Paid","Refunded – closed",IF(R96="","Refund – log reason first","Refund in progress")),IF(K96="","Awaiting payment",IF(N96="",IF(M96="","Schedule free video","Free video in production"),IF(P96="Approved","Active",IF(TODAY()&gt;O96,"Active – plan went ahead","Decision pending – "&amp;NETWORKDAYS(TODAY(),O96)&amp;" working day(s) left"))))))</f>
        <v/>
      </c>
      <c r="R96" s="17"/>
      <c r="S96" s="17"/>
      <c r="T96" s="50"/>
      <c r="U96" s="40"/>
      <c r="V96" s="40"/>
      <c r="W96" s="45" t="str">
        <f aca="false">IF(V96="","",EDATE(V96,Settings!$S$6))</f>
        <v/>
      </c>
      <c r="X96" s="17"/>
      <c r="Y96" s="17"/>
      <c r="Z96" s="17"/>
    </row>
    <row r="97" customFormat="false" ht="15" hidden="false" customHeight="false" outlineLevel="0" collapsed="false">
      <c r="A97" s="17"/>
      <c r="B97" s="17"/>
      <c r="C97" s="17"/>
      <c r="D97" s="17"/>
      <c r="E97" s="42"/>
      <c r="F97" s="17"/>
      <c r="G97" s="17"/>
      <c r="H97" s="17"/>
      <c r="I97" s="49" t="str">
        <f aca="false">IF(H97="","",IFERROR(INDEX(Settings!$G$2:$G$4,MATCH(H97,Settings!$F$2:$F$4,0)),""))</f>
        <v/>
      </c>
      <c r="J97" s="40"/>
      <c r="K97" s="50"/>
      <c r="L97" s="17"/>
      <c r="M97" s="40"/>
      <c r="N97" s="40"/>
      <c r="O97" s="45" t="str">
        <f aca="false">IF(N97="","",WORKDAY(N97,Settings!$S$4))</f>
        <v/>
      </c>
      <c r="P97" s="17"/>
      <c r="Q97" s="44" t="str">
        <f aca="true">IF(C97="","",IF(P97="Backed out",IF(S97="Paid","Refunded – closed",IF(R97="","Refund – log reason first","Refund in progress")),IF(K97="","Awaiting payment",IF(N97="",IF(M97="","Schedule free video","Free video in production"),IF(P97="Approved","Active",IF(TODAY()&gt;O97,"Active – plan went ahead","Decision pending – "&amp;NETWORKDAYS(TODAY(),O97)&amp;" working day(s) left"))))))</f>
        <v/>
      </c>
      <c r="R97" s="17"/>
      <c r="S97" s="17"/>
      <c r="T97" s="50"/>
      <c r="U97" s="40"/>
      <c r="V97" s="40"/>
      <c r="W97" s="45" t="str">
        <f aca="false">IF(V97="","",EDATE(V97,Settings!$S$6))</f>
        <v/>
      </c>
      <c r="X97" s="17"/>
      <c r="Y97" s="17"/>
      <c r="Z97" s="17"/>
    </row>
    <row r="98" customFormat="false" ht="15" hidden="false" customHeight="false" outlineLevel="0" collapsed="false">
      <c r="A98" s="17"/>
      <c r="B98" s="17"/>
      <c r="C98" s="17"/>
      <c r="D98" s="17"/>
      <c r="E98" s="42"/>
      <c r="F98" s="17"/>
      <c r="G98" s="17"/>
      <c r="H98" s="17"/>
      <c r="I98" s="49" t="str">
        <f aca="false">IF(H98="","",IFERROR(INDEX(Settings!$G$2:$G$4,MATCH(H98,Settings!$F$2:$F$4,0)),""))</f>
        <v/>
      </c>
      <c r="J98" s="40"/>
      <c r="K98" s="50"/>
      <c r="L98" s="17"/>
      <c r="M98" s="40"/>
      <c r="N98" s="40"/>
      <c r="O98" s="45" t="str">
        <f aca="false">IF(N98="","",WORKDAY(N98,Settings!$S$4))</f>
        <v/>
      </c>
      <c r="P98" s="17"/>
      <c r="Q98" s="44" t="str">
        <f aca="true">IF(C98="","",IF(P98="Backed out",IF(S98="Paid","Refunded – closed",IF(R98="","Refund – log reason first","Refund in progress")),IF(K98="","Awaiting payment",IF(N98="",IF(M98="","Schedule free video","Free video in production"),IF(P98="Approved","Active",IF(TODAY()&gt;O98,"Active – plan went ahead","Decision pending – "&amp;NETWORKDAYS(TODAY(),O98)&amp;" working day(s) left"))))))</f>
        <v/>
      </c>
      <c r="R98" s="17"/>
      <c r="S98" s="17"/>
      <c r="T98" s="50"/>
      <c r="U98" s="40"/>
      <c r="V98" s="40"/>
      <c r="W98" s="45" t="str">
        <f aca="false">IF(V98="","",EDATE(V98,Settings!$S$6))</f>
        <v/>
      </c>
      <c r="X98" s="17"/>
      <c r="Y98" s="17"/>
      <c r="Z98" s="17"/>
    </row>
    <row r="99" customFormat="false" ht="15" hidden="false" customHeight="false" outlineLevel="0" collapsed="false">
      <c r="A99" s="17"/>
      <c r="B99" s="17"/>
      <c r="C99" s="17"/>
      <c r="D99" s="17"/>
      <c r="E99" s="42"/>
      <c r="F99" s="17"/>
      <c r="G99" s="17"/>
      <c r="H99" s="17"/>
      <c r="I99" s="49" t="str">
        <f aca="false">IF(H99="","",IFERROR(INDEX(Settings!$G$2:$G$4,MATCH(H99,Settings!$F$2:$F$4,0)),""))</f>
        <v/>
      </c>
      <c r="J99" s="40"/>
      <c r="K99" s="50"/>
      <c r="L99" s="17"/>
      <c r="M99" s="40"/>
      <c r="N99" s="40"/>
      <c r="O99" s="45" t="str">
        <f aca="false">IF(N99="","",WORKDAY(N99,Settings!$S$4))</f>
        <v/>
      </c>
      <c r="P99" s="17"/>
      <c r="Q99" s="44" t="str">
        <f aca="true">IF(C99="","",IF(P99="Backed out",IF(S99="Paid","Refunded – closed",IF(R99="","Refund – log reason first","Refund in progress")),IF(K99="","Awaiting payment",IF(N99="",IF(M99="","Schedule free video","Free video in production"),IF(P99="Approved","Active",IF(TODAY()&gt;O99,"Active – plan went ahead","Decision pending – "&amp;NETWORKDAYS(TODAY(),O99)&amp;" working day(s) left"))))))</f>
        <v/>
      </c>
      <c r="R99" s="17"/>
      <c r="S99" s="17"/>
      <c r="T99" s="50"/>
      <c r="U99" s="40"/>
      <c r="V99" s="40"/>
      <c r="W99" s="45" t="str">
        <f aca="false">IF(V99="","",EDATE(V99,Settings!$S$6))</f>
        <v/>
      </c>
      <c r="X99" s="17"/>
      <c r="Y99" s="17"/>
      <c r="Z99" s="17"/>
    </row>
    <row r="100" customFormat="false" ht="15" hidden="false" customHeight="false" outlineLevel="0" collapsed="false">
      <c r="A100" s="17"/>
      <c r="B100" s="17"/>
      <c r="C100" s="17"/>
      <c r="D100" s="17"/>
      <c r="E100" s="42"/>
      <c r="F100" s="17"/>
      <c r="G100" s="17"/>
      <c r="H100" s="17"/>
      <c r="I100" s="49" t="str">
        <f aca="false">IF(H100="","",IFERROR(INDEX(Settings!$G$2:$G$4,MATCH(H100,Settings!$F$2:$F$4,0)),""))</f>
        <v/>
      </c>
      <c r="J100" s="40"/>
      <c r="K100" s="50"/>
      <c r="L100" s="17"/>
      <c r="M100" s="40"/>
      <c r="N100" s="40"/>
      <c r="O100" s="45" t="str">
        <f aca="false">IF(N100="","",WORKDAY(N100,Settings!$S$4))</f>
        <v/>
      </c>
      <c r="P100" s="17"/>
      <c r="Q100" s="44" t="str">
        <f aca="true">IF(C100="","",IF(P100="Backed out",IF(S100="Paid","Refunded – closed",IF(R100="","Refund – log reason first","Refund in progress")),IF(K100="","Awaiting payment",IF(N100="",IF(M100="","Schedule free video","Free video in production"),IF(P100="Approved","Active",IF(TODAY()&gt;O100,"Active – plan went ahead","Decision pending – "&amp;NETWORKDAYS(TODAY(),O100)&amp;" working day(s) left"))))))</f>
        <v/>
      </c>
      <c r="R100" s="17"/>
      <c r="S100" s="17"/>
      <c r="T100" s="50"/>
      <c r="U100" s="40"/>
      <c r="V100" s="40"/>
      <c r="W100" s="45" t="str">
        <f aca="false">IF(V100="","",EDATE(V100,Settings!$S$6))</f>
        <v/>
      </c>
      <c r="X100" s="17"/>
      <c r="Y100" s="17"/>
      <c r="Z100" s="17"/>
    </row>
    <row r="101" customFormat="false" ht="15" hidden="false" customHeight="false" outlineLevel="0" collapsed="false">
      <c r="A101" s="17"/>
      <c r="B101" s="17"/>
      <c r="C101" s="17"/>
      <c r="D101" s="17"/>
      <c r="E101" s="42"/>
      <c r="F101" s="17"/>
      <c r="G101" s="17"/>
      <c r="H101" s="17"/>
      <c r="I101" s="49" t="str">
        <f aca="false">IF(H101="","",IFERROR(INDEX(Settings!$G$2:$G$4,MATCH(H101,Settings!$F$2:$F$4,0)),""))</f>
        <v/>
      </c>
      <c r="J101" s="40"/>
      <c r="K101" s="50"/>
      <c r="L101" s="17"/>
      <c r="M101" s="40"/>
      <c r="N101" s="40"/>
      <c r="O101" s="45" t="str">
        <f aca="false">IF(N101="","",WORKDAY(N101,Settings!$S$4))</f>
        <v/>
      </c>
      <c r="P101" s="17"/>
      <c r="Q101" s="44" t="str">
        <f aca="true">IF(C101="","",IF(P101="Backed out",IF(S101="Paid","Refunded – closed",IF(R101="","Refund – log reason first","Refund in progress")),IF(K101="","Awaiting payment",IF(N101="",IF(M101="","Schedule free video","Free video in production"),IF(P101="Approved","Active",IF(TODAY()&gt;O101,"Active – plan went ahead","Decision pending – "&amp;NETWORKDAYS(TODAY(),O101)&amp;" working day(s) left"))))))</f>
        <v/>
      </c>
      <c r="R101" s="17"/>
      <c r="S101" s="17"/>
      <c r="T101" s="50"/>
      <c r="U101" s="40"/>
      <c r="V101" s="40"/>
      <c r="W101" s="45" t="str">
        <f aca="false">IF(V101="","",EDATE(V101,Settings!$S$6))</f>
        <v/>
      </c>
      <c r="X101" s="17"/>
      <c r="Y101" s="17"/>
      <c r="Z101" s="17"/>
    </row>
    <row r="102" customFormat="false" ht="15" hidden="false" customHeight="false" outlineLevel="0" collapsed="false">
      <c r="A102" s="17"/>
      <c r="B102" s="17"/>
      <c r="C102" s="17"/>
      <c r="D102" s="17"/>
      <c r="E102" s="42"/>
      <c r="F102" s="17"/>
      <c r="G102" s="17"/>
      <c r="H102" s="17"/>
      <c r="I102" s="49" t="str">
        <f aca="false">IF(H102="","",IFERROR(INDEX(Settings!$G$2:$G$4,MATCH(H102,Settings!$F$2:$F$4,0)),""))</f>
        <v/>
      </c>
      <c r="J102" s="40"/>
      <c r="K102" s="50"/>
      <c r="L102" s="17"/>
      <c r="M102" s="40"/>
      <c r="N102" s="40"/>
      <c r="O102" s="45" t="str">
        <f aca="false">IF(N102="","",WORKDAY(N102,Settings!$S$4))</f>
        <v/>
      </c>
      <c r="P102" s="17"/>
      <c r="Q102" s="44" t="str">
        <f aca="true">IF(C102="","",IF(P102="Backed out",IF(S102="Paid","Refunded – closed",IF(R102="","Refund – log reason first","Refund in progress")),IF(K102="","Awaiting payment",IF(N102="",IF(M102="","Schedule free video","Free video in production"),IF(P102="Approved","Active",IF(TODAY()&gt;O102,"Active – plan went ahead","Decision pending – "&amp;NETWORKDAYS(TODAY(),O102)&amp;" working day(s) left"))))))</f>
        <v/>
      </c>
      <c r="R102" s="17"/>
      <c r="S102" s="17"/>
      <c r="T102" s="50"/>
      <c r="U102" s="40"/>
      <c r="V102" s="40"/>
      <c r="W102" s="45" t="str">
        <f aca="false">IF(V102="","",EDATE(V102,Settings!$S$6))</f>
        <v/>
      </c>
      <c r="X102" s="17"/>
      <c r="Y102" s="17"/>
      <c r="Z102" s="17"/>
    </row>
    <row r="103" customFormat="false" ht="15" hidden="false" customHeight="false" outlineLevel="0" collapsed="false">
      <c r="A103" s="17"/>
      <c r="B103" s="17"/>
      <c r="C103" s="17"/>
      <c r="D103" s="17"/>
      <c r="E103" s="42"/>
      <c r="F103" s="17"/>
      <c r="G103" s="17"/>
      <c r="H103" s="17"/>
      <c r="I103" s="49" t="str">
        <f aca="false">IF(H103="","",IFERROR(INDEX(Settings!$G$2:$G$4,MATCH(H103,Settings!$F$2:$F$4,0)),""))</f>
        <v/>
      </c>
      <c r="J103" s="40"/>
      <c r="K103" s="50"/>
      <c r="L103" s="17"/>
      <c r="M103" s="40"/>
      <c r="N103" s="40"/>
      <c r="O103" s="45" t="str">
        <f aca="false">IF(N103="","",WORKDAY(N103,Settings!$S$4))</f>
        <v/>
      </c>
      <c r="P103" s="17"/>
      <c r="Q103" s="44" t="str">
        <f aca="true">IF(C103="","",IF(P103="Backed out",IF(S103="Paid","Refunded – closed",IF(R103="","Refund – log reason first","Refund in progress")),IF(K103="","Awaiting payment",IF(N103="",IF(M103="","Schedule free video","Free video in production"),IF(P103="Approved","Active",IF(TODAY()&gt;O103,"Active – plan went ahead","Decision pending – "&amp;NETWORKDAYS(TODAY(),O103)&amp;" working day(s) left"))))))</f>
        <v/>
      </c>
      <c r="R103" s="17"/>
      <c r="S103" s="17"/>
      <c r="T103" s="50"/>
      <c r="U103" s="40"/>
      <c r="V103" s="40"/>
      <c r="W103" s="45" t="str">
        <f aca="false">IF(V103="","",EDATE(V103,Settings!$S$6))</f>
        <v/>
      </c>
      <c r="X103" s="17"/>
      <c r="Y103" s="17"/>
      <c r="Z103" s="17"/>
    </row>
    <row r="104" customFormat="false" ht="15" hidden="false" customHeight="false" outlineLevel="0" collapsed="false">
      <c r="A104" s="17"/>
      <c r="B104" s="17"/>
      <c r="C104" s="17"/>
      <c r="D104" s="17"/>
      <c r="E104" s="42"/>
      <c r="F104" s="17"/>
      <c r="G104" s="17"/>
      <c r="H104" s="17"/>
      <c r="I104" s="49" t="str">
        <f aca="false">IF(H104="","",IFERROR(INDEX(Settings!$G$2:$G$4,MATCH(H104,Settings!$F$2:$F$4,0)),""))</f>
        <v/>
      </c>
      <c r="J104" s="40"/>
      <c r="K104" s="50"/>
      <c r="L104" s="17"/>
      <c r="M104" s="40"/>
      <c r="N104" s="40"/>
      <c r="O104" s="45" t="str">
        <f aca="false">IF(N104="","",WORKDAY(N104,Settings!$S$4))</f>
        <v/>
      </c>
      <c r="P104" s="17"/>
      <c r="Q104" s="44" t="str">
        <f aca="true">IF(C104="","",IF(P104="Backed out",IF(S104="Paid","Refunded – closed",IF(R104="","Refund – log reason first","Refund in progress")),IF(K104="","Awaiting payment",IF(N104="",IF(M104="","Schedule free video","Free video in production"),IF(P104="Approved","Active",IF(TODAY()&gt;O104,"Active – plan went ahead","Decision pending – "&amp;NETWORKDAYS(TODAY(),O104)&amp;" working day(s) left"))))))</f>
        <v/>
      </c>
      <c r="R104" s="17"/>
      <c r="S104" s="17"/>
      <c r="T104" s="50"/>
      <c r="U104" s="40"/>
      <c r="V104" s="40"/>
      <c r="W104" s="45" t="str">
        <f aca="false">IF(V104="","",EDATE(V104,Settings!$S$6))</f>
        <v/>
      </c>
      <c r="X104" s="17"/>
      <c r="Y104" s="17"/>
      <c r="Z104" s="17"/>
    </row>
    <row r="105" customFormat="false" ht="15" hidden="false" customHeight="false" outlineLevel="0" collapsed="false">
      <c r="A105" s="17"/>
      <c r="B105" s="17"/>
      <c r="C105" s="17"/>
      <c r="D105" s="17"/>
      <c r="E105" s="42"/>
      <c r="F105" s="17"/>
      <c r="G105" s="17"/>
      <c r="H105" s="17"/>
      <c r="I105" s="49" t="str">
        <f aca="false">IF(H105="","",IFERROR(INDEX(Settings!$G$2:$G$4,MATCH(H105,Settings!$F$2:$F$4,0)),""))</f>
        <v/>
      </c>
      <c r="J105" s="40"/>
      <c r="K105" s="50"/>
      <c r="L105" s="17"/>
      <c r="M105" s="40"/>
      <c r="N105" s="40"/>
      <c r="O105" s="45" t="str">
        <f aca="false">IF(N105="","",WORKDAY(N105,Settings!$S$4))</f>
        <v/>
      </c>
      <c r="P105" s="17"/>
      <c r="Q105" s="44" t="str">
        <f aca="true">IF(C105="","",IF(P105="Backed out",IF(S105="Paid","Refunded – closed",IF(R105="","Refund – log reason first","Refund in progress")),IF(K105="","Awaiting payment",IF(N105="",IF(M105="","Schedule free video","Free video in production"),IF(P105="Approved","Active",IF(TODAY()&gt;O105,"Active – plan went ahead","Decision pending – "&amp;NETWORKDAYS(TODAY(),O105)&amp;" working day(s) left"))))))</f>
        <v/>
      </c>
      <c r="R105" s="17"/>
      <c r="S105" s="17"/>
      <c r="T105" s="50"/>
      <c r="U105" s="40"/>
      <c r="V105" s="40"/>
      <c r="W105" s="45" t="str">
        <f aca="false">IF(V105="","",EDATE(V105,Settings!$S$6))</f>
        <v/>
      </c>
      <c r="X105" s="17"/>
      <c r="Y105" s="17"/>
      <c r="Z105" s="17"/>
    </row>
    <row r="106" customFormat="false" ht="15" hidden="false" customHeight="false" outlineLevel="0" collapsed="false">
      <c r="A106" s="17"/>
      <c r="B106" s="17"/>
      <c r="C106" s="17"/>
      <c r="D106" s="17"/>
      <c r="E106" s="42"/>
      <c r="F106" s="17"/>
      <c r="G106" s="17"/>
      <c r="H106" s="17"/>
      <c r="I106" s="49" t="str">
        <f aca="false">IF(H106="","",IFERROR(INDEX(Settings!$G$2:$G$4,MATCH(H106,Settings!$F$2:$F$4,0)),""))</f>
        <v/>
      </c>
      <c r="J106" s="40"/>
      <c r="K106" s="50"/>
      <c r="L106" s="17"/>
      <c r="M106" s="40"/>
      <c r="N106" s="40"/>
      <c r="O106" s="45" t="str">
        <f aca="false">IF(N106="","",WORKDAY(N106,Settings!$S$4))</f>
        <v/>
      </c>
      <c r="P106" s="17"/>
      <c r="Q106" s="44" t="str">
        <f aca="true">IF(C106="","",IF(P106="Backed out",IF(S106="Paid","Refunded – closed",IF(R106="","Refund – log reason first","Refund in progress")),IF(K106="","Awaiting payment",IF(N106="",IF(M106="","Schedule free video","Free video in production"),IF(P106="Approved","Active",IF(TODAY()&gt;O106,"Active – plan went ahead","Decision pending – "&amp;NETWORKDAYS(TODAY(),O106)&amp;" working day(s) left"))))))</f>
        <v/>
      </c>
      <c r="R106" s="17"/>
      <c r="S106" s="17"/>
      <c r="T106" s="50"/>
      <c r="U106" s="40"/>
      <c r="V106" s="40"/>
      <c r="W106" s="45" t="str">
        <f aca="false">IF(V106="","",EDATE(V106,Settings!$S$6))</f>
        <v/>
      </c>
      <c r="X106" s="17"/>
      <c r="Y106" s="17"/>
      <c r="Z106" s="17"/>
    </row>
    <row r="107" customFormat="false" ht="15" hidden="false" customHeight="false" outlineLevel="0" collapsed="false">
      <c r="A107" s="17"/>
      <c r="B107" s="17"/>
      <c r="C107" s="17"/>
      <c r="D107" s="17"/>
      <c r="E107" s="42"/>
      <c r="F107" s="17"/>
      <c r="G107" s="17"/>
      <c r="H107" s="17"/>
      <c r="I107" s="49" t="str">
        <f aca="false">IF(H107="","",IFERROR(INDEX(Settings!$G$2:$G$4,MATCH(H107,Settings!$F$2:$F$4,0)),""))</f>
        <v/>
      </c>
      <c r="J107" s="40"/>
      <c r="K107" s="50"/>
      <c r="L107" s="17"/>
      <c r="M107" s="40"/>
      <c r="N107" s="40"/>
      <c r="O107" s="45" t="str">
        <f aca="false">IF(N107="","",WORKDAY(N107,Settings!$S$4))</f>
        <v/>
      </c>
      <c r="P107" s="17"/>
      <c r="Q107" s="44" t="str">
        <f aca="true">IF(C107="","",IF(P107="Backed out",IF(S107="Paid","Refunded – closed",IF(R107="","Refund – log reason first","Refund in progress")),IF(K107="","Awaiting payment",IF(N107="",IF(M107="","Schedule free video","Free video in production"),IF(P107="Approved","Active",IF(TODAY()&gt;O107,"Active – plan went ahead","Decision pending – "&amp;NETWORKDAYS(TODAY(),O107)&amp;" working day(s) left"))))))</f>
        <v/>
      </c>
      <c r="R107" s="17"/>
      <c r="S107" s="17"/>
      <c r="T107" s="50"/>
      <c r="U107" s="40"/>
      <c r="V107" s="40"/>
      <c r="W107" s="45" t="str">
        <f aca="false">IF(V107="","",EDATE(V107,Settings!$S$6))</f>
        <v/>
      </c>
      <c r="X107" s="17"/>
      <c r="Y107" s="17"/>
      <c r="Z107" s="17"/>
    </row>
    <row r="108" customFormat="false" ht="15" hidden="false" customHeight="false" outlineLevel="0" collapsed="false">
      <c r="A108" s="17"/>
      <c r="B108" s="17"/>
      <c r="C108" s="17"/>
      <c r="D108" s="17"/>
      <c r="E108" s="42"/>
      <c r="F108" s="17"/>
      <c r="G108" s="17"/>
      <c r="H108" s="17"/>
      <c r="I108" s="49" t="str">
        <f aca="false">IF(H108="","",IFERROR(INDEX(Settings!$G$2:$G$4,MATCH(H108,Settings!$F$2:$F$4,0)),""))</f>
        <v/>
      </c>
      <c r="J108" s="40"/>
      <c r="K108" s="50"/>
      <c r="L108" s="17"/>
      <c r="M108" s="40"/>
      <c r="N108" s="40"/>
      <c r="O108" s="45" t="str">
        <f aca="false">IF(N108="","",WORKDAY(N108,Settings!$S$4))</f>
        <v/>
      </c>
      <c r="P108" s="17"/>
      <c r="Q108" s="44" t="str">
        <f aca="true">IF(C108="","",IF(P108="Backed out",IF(S108="Paid","Refunded – closed",IF(R108="","Refund – log reason first","Refund in progress")),IF(K108="","Awaiting payment",IF(N108="",IF(M108="","Schedule free video","Free video in production"),IF(P108="Approved","Active",IF(TODAY()&gt;O108,"Active – plan went ahead","Decision pending – "&amp;NETWORKDAYS(TODAY(),O108)&amp;" working day(s) left"))))))</f>
        <v/>
      </c>
      <c r="R108" s="17"/>
      <c r="S108" s="17"/>
      <c r="T108" s="50"/>
      <c r="U108" s="40"/>
      <c r="V108" s="40"/>
      <c r="W108" s="45" t="str">
        <f aca="false">IF(V108="","",EDATE(V108,Settings!$S$6))</f>
        <v/>
      </c>
      <c r="X108" s="17"/>
      <c r="Y108" s="17"/>
      <c r="Z108" s="17"/>
    </row>
    <row r="109" customFormat="false" ht="15" hidden="false" customHeight="false" outlineLevel="0" collapsed="false">
      <c r="A109" s="17"/>
      <c r="B109" s="17"/>
      <c r="C109" s="17"/>
      <c r="D109" s="17"/>
      <c r="E109" s="42"/>
      <c r="F109" s="17"/>
      <c r="G109" s="17"/>
      <c r="H109" s="17"/>
      <c r="I109" s="49" t="str">
        <f aca="false">IF(H109="","",IFERROR(INDEX(Settings!$G$2:$G$4,MATCH(H109,Settings!$F$2:$F$4,0)),""))</f>
        <v/>
      </c>
      <c r="J109" s="40"/>
      <c r="K109" s="50"/>
      <c r="L109" s="17"/>
      <c r="M109" s="40"/>
      <c r="N109" s="40"/>
      <c r="O109" s="45" t="str">
        <f aca="false">IF(N109="","",WORKDAY(N109,Settings!$S$4))</f>
        <v/>
      </c>
      <c r="P109" s="17"/>
      <c r="Q109" s="44" t="str">
        <f aca="true">IF(C109="","",IF(P109="Backed out",IF(S109="Paid","Refunded – closed",IF(R109="","Refund – log reason first","Refund in progress")),IF(K109="","Awaiting payment",IF(N109="",IF(M109="","Schedule free video","Free video in production"),IF(P109="Approved","Active",IF(TODAY()&gt;O109,"Active – plan went ahead","Decision pending – "&amp;NETWORKDAYS(TODAY(),O109)&amp;" working day(s) left"))))))</f>
        <v/>
      </c>
      <c r="R109" s="17"/>
      <c r="S109" s="17"/>
      <c r="T109" s="50"/>
      <c r="U109" s="40"/>
      <c r="V109" s="40"/>
      <c r="W109" s="45" t="str">
        <f aca="false">IF(V109="","",EDATE(V109,Settings!$S$6))</f>
        <v/>
      </c>
      <c r="X109" s="17"/>
      <c r="Y109" s="17"/>
      <c r="Z109" s="17"/>
    </row>
    <row r="110" customFormat="false" ht="15" hidden="false" customHeight="false" outlineLevel="0" collapsed="false">
      <c r="A110" s="17"/>
      <c r="B110" s="17"/>
      <c r="C110" s="17"/>
      <c r="D110" s="17"/>
      <c r="E110" s="42"/>
      <c r="F110" s="17"/>
      <c r="G110" s="17"/>
      <c r="H110" s="17"/>
      <c r="I110" s="49" t="str">
        <f aca="false">IF(H110="","",IFERROR(INDEX(Settings!$G$2:$G$4,MATCH(H110,Settings!$F$2:$F$4,0)),""))</f>
        <v/>
      </c>
      <c r="J110" s="40"/>
      <c r="K110" s="50"/>
      <c r="L110" s="17"/>
      <c r="M110" s="40"/>
      <c r="N110" s="40"/>
      <c r="O110" s="45" t="str">
        <f aca="false">IF(N110="","",WORKDAY(N110,Settings!$S$4))</f>
        <v/>
      </c>
      <c r="P110" s="17"/>
      <c r="Q110" s="44" t="str">
        <f aca="true">IF(C110="","",IF(P110="Backed out",IF(S110="Paid","Refunded – closed",IF(R110="","Refund – log reason first","Refund in progress")),IF(K110="","Awaiting payment",IF(N110="",IF(M110="","Schedule free video","Free video in production"),IF(P110="Approved","Active",IF(TODAY()&gt;O110,"Active – plan went ahead","Decision pending – "&amp;NETWORKDAYS(TODAY(),O110)&amp;" working day(s) left"))))))</f>
        <v/>
      </c>
      <c r="R110" s="17"/>
      <c r="S110" s="17"/>
      <c r="T110" s="50"/>
      <c r="U110" s="40"/>
      <c r="V110" s="40"/>
      <c r="W110" s="45" t="str">
        <f aca="false">IF(V110="","",EDATE(V110,Settings!$S$6))</f>
        <v/>
      </c>
      <c r="X110" s="17"/>
      <c r="Y110" s="17"/>
      <c r="Z110" s="17"/>
    </row>
    <row r="111" customFormat="false" ht="15" hidden="false" customHeight="false" outlineLevel="0" collapsed="false">
      <c r="A111" s="17"/>
      <c r="B111" s="17"/>
      <c r="C111" s="17"/>
      <c r="D111" s="17"/>
      <c r="E111" s="42"/>
      <c r="F111" s="17"/>
      <c r="G111" s="17"/>
      <c r="H111" s="17"/>
      <c r="I111" s="49" t="str">
        <f aca="false">IF(H111="","",IFERROR(INDEX(Settings!$G$2:$G$4,MATCH(H111,Settings!$F$2:$F$4,0)),""))</f>
        <v/>
      </c>
      <c r="J111" s="40"/>
      <c r="K111" s="50"/>
      <c r="L111" s="17"/>
      <c r="M111" s="40"/>
      <c r="N111" s="40"/>
      <c r="O111" s="45" t="str">
        <f aca="false">IF(N111="","",WORKDAY(N111,Settings!$S$4))</f>
        <v/>
      </c>
      <c r="P111" s="17"/>
      <c r="Q111" s="44" t="str">
        <f aca="true">IF(C111="","",IF(P111="Backed out",IF(S111="Paid","Refunded – closed",IF(R111="","Refund – log reason first","Refund in progress")),IF(K111="","Awaiting payment",IF(N111="",IF(M111="","Schedule free video","Free video in production"),IF(P111="Approved","Active",IF(TODAY()&gt;O111,"Active – plan went ahead","Decision pending – "&amp;NETWORKDAYS(TODAY(),O111)&amp;" working day(s) left"))))))</f>
        <v/>
      </c>
      <c r="R111" s="17"/>
      <c r="S111" s="17"/>
      <c r="T111" s="50"/>
      <c r="U111" s="40"/>
      <c r="V111" s="40"/>
      <c r="W111" s="45" t="str">
        <f aca="false">IF(V111="","",EDATE(V111,Settings!$S$6))</f>
        <v/>
      </c>
      <c r="X111" s="17"/>
      <c r="Y111" s="17"/>
      <c r="Z111" s="17"/>
    </row>
    <row r="112" customFormat="false" ht="15" hidden="false" customHeight="false" outlineLevel="0" collapsed="false">
      <c r="A112" s="17"/>
      <c r="B112" s="17"/>
      <c r="C112" s="17"/>
      <c r="D112" s="17"/>
      <c r="E112" s="42"/>
      <c r="F112" s="17"/>
      <c r="G112" s="17"/>
      <c r="H112" s="17"/>
      <c r="I112" s="49" t="str">
        <f aca="false">IF(H112="","",IFERROR(INDEX(Settings!$G$2:$G$4,MATCH(H112,Settings!$F$2:$F$4,0)),""))</f>
        <v/>
      </c>
      <c r="J112" s="40"/>
      <c r="K112" s="50"/>
      <c r="L112" s="17"/>
      <c r="M112" s="40"/>
      <c r="N112" s="40"/>
      <c r="O112" s="45" t="str">
        <f aca="false">IF(N112="","",WORKDAY(N112,Settings!$S$4))</f>
        <v/>
      </c>
      <c r="P112" s="17"/>
      <c r="Q112" s="44" t="str">
        <f aca="true">IF(C112="","",IF(P112="Backed out",IF(S112="Paid","Refunded – closed",IF(R112="","Refund – log reason first","Refund in progress")),IF(K112="","Awaiting payment",IF(N112="",IF(M112="","Schedule free video","Free video in production"),IF(P112="Approved","Active",IF(TODAY()&gt;O112,"Active – plan went ahead","Decision pending – "&amp;NETWORKDAYS(TODAY(),O112)&amp;" working day(s) left"))))))</f>
        <v/>
      </c>
      <c r="R112" s="17"/>
      <c r="S112" s="17"/>
      <c r="T112" s="50"/>
      <c r="U112" s="40"/>
      <c r="V112" s="40"/>
      <c r="W112" s="45" t="str">
        <f aca="false">IF(V112="","",EDATE(V112,Settings!$S$6))</f>
        <v/>
      </c>
      <c r="X112" s="17"/>
      <c r="Y112" s="17"/>
      <c r="Z112" s="17"/>
    </row>
    <row r="113" customFormat="false" ht="15" hidden="false" customHeight="false" outlineLevel="0" collapsed="false">
      <c r="A113" s="17"/>
      <c r="B113" s="17"/>
      <c r="C113" s="17"/>
      <c r="D113" s="17"/>
      <c r="E113" s="42"/>
      <c r="F113" s="17"/>
      <c r="G113" s="17"/>
      <c r="H113" s="17"/>
      <c r="I113" s="49" t="str">
        <f aca="false">IF(H113="","",IFERROR(INDEX(Settings!$G$2:$G$4,MATCH(H113,Settings!$F$2:$F$4,0)),""))</f>
        <v/>
      </c>
      <c r="J113" s="40"/>
      <c r="K113" s="50"/>
      <c r="L113" s="17"/>
      <c r="M113" s="40"/>
      <c r="N113" s="40"/>
      <c r="O113" s="45" t="str">
        <f aca="false">IF(N113="","",WORKDAY(N113,Settings!$S$4))</f>
        <v/>
      </c>
      <c r="P113" s="17"/>
      <c r="Q113" s="44" t="str">
        <f aca="true">IF(C113="","",IF(P113="Backed out",IF(S113="Paid","Refunded – closed",IF(R113="","Refund – log reason first","Refund in progress")),IF(K113="","Awaiting payment",IF(N113="",IF(M113="","Schedule free video","Free video in production"),IF(P113="Approved","Active",IF(TODAY()&gt;O113,"Active – plan went ahead","Decision pending – "&amp;NETWORKDAYS(TODAY(),O113)&amp;" working day(s) left"))))))</f>
        <v/>
      </c>
      <c r="R113" s="17"/>
      <c r="S113" s="17"/>
      <c r="T113" s="50"/>
      <c r="U113" s="40"/>
      <c r="V113" s="40"/>
      <c r="W113" s="45" t="str">
        <f aca="false">IF(V113="","",EDATE(V113,Settings!$S$6))</f>
        <v/>
      </c>
      <c r="X113" s="17"/>
      <c r="Y113" s="17"/>
      <c r="Z113" s="17"/>
    </row>
    <row r="114" customFormat="false" ht="15" hidden="false" customHeight="false" outlineLevel="0" collapsed="false">
      <c r="A114" s="17"/>
      <c r="B114" s="17"/>
      <c r="C114" s="17"/>
      <c r="D114" s="17"/>
      <c r="E114" s="42"/>
      <c r="F114" s="17"/>
      <c r="G114" s="17"/>
      <c r="H114" s="17"/>
      <c r="I114" s="49" t="str">
        <f aca="false">IF(H114="","",IFERROR(INDEX(Settings!$G$2:$G$4,MATCH(H114,Settings!$F$2:$F$4,0)),""))</f>
        <v/>
      </c>
      <c r="J114" s="40"/>
      <c r="K114" s="50"/>
      <c r="L114" s="17"/>
      <c r="M114" s="40"/>
      <c r="N114" s="40"/>
      <c r="O114" s="45" t="str">
        <f aca="false">IF(N114="","",WORKDAY(N114,Settings!$S$4))</f>
        <v/>
      </c>
      <c r="P114" s="17"/>
      <c r="Q114" s="44" t="str">
        <f aca="true">IF(C114="","",IF(P114="Backed out",IF(S114="Paid","Refunded – closed",IF(R114="","Refund – log reason first","Refund in progress")),IF(K114="","Awaiting payment",IF(N114="",IF(M114="","Schedule free video","Free video in production"),IF(P114="Approved","Active",IF(TODAY()&gt;O114,"Active – plan went ahead","Decision pending – "&amp;NETWORKDAYS(TODAY(),O114)&amp;" working day(s) left"))))))</f>
        <v/>
      </c>
      <c r="R114" s="17"/>
      <c r="S114" s="17"/>
      <c r="T114" s="50"/>
      <c r="U114" s="40"/>
      <c r="V114" s="40"/>
      <c r="W114" s="45" t="str">
        <f aca="false">IF(V114="","",EDATE(V114,Settings!$S$6))</f>
        <v/>
      </c>
      <c r="X114" s="17"/>
      <c r="Y114" s="17"/>
      <c r="Z114" s="17"/>
    </row>
    <row r="115" customFormat="false" ht="15" hidden="false" customHeight="false" outlineLevel="0" collapsed="false">
      <c r="A115" s="17"/>
      <c r="B115" s="17"/>
      <c r="C115" s="17"/>
      <c r="D115" s="17"/>
      <c r="E115" s="42"/>
      <c r="F115" s="17"/>
      <c r="G115" s="17"/>
      <c r="H115" s="17"/>
      <c r="I115" s="49" t="str">
        <f aca="false">IF(H115="","",IFERROR(INDEX(Settings!$G$2:$G$4,MATCH(H115,Settings!$F$2:$F$4,0)),""))</f>
        <v/>
      </c>
      <c r="J115" s="40"/>
      <c r="K115" s="50"/>
      <c r="L115" s="17"/>
      <c r="M115" s="40"/>
      <c r="N115" s="40"/>
      <c r="O115" s="45" t="str">
        <f aca="false">IF(N115="","",WORKDAY(N115,Settings!$S$4))</f>
        <v/>
      </c>
      <c r="P115" s="17"/>
      <c r="Q115" s="44" t="str">
        <f aca="true">IF(C115="","",IF(P115="Backed out",IF(S115="Paid","Refunded – closed",IF(R115="","Refund – log reason first","Refund in progress")),IF(K115="","Awaiting payment",IF(N115="",IF(M115="","Schedule free video","Free video in production"),IF(P115="Approved","Active",IF(TODAY()&gt;O115,"Active – plan went ahead","Decision pending – "&amp;NETWORKDAYS(TODAY(),O115)&amp;" working day(s) left"))))))</f>
        <v/>
      </c>
      <c r="R115" s="17"/>
      <c r="S115" s="17"/>
      <c r="T115" s="50"/>
      <c r="U115" s="40"/>
      <c r="V115" s="40"/>
      <c r="W115" s="45" t="str">
        <f aca="false">IF(V115="","",EDATE(V115,Settings!$S$6))</f>
        <v/>
      </c>
      <c r="X115" s="17"/>
      <c r="Y115" s="17"/>
      <c r="Z115" s="17"/>
    </row>
    <row r="116" customFormat="false" ht="15" hidden="false" customHeight="false" outlineLevel="0" collapsed="false">
      <c r="A116" s="17"/>
      <c r="B116" s="17"/>
      <c r="C116" s="17"/>
      <c r="D116" s="17"/>
      <c r="E116" s="42"/>
      <c r="F116" s="17"/>
      <c r="G116" s="17"/>
      <c r="H116" s="17"/>
      <c r="I116" s="49" t="str">
        <f aca="false">IF(H116="","",IFERROR(INDEX(Settings!$G$2:$G$4,MATCH(H116,Settings!$F$2:$F$4,0)),""))</f>
        <v/>
      </c>
      <c r="J116" s="40"/>
      <c r="K116" s="50"/>
      <c r="L116" s="17"/>
      <c r="M116" s="40"/>
      <c r="N116" s="40"/>
      <c r="O116" s="45" t="str">
        <f aca="false">IF(N116="","",WORKDAY(N116,Settings!$S$4))</f>
        <v/>
      </c>
      <c r="P116" s="17"/>
      <c r="Q116" s="44" t="str">
        <f aca="true">IF(C116="","",IF(P116="Backed out",IF(S116="Paid","Refunded – closed",IF(R116="","Refund – log reason first","Refund in progress")),IF(K116="","Awaiting payment",IF(N116="",IF(M116="","Schedule free video","Free video in production"),IF(P116="Approved","Active",IF(TODAY()&gt;O116,"Active – plan went ahead","Decision pending – "&amp;NETWORKDAYS(TODAY(),O116)&amp;" working day(s) left"))))))</f>
        <v/>
      </c>
      <c r="R116" s="17"/>
      <c r="S116" s="17"/>
      <c r="T116" s="50"/>
      <c r="U116" s="40"/>
      <c r="V116" s="40"/>
      <c r="W116" s="45" t="str">
        <f aca="false">IF(V116="","",EDATE(V116,Settings!$S$6))</f>
        <v/>
      </c>
      <c r="X116" s="17"/>
      <c r="Y116" s="17"/>
      <c r="Z116" s="17"/>
    </row>
    <row r="117" customFormat="false" ht="15" hidden="false" customHeight="false" outlineLevel="0" collapsed="false">
      <c r="A117" s="17"/>
      <c r="B117" s="17"/>
      <c r="C117" s="17"/>
      <c r="D117" s="17"/>
      <c r="E117" s="42"/>
      <c r="F117" s="17"/>
      <c r="G117" s="17"/>
      <c r="H117" s="17"/>
      <c r="I117" s="49" t="str">
        <f aca="false">IF(H117="","",IFERROR(INDEX(Settings!$G$2:$G$4,MATCH(H117,Settings!$F$2:$F$4,0)),""))</f>
        <v/>
      </c>
      <c r="J117" s="40"/>
      <c r="K117" s="50"/>
      <c r="L117" s="17"/>
      <c r="M117" s="40"/>
      <c r="N117" s="40"/>
      <c r="O117" s="45" t="str">
        <f aca="false">IF(N117="","",WORKDAY(N117,Settings!$S$4))</f>
        <v/>
      </c>
      <c r="P117" s="17"/>
      <c r="Q117" s="44" t="str">
        <f aca="true">IF(C117="","",IF(P117="Backed out",IF(S117="Paid","Refunded – closed",IF(R117="","Refund – log reason first","Refund in progress")),IF(K117="","Awaiting payment",IF(N117="",IF(M117="","Schedule free video","Free video in production"),IF(P117="Approved","Active",IF(TODAY()&gt;O117,"Active – plan went ahead","Decision pending – "&amp;NETWORKDAYS(TODAY(),O117)&amp;" working day(s) left"))))))</f>
        <v/>
      </c>
      <c r="R117" s="17"/>
      <c r="S117" s="17"/>
      <c r="T117" s="50"/>
      <c r="U117" s="40"/>
      <c r="V117" s="40"/>
      <c r="W117" s="45" t="str">
        <f aca="false">IF(V117="","",EDATE(V117,Settings!$S$6))</f>
        <v/>
      </c>
      <c r="X117" s="17"/>
      <c r="Y117" s="17"/>
      <c r="Z117" s="17"/>
    </row>
    <row r="118" customFormat="false" ht="15" hidden="false" customHeight="false" outlineLevel="0" collapsed="false">
      <c r="A118" s="17"/>
      <c r="B118" s="17"/>
      <c r="C118" s="17"/>
      <c r="D118" s="17"/>
      <c r="E118" s="42"/>
      <c r="F118" s="17"/>
      <c r="G118" s="17"/>
      <c r="H118" s="17"/>
      <c r="I118" s="49" t="str">
        <f aca="false">IF(H118="","",IFERROR(INDEX(Settings!$G$2:$G$4,MATCH(H118,Settings!$F$2:$F$4,0)),""))</f>
        <v/>
      </c>
      <c r="J118" s="40"/>
      <c r="K118" s="50"/>
      <c r="L118" s="17"/>
      <c r="M118" s="40"/>
      <c r="N118" s="40"/>
      <c r="O118" s="45" t="str">
        <f aca="false">IF(N118="","",WORKDAY(N118,Settings!$S$4))</f>
        <v/>
      </c>
      <c r="P118" s="17"/>
      <c r="Q118" s="44" t="str">
        <f aca="true">IF(C118="","",IF(P118="Backed out",IF(S118="Paid","Refunded – closed",IF(R118="","Refund – log reason first","Refund in progress")),IF(K118="","Awaiting payment",IF(N118="",IF(M118="","Schedule free video","Free video in production"),IF(P118="Approved","Active",IF(TODAY()&gt;O118,"Active – plan went ahead","Decision pending – "&amp;NETWORKDAYS(TODAY(),O118)&amp;" working day(s) left"))))))</f>
        <v/>
      </c>
      <c r="R118" s="17"/>
      <c r="S118" s="17"/>
      <c r="T118" s="50"/>
      <c r="U118" s="40"/>
      <c r="V118" s="40"/>
      <c r="W118" s="45" t="str">
        <f aca="false">IF(V118="","",EDATE(V118,Settings!$S$6))</f>
        <v/>
      </c>
      <c r="X118" s="17"/>
      <c r="Y118" s="17"/>
      <c r="Z118" s="17"/>
    </row>
    <row r="119" customFormat="false" ht="15" hidden="false" customHeight="false" outlineLevel="0" collapsed="false">
      <c r="A119" s="17"/>
      <c r="B119" s="17"/>
      <c r="C119" s="17"/>
      <c r="D119" s="17"/>
      <c r="E119" s="42"/>
      <c r="F119" s="17"/>
      <c r="G119" s="17"/>
      <c r="H119" s="17"/>
      <c r="I119" s="49" t="str">
        <f aca="false">IF(H119="","",IFERROR(INDEX(Settings!$G$2:$G$4,MATCH(H119,Settings!$F$2:$F$4,0)),""))</f>
        <v/>
      </c>
      <c r="J119" s="40"/>
      <c r="K119" s="50"/>
      <c r="L119" s="17"/>
      <c r="M119" s="40"/>
      <c r="N119" s="40"/>
      <c r="O119" s="45" t="str">
        <f aca="false">IF(N119="","",WORKDAY(N119,Settings!$S$4))</f>
        <v/>
      </c>
      <c r="P119" s="17"/>
      <c r="Q119" s="44" t="str">
        <f aca="true">IF(C119="","",IF(P119="Backed out",IF(S119="Paid","Refunded – closed",IF(R119="","Refund – log reason first","Refund in progress")),IF(K119="","Awaiting payment",IF(N119="",IF(M119="","Schedule free video","Free video in production"),IF(P119="Approved","Active",IF(TODAY()&gt;O119,"Active – plan went ahead","Decision pending – "&amp;NETWORKDAYS(TODAY(),O119)&amp;" working day(s) left"))))))</f>
        <v/>
      </c>
      <c r="R119" s="17"/>
      <c r="S119" s="17"/>
      <c r="T119" s="50"/>
      <c r="U119" s="40"/>
      <c r="V119" s="40"/>
      <c r="W119" s="45" t="str">
        <f aca="false">IF(V119="","",EDATE(V119,Settings!$S$6))</f>
        <v/>
      </c>
      <c r="X119" s="17"/>
      <c r="Y119" s="17"/>
      <c r="Z119" s="17"/>
    </row>
    <row r="120" customFormat="false" ht="15" hidden="false" customHeight="false" outlineLevel="0" collapsed="false">
      <c r="A120" s="17"/>
      <c r="B120" s="17"/>
      <c r="C120" s="17"/>
      <c r="D120" s="17"/>
      <c r="E120" s="42"/>
      <c r="F120" s="17"/>
      <c r="G120" s="17"/>
      <c r="H120" s="17"/>
      <c r="I120" s="49" t="str">
        <f aca="false">IF(H120="","",IFERROR(INDEX(Settings!$G$2:$G$4,MATCH(H120,Settings!$F$2:$F$4,0)),""))</f>
        <v/>
      </c>
      <c r="J120" s="40"/>
      <c r="K120" s="50"/>
      <c r="L120" s="17"/>
      <c r="M120" s="40"/>
      <c r="N120" s="40"/>
      <c r="O120" s="45" t="str">
        <f aca="false">IF(N120="","",WORKDAY(N120,Settings!$S$4))</f>
        <v/>
      </c>
      <c r="P120" s="17"/>
      <c r="Q120" s="44" t="str">
        <f aca="true">IF(C120="","",IF(P120="Backed out",IF(S120="Paid","Refunded – closed",IF(R120="","Refund – log reason first","Refund in progress")),IF(K120="","Awaiting payment",IF(N120="",IF(M120="","Schedule free video","Free video in production"),IF(P120="Approved","Active",IF(TODAY()&gt;O120,"Active – plan went ahead","Decision pending – "&amp;NETWORKDAYS(TODAY(),O120)&amp;" working day(s) left"))))))</f>
        <v/>
      </c>
      <c r="R120" s="17"/>
      <c r="S120" s="17"/>
      <c r="T120" s="50"/>
      <c r="U120" s="40"/>
      <c r="V120" s="40"/>
      <c r="W120" s="45" t="str">
        <f aca="false">IF(V120="","",EDATE(V120,Settings!$S$6))</f>
        <v/>
      </c>
      <c r="X120" s="17"/>
      <c r="Y120" s="17"/>
      <c r="Z120" s="17"/>
    </row>
    <row r="121" customFormat="false" ht="15" hidden="false" customHeight="false" outlineLevel="0" collapsed="false">
      <c r="A121" s="17"/>
      <c r="B121" s="17"/>
      <c r="C121" s="17"/>
      <c r="D121" s="17"/>
      <c r="E121" s="42"/>
      <c r="F121" s="17"/>
      <c r="G121" s="17"/>
      <c r="H121" s="17"/>
      <c r="I121" s="49" t="str">
        <f aca="false">IF(H121="","",IFERROR(INDEX(Settings!$G$2:$G$4,MATCH(H121,Settings!$F$2:$F$4,0)),""))</f>
        <v/>
      </c>
      <c r="J121" s="40"/>
      <c r="K121" s="50"/>
      <c r="L121" s="17"/>
      <c r="M121" s="40"/>
      <c r="N121" s="40"/>
      <c r="O121" s="45" t="str">
        <f aca="false">IF(N121="","",WORKDAY(N121,Settings!$S$4))</f>
        <v/>
      </c>
      <c r="P121" s="17"/>
      <c r="Q121" s="44" t="str">
        <f aca="true">IF(C121="","",IF(P121="Backed out",IF(S121="Paid","Refunded – closed",IF(R121="","Refund – log reason first","Refund in progress")),IF(K121="","Awaiting payment",IF(N121="",IF(M121="","Schedule free video","Free video in production"),IF(P121="Approved","Active",IF(TODAY()&gt;O121,"Active – plan went ahead","Decision pending – "&amp;NETWORKDAYS(TODAY(),O121)&amp;" working day(s) left"))))))</f>
        <v/>
      </c>
      <c r="R121" s="17"/>
      <c r="S121" s="17"/>
      <c r="T121" s="50"/>
      <c r="U121" s="40"/>
      <c r="V121" s="40"/>
      <c r="W121" s="45" t="str">
        <f aca="false">IF(V121="","",EDATE(V121,Settings!$S$6))</f>
        <v/>
      </c>
      <c r="X121" s="17"/>
      <c r="Y121" s="17"/>
      <c r="Z121" s="17"/>
    </row>
    <row r="122" customFormat="false" ht="15" hidden="false" customHeight="false" outlineLevel="0" collapsed="false">
      <c r="A122" s="17"/>
      <c r="B122" s="17"/>
      <c r="C122" s="17"/>
      <c r="D122" s="17"/>
      <c r="E122" s="42"/>
      <c r="F122" s="17"/>
      <c r="G122" s="17"/>
      <c r="H122" s="17"/>
      <c r="I122" s="49" t="str">
        <f aca="false">IF(H122="","",IFERROR(INDEX(Settings!$G$2:$G$4,MATCH(H122,Settings!$F$2:$F$4,0)),""))</f>
        <v/>
      </c>
      <c r="J122" s="40"/>
      <c r="K122" s="50"/>
      <c r="L122" s="17"/>
      <c r="M122" s="40"/>
      <c r="N122" s="40"/>
      <c r="O122" s="45" t="str">
        <f aca="false">IF(N122="","",WORKDAY(N122,Settings!$S$4))</f>
        <v/>
      </c>
      <c r="P122" s="17"/>
      <c r="Q122" s="44" t="str">
        <f aca="true">IF(C122="","",IF(P122="Backed out",IF(S122="Paid","Refunded – closed",IF(R122="","Refund – log reason first","Refund in progress")),IF(K122="","Awaiting payment",IF(N122="",IF(M122="","Schedule free video","Free video in production"),IF(P122="Approved","Active",IF(TODAY()&gt;O122,"Active – plan went ahead","Decision pending – "&amp;NETWORKDAYS(TODAY(),O122)&amp;" working day(s) left"))))))</f>
        <v/>
      </c>
      <c r="R122" s="17"/>
      <c r="S122" s="17"/>
      <c r="T122" s="50"/>
      <c r="U122" s="40"/>
      <c r="V122" s="40"/>
      <c r="W122" s="45" t="str">
        <f aca="false">IF(V122="","",EDATE(V122,Settings!$S$6))</f>
        <v/>
      </c>
      <c r="X122" s="17"/>
      <c r="Y122" s="17"/>
      <c r="Z122" s="17"/>
    </row>
    <row r="123" customFormat="false" ht="15" hidden="false" customHeight="false" outlineLevel="0" collapsed="false">
      <c r="A123" s="17"/>
      <c r="B123" s="17"/>
      <c r="C123" s="17"/>
      <c r="D123" s="17"/>
      <c r="E123" s="42"/>
      <c r="F123" s="17"/>
      <c r="G123" s="17"/>
      <c r="H123" s="17"/>
      <c r="I123" s="49" t="str">
        <f aca="false">IF(H123="","",IFERROR(INDEX(Settings!$G$2:$G$4,MATCH(H123,Settings!$F$2:$F$4,0)),""))</f>
        <v/>
      </c>
      <c r="J123" s="40"/>
      <c r="K123" s="50"/>
      <c r="L123" s="17"/>
      <c r="M123" s="40"/>
      <c r="N123" s="40"/>
      <c r="O123" s="45" t="str">
        <f aca="false">IF(N123="","",WORKDAY(N123,Settings!$S$4))</f>
        <v/>
      </c>
      <c r="P123" s="17"/>
      <c r="Q123" s="44" t="str">
        <f aca="true">IF(C123="","",IF(P123="Backed out",IF(S123="Paid","Refunded – closed",IF(R123="","Refund – log reason first","Refund in progress")),IF(K123="","Awaiting payment",IF(N123="",IF(M123="","Schedule free video","Free video in production"),IF(P123="Approved","Active",IF(TODAY()&gt;O123,"Active – plan went ahead","Decision pending – "&amp;NETWORKDAYS(TODAY(),O123)&amp;" working day(s) left"))))))</f>
        <v/>
      </c>
      <c r="R123" s="17"/>
      <c r="S123" s="17"/>
      <c r="T123" s="50"/>
      <c r="U123" s="40"/>
      <c r="V123" s="40"/>
      <c r="W123" s="45" t="str">
        <f aca="false">IF(V123="","",EDATE(V123,Settings!$S$6))</f>
        <v/>
      </c>
      <c r="X123" s="17"/>
      <c r="Y123" s="17"/>
      <c r="Z123" s="17"/>
    </row>
    <row r="124" customFormat="false" ht="15" hidden="false" customHeight="false" outlineLevel="0" collapsed="false">
      <c r="A124" s="17"/>
      <c r="B124" s="17"/>
      <c r="C124" s="17"/>
      <c r="D124" s="17"/>
      <c r="E124" s="42"/>
      <c r="F124" s="17"/>
      <c r="G124" s="17"/>
      <c r="H124" s="17"/>
      <c r="I124" s="49" t="str">
        <f aca="false">IF(H124="","",IFERROR(INDEX(Settings!$G$2:$G$4,MATCH(H124,Settings!$F$2:$F$4,0)),""))</f>
        <v/>
      </c>
      <c r="J124" s="40"/>
      <c r="K124" s="50"/>
      <c r="L124" s="17"/>
      <c r="M124" s="40"/>
      <c r="N124" s="40"/>
      <c r="O124" s="45" t="str">
        <f aca="false">IF(N124="","",WORKDAY(N124,Settings!$S$4))</f>
        <v/>
      </c>
      <c r="P124" s="17"/>
      <c r="Q124" s="44" t="str">
        <f aca="true">IF(C124="","",IF(P124="Backed out",IF(S124="Paid","Refunded – closed",IF(R124="","Refund – log reason first","Refund in progress")),IF(K124="","Awaiting payment",IF(N124="",IF(M124="","Schedule free video","Free video in production"),IF(P124="Approved","Active",IF(TODAY()&gt;O124,"Active – plan went ahead","Decision pending – "&amp;NETWORKDAYS(TODAY(),O124)&amp;" working day(s) left"))))))</f>
        <v/>
      </c>
      <c r="R124" s="17"/>
      <c r="S124" s="17"/>
      <c r="T124" s="50"/>
      <c r="U124" s="40"/>
      <c r="V124" s="40"/>
      <c r="W124" s="45" t="str">
        <f aca="false">IF(V124="","",EDATE(V124,Settings!$S$6))</f>
        <v/>
      </c>
      <c r="X124" s="17"/>
      <c r="Y124" s="17"/>
      <c r="Z124" s="17"/>
    </row>
    <row r="125" customFormat="false" ht="15" hidden="false" customHeight="false" outlineLevel="0" collapsed="false">
      <c r="A125" s="17"/>
      <c r="B125" s="17"/>
      <c r="C125" s="17"/>
      <c r="D125" s="17"/>
      <c r="E125" s="42"/>
      <c r="F125" s="17"/>
      <c r="G125" s="17"/>
      <c r="H125" s="17"/>
      <c r="I125" s="49" t="str">
        <f aca="false">IF(H125="","",IFERROR(INDEX(Settings!$G$2:$G$4,MATCH(H125,Settings!$F$2:$F$4,0)),""))</f>
        <v/>
      </c>
      <c r="J125" s="40"/>
      <c r="K125" s="50"/>
      <c r="L125" s="17"/>
      <c r="M125" s="40"/>
      <c r="N125" s="40"/>
      <c r="O125" s="45" t="str">
        <f aca="false">IF(N125="","",WORKDAY(N125,Settings!$S$4))</f>
        <v/>
      </c>
      <c r="P125" s="17"/>
      <c r="Q125" s="44" t="str">
        <f aca="true">IF(C125="","",IF(P125="Backed out",IF(S125="Paid","Refunded – closed",IF(R125="","Refund – log reason first","Refund in progress")),IF(K125="","Awaiting payment",IF(N125="",IF(M125="","Schedule free video","Free video in production"),IF(P125="Approved","Active",IF(TODAY()&gt;O125,"Active – plan went ahead","Decision pending – "&amp;NETWORKDAYS(TODAY(),O125)&amp;" working day(s) left"))))))</f>
        <v/>
      </c>
      <c r="R125" s="17"/>
      <c r="S125" s="17"/>
      <c r="T125" s="50"/>
      <c r="U125" s="40"/>
      <c r="V125" s="40"/>
      <c r="W125" s="45" t="str">
        <f aca="false">IF(V125="","",EDATE(V125,Settings!$S$6))</f>
        <v/>
      </c>
      <c r="X125" s="17"/>
      <c r="Y125" s="17"/>
      <c r="Z125" s="17"/>
    </row>
    <row r="126" customFormat="false" ht="15" hidden="false" customHeight="false" outlineLevel="0" collapsed="false">
      <c r="A126" s="17"/>
      <c r="B126" s="17"/>
      <c r="C126" s="17"/>
      <c r="D126" s="17"/>
      <c r="E126" s="42"/>
      <c r="F126" s="17"/>
      <c r="G126" s="17"/>
      <c r="H126" s="17"/>
      <c r="I126" s="49" t="str">
        <f aca="false">IF(H126="","",IFERROR(INDEX(Settings!$G$2:$G$4,MATCH(H126,Settings!$F$2:$F$4,0)),""))</f>
        <v/>
      </c>
      <c r="J126" s="40"/>
      <c r="K126" s="50"/>
      <c r="L126" s="17"/>
      <c r="M126" s="40"/>
      <c r="N126" s="40"/>
      <c r="O126" s="45" t="str">
        <f aca="false">IF(N126="","",WORKDAY(N126,Settings!$S$4))</f>
        <v/>
      </c>
      <c r="P126" s="17"/>
      <c r="Q126" s="44" t="str">
        <f aca="true">IF(C126="","",IF(P126="Backed out",IF(S126="Paid","Refunded – closed",IF(R126="","Refund – log reason first","Refund in progress")),IF(K126="","Awaiting payment",IF(N126="",IF(M126="","Schedule free video","Free video in production"),IF(P126="Approved","Active",IF(TODAY()&gt;O126,"Active – plan went ahead","Decision pending – "&amp;NETWORKDAYS(TODAY(),O126)&amp;" working day(s) left"))))))</f>
        <v/>
      </c>
      <c r="R126" s="17"/>
      <c r="S126" s="17"/>
      <c r="T126" s="50"/>
      <c r="U126" s="40"/>
      <c r="V126" s="40"/>
      <c r="W126" s="45" t="str">
        <f aca="false">IF(V126="","",EDATE(V126,Settings!$S$6))</f>
        <v/>
      </c>
      <c r="X126" s="17"/>
      <c r="Y126" s="17"/>
      <c r="Z126" s="17"/>
    </row>
    <row r="127" customFormat="false" ht="15" hidden="false" customHeight="false" outlineLevel="0" collapsed="false">
      <c r="A127" s="17"/>
      <c r="B127" s="17"/>
      <c r="C127" s="17"/>
      <c r="D127" s="17"/>
      <c r="E127" s="42"/>
      <c r="F127" s="17"/>
      <c r="G127" s="17"/>
      <c r="H127" s="17"/>
      <c r="I127" s="49" t="str">
        <f aca="false">IF(H127="","",IFERROR(INDEX(Settings!$G$2:$G$4,MATCH(H127,Settings!$F$2:$F$4,0)),""))</f>
        <v/>
      </c>
      <c r="J127" s="40"/>
      <c r="K127" s="50"/>
      <c r="L127" s="17"/>
      <c r="M127" s="40"/>
      <c r="N127" s="40"/>
      <c r="O127" s="45" t="str">
        <f aca="false">IF(N127="","",WORKDAY(N127,Settings!$S$4))</f>
        <v/>
      </c>
      <c r="P127" s="17"/>
      <c r="Q127" s="44" t="str">
        <f aca="true">IF(C127="","",IF(P127="Backed out",IF(S127="Paid","Refunded – closed",IF(R127="","Refund – log reason first","Refund in progress")),IF(K127="","Awaiting payment",IF(N127="",IF(M127="","Schedule free video","Free video in production"),IF(P127="Approved","Active",IF(TODAY()&gt;O127,"Active – plan went ahead","Decision pending – "&amp;NETWORKDAYS(TODAY(),O127)&amp;" working day(s) left"))))))</f>
        <v/>
      </c>
      <c r="R127" s="17"/>
      <c r="S127" s="17"/>
      <c r="T127" s="50"/>
      <c r="U127" s="40"/>
      <c r="V127" s="40"/>
      <c r="W127" s="45" t="str">
        <f aca="false">IF(V127="","",EDATE(V127,Settings!$S$6))</f>
        <v/>
      </c>
      <c r="X127" s="17"/>
      <c r="Y127" s="17"/>
      <c r="Z127" s="17"/>
    </row>
    <row r="128" customFormat="false" ht="15" hidden="false" customHeight="false" outlineLevel="0" collapsed="false">
      <c r="A128" s="17"/>
      <c r="B128" s="17"/>
      <c r="C128" s="17"/>
      <c r="D128" s="17"/>
      <c r="E128" s="42"/>
      <c r="F128" s="17"/>
      <c r="G128" s="17"/>
      <c r="H128" s="17"/>
      <c r="I128" s="49" t="str">
        <f aca="false">IF(H128="","",IFERROR(INDEX(Settings!$G$2:$G$4,MATCH(H128,Settings!$F$2:$F$4,0)),""))</f>
        <v/>
      </c>
      <c r="J128" s="40"/>
      <c r="K128" s="50"/>
      <c r="L128" s="17"/>
      <c r="M128" s="40"/>
      <c r="N128" s="40"/>
      <c r="O128" s="45" t="str">
        <f aca="false">IF(N128="","",WORKDAY(N128,Settings!$S$4))</f>
        <v/>
      </c>
      <c r="P128" s="17"/>
      <c r="Q128" s="44" t="str">
        <f aca="true">IF(C128="","",IF(P128="Backed out",IF(S128="Paid","Refunded – closed",IF(R128="","Refund – log reason first","Refund in progress")),IF(K128="","Awaiting payment",IF(N128="",IF(M128="","Schedule free video","Free video in production"),IF(P128="Approved","Active",IF(TODAY()&gt;O128,"Active – plan went ahead","Decision pending – "&amp;NETWORKDAYS(TODAY(),O128)&amp;" working day(s) left"))))))</f>
        <v/>
      </c>
      <c r="R128" s="17"/>
      <c r="S128" s="17"/>
      <c r="T128" s="50"/>
      <c r="U128" s="40"/>
      <c r="V128" s="40"/>
      <c r="W128" s="45" t="str">
        <f aca="false">IF(V128="","",EDATE(V128,Settings!$S$6))</f>
        <v/>
      </c>
      <c r="X128" s="17"/>
      <c r="Y128" s="17"/>
      <c r="Z128" s="17"/>
    </row>
    <row r="129" customFormat="false" ht="15" hidden="false" customHeight="false" outlineLevel="0" collapsed="false">
      <c r="A129" s="17"/>
      <c r="B129" s="17"/>
      <c r="C129" s="17"/>
      <c r="D129" s="17"/>
      <c r="E129" s="42"/>
      <c r="F129" s="17"/>
      <c r="G129" s="17"/>
      <c r="H129" s="17"/>
      <c r="I129" s="49" t="str">
        <f aca="false">IF(H129="","",IFERROR(INDEX(Settings!$G$2:$G$4,MATCH(H129,Settings!$F$2:$F$4,0)),""))</f>
        <v/>
      </c>
      <c r="J129" s="40"/>
      <c r="K129" s="50"/>
      <c r="L129" s="17"/>
      <c r="M129" s="40"/>
      <c r="N129" s="40"/>
      <c r="O129" s="45" t="str">
        <f aca="false">IF(N129="","",WORKDAY(N129,Settings!$S$4))</f>
        <v/>
      </c>
      <c r="P129" s="17"/>
      <c r="Q129" s="44" t="str">
        <f aca="true">IF(C129="","",IF(P129="Backed out",IF(S129="Paid","Refunded – closed",IF(R129="","Refund – log reason first","Refund in progress")),IF(K129="","Awaiting payment",IF(N129="",IF(M129="","Schedule free video","Free video in production"),IF(P129="Approved","Active",IF(TODAY()&gt;O129,"Active – plan went ahead","Decision pending – "&amp;NETWORKDAYS(TODAY(),O129)&amp;" working day(s) left"))))))</f>
        <v/>
      </c>
      <c r="R129" s="17"/>
      <c r="S129" s="17"/>
      <c r="T129" s="50"/>
      <c r="U129" s="40"/>
      <c r="V129" s="40"/>
      <c r="W129" s="45" t="str">
        <f aca="false">IF(V129="","",EDATE(V129,Settings!$S$6))</f>
        <v/>
      </c>
      <c r="X129" s="17"/>
      <c r="Y129" s="17"/>
      <c r="Z129" s="17"/>
    </row>
    <row r="130" customFormat="false" ht="15" hidden="false" customHeight="false" outlineLevel="0" collapsed="false">
      <c r="A130" s="17"/>
      <c r="B130" s="17"/>
      <c r="C130" s="17"/>
      <c r="D130" s="17"/>
      <c r="E130" s="42"/>
      <c r="F130" s="17"/>
      <c r="G130" s="17"/>
      <c r="H130" s="17"/>
      <c r="I130" s="49" t="str">
        <f aca="false">IF(H130="","",IFERROR(INDEX(Settings!$G$2:$G$4,MATCH(H130,Settings!$F$2:$F$4,0)),""))</f>
        <v/>
      </c>
      <c r="J130" s="40"/>
      <c r="K130" s="50"/>
      <c r="L130" s="17"/>
      <c r="M130" s="40"/>
      <c r="N130" s="40"/>
      <c r="O130" s="45" t="str">
        <f aca="false">IF(N130="","",WORKDAY(N130,Settings!$S$4))</f>
        <v/>
      </c>
      <c r="P130" s="17"/>
      <c r="Q130" s="44" t="str">
        <f aca="true">IF(C130="","",IF(P130="Backed out",IF(S130="Paid","Refunded – closed",IF(R130="","Refund – log reason first","Refund in progress")),IF(K130="","Awaiting payment",IF(N130="",IF(M130="","Schedule free video","Free video in production"),IF(P130="Approved","Active",IF(TODAY()&gt;O130,"Active – plan went ahead","Decision pending – "&amp;NETWORKDAYS(TODAY(),O130)&amp;" working day(s) left"))))))</f>
        <v/>
      </c>
      <c r="R130" s="17"/>
      <c r="S130" s="17"/>
      <c r="T130" s="50"/>
      <c r="U130" s="40"/>
      <c r="V130" s="40"/>
      <c r="W130" s="45" t="str">
        <f aca="false">IF(V130="","",EDATE(V130,Settings!$S$6))</f>
        <v/>
      </c>
      <c r="X130" s="17"/>
      <c r="Y130" s="17"/>
      <c r="Z130" s="17"/>
    </row>
    <row r="131" customFormat="false" ht="15" hidden="false" customHeight="false" outlineLevel="0" collapsed="false">
      <c r="A131" s="17"/>
      <c r="B131" s="17"/>
      <c r="C131" s="17"/>
      <c r="D131" s="17"/>
      <c r="E131" s="42"/>
      <c r="F131" s="17"/>
      <c r="G131" s="17"/>
      <c r="H131" s="17"/>
      <c r="I131" s="49" t="str">
        <f aca="false">IF(H131="","",IFERROR(INDEX(Settings!$G$2:$G$4,MATCH(H131,Settings!$F$2:$F$4,0)),""))</f>
        <v/>
      </c>
      <c r="J131" s="40"/>
      <c r="K131" s="50"/>
      <c r="L131" s="17"/>
      <c r="M131" s="40"/>
      <c r="N131" s="40"/>
      <c r="O131" s="45" t="str">
        <f aca="false">IF(N131="","",WORKDAY(N131,Settings!$S$4))</f>
        <v/>
      </c>
      <c r="P131" s="17"/>
      <c r="Q131" s="44" t="str">
        <f aca="true">IF(C131="","",IF(P131="Backed out",IF(S131="Paid","Refunded – closed",IF(R131="","Refund – log reason first","Refund in progress")),IF(K131="","Awaiting payment",IF(N131="",IF(M131="","Schedule free video","Free video in production"),IF(P131="Approved","Active",IF(TODAY()&gt;O131,"Active – plan went ahead","Decision pending – "&amp;NETWORKDAYS(TODAY(),O131)&amp;" working day(s) left"))))))</f>
        <v/>
      </c>
      <c r="R131" s="17"/>
      <c r="S131" s="17"/>
      <c r="T131" s="50"/>
      <c r="U131" s="40"/>
      <c r="V131" s="40"/>
      <c r="W131" s="45" t="str">
        <f aca="false">IF(V131="","",EDATE(V131,Settings!$S$6))</f>
        <v/>
      </c>
      <c r="X131" s="17"/>
      <c r="Y131" s="17"/>
      <c r="Z131" s="17"/>
    </row>
    <row r="132" customFormat="false" ht="15" hidden="false" customHeight="false" outlineLevel="0" collapsed="false">
      <c r="A132" s="17"/>
      <c r="B132" s="17"/>
      <c r="C132" s="17"/>
      <c r="D132" s="17"/>
      <c r="E132" s="42"/>
      <c r="F132" s="17"/>
      <c r="G132" s="17"/>
      <c r="H132" s="17"/>
      <c r="I132" s="49" t="str">
        <f aca="false">IF(H132="","",IFERROR(INDEX(Settings!$G$2:$G$4,MATCH(H132,Settings!$F$2:$F$4,0)),""))</f>
        <v/>
      </c>
      <c r="J132" s="40"/>
      <c r="K132" s="50"/>
      <c r="L132" s="17"/>
      <c r="M132" s="40"/>
      <c r="N132" s="40"/>
      <c r="O132" s="45" t="str">
        <f aca="false">IF(N132="","",WORKDAY(N132,Settings!$S$4))</f>
        <v/>
      </c>
      <c r="P132" s="17"/>
      <c r="Q132" s="44" t="str">
        <f aca="true">IF(C132="","",IF(P132="Backed out",IF(S132="Paid","Refunded – closed",IF(R132="","Refund – log reason first","Refund in progress")),IF(K132="","Awaiting payment",IF(N132="",IF(M132="","Schedule free video","Free video in production"),IF(P132="Approved","Active",IF(TODAY()&gt;O132,"Active – plan went ahead","Decision pending – "&amp;NETWORKDAYS(TODAY(),O132)&amp;" working day(s) left"))))))</f>
        <v/>
      </c>
      <c r="R132" s="17"/>
      <c r="S132" s="17"/>
      <c r="T132" s="50"/>
      <c r="U132" s="40"/>
      <c r="V132" s="40"/>
      <c r="W132" s="45" t="str">
        <f aca="false">IF(V132="","",EDATE(V132,Settings!$S$6))</f>
        <v/>
      </c>
      <c r="X132" s="17"/>
      <c r="Y132" s="17"/>
      <c r="Z132" s="17"/>
    </row>
    <row r="133" customFormat="false" ht="15" hidden="false" customHeight="false" outlineLevel="0" collapsed="false">
      <c r="A133" s="17"/>
      <c r="B133" s="17"/>
      <c r="C133" s="17"/>
      <c r="D133" s="17"/>
      <c r="E133" s="42"/>
      <c r="F133" s="17"/>
      <c r="G133" s="17"/>
      <c r="H133" s="17"/>
      <c r="I133" s="49" t="str">
        <f aca="false">IF(H133="","",IFERROR(INDEX(Settings!$G$2:$G$4,MATCH(H133,Settings!$F$2:$F$4,0)),""))</f>
        <v/>
      </c>
      <c r="J133" s="40"/>
      <c r="K133" s="50"/>
      <c r="L133" s="17"/>
      <c r="M133" s="40"/>
      <c r="N133" s="40"/>
      <c r="O133" s="45" t="str">
        <f aca="false">IF(N133="","",WORKDAY(N133,Settings!$S$4))</f>
        <v/>
      </c>
      <c r="P133" s="17"/>
      <c r="Q133" s="44" t="str">
        <f aca="true">IF(C133="","",IF(P133="Backed out",IF(S133="Paid","Refunded – closed",IF(R133="","Refund – log reason first","Refund in progress")),IF(K133="","Awaiting payment",IF(N133="",IF(M133="","Schedule free video","Free video in production"),IF(P133="Approved","Active",IF(TODAY()&gt;O133,"Active – plan went ahead","Decision pending – "&amp;NETWORKDAYS(TODAY(),O133)&amp;" working day(s) left"))))))</f>
        <v/>
      </c>
      <c r="R133" s="17"/>
      <c r="S133" s="17"/>
      <c r="T133" s="50"/>
      <c r="U133" s="40"/>
      <c r="V133" s="40"/>
      <c r="W133" s="45" t="str">
        <f aca="false">IF(V133="","",EDATE(V133,Settings!$S$6))</f>
        <v/>
      </c>
      <c r="X133" s="17"/>
      <c r="Y133" s="17"/>
      <c r="Z133" s="17"/>
    </row>
    <row r="134" customFormat="false" ht="15" hidden="false" customHeight="false" outlineLevel="0" collapsed="false">
      <c r="A134" s="17"/>
      <c r="B134" s="17"/>
      <c r="C134" s="17"/>
      <c r="D134" s="17"/>
      <c r="E134" s="42"/>
      <c r="F134" s="17"/>
      <c r="G134" s="17"/>
      <c r="H134" s="17"/>
      <c r="I134" s="49" t="str">
        <f aca="false">IF(H134="","",IFERROR(INDEX(Settings!$G$2:$G$4,MATCH(H134,Settings!$F$2:$F$4,0)),""))</f>
        <v/>
      </c>
      <c r="J134" s="40"/>
      <c r="K134" s="50"/>
      <c r="L134" s="17"/>
      <c r="M134" s="40"/>
      <c r="N134" s="40"/>
      <c r="O134" s="45" t="str">
        <f aca="false">IF(N134="","",WORKDAY(N134,Settings!$S$4))</f>
        <v/>
      </c>
      <c r="P134" s="17"/>
      <c r="Q134" s="44" t="str">
        <f aca="true">IF(C134="","",IF(P134="Backed out",IF(S134="Paid","Refunded – closed",IF(R134="","Refund – log reason first","Refund in progress")),IF(K134="","Awaiting payment",IF(N134="",IF(M134="","Schedule free video","Free video in production"),IF(P134="Approved","Active",IF(TODAY()&gt;O134,"Active – plan went ahead","Decision pending – "&amp;NETWORKDAYS(TODAY(),O134)&amp;" working day(s) left"))))))</f>
        <v/>
      </c>
      <c r="R134" s="17"/>
      <c r="S134" s="17"/>
      <c r="T134" s="50"/>
      <c r="U134" s="40"/>
      <c r="V134" s="40"/>
      <c r="W134" s="45" t="str">
        <f aca="false">IF(V134="","",EDATE(V134,Settings!$S$6))</f>
        <v/>
      </c>
      <c r="X134" s="17"/>
      <c r="Y134" s="17"/>
      <c r="Z134" s="17"/>
    </row>
    <row r="135" customFormat="false" ht="15" hidden="false" customHeight="false" outlineLevel="0" collapsed="false">
      <c r="A135" s="17"/>
      <c r="B135" s="17"/>
      <c r="C135" s="17"/>
      <c r="D135" s="17"/>
      <c r="E135" s="42"/>
      <c r="F135" s="17"/>
      <c r="G135" s="17"/>
      <c r="H135" s="17"/>
      <c r="I135" s="49" t="str">
        <f aca="false">IF(H135="","",IFERROR(INDEX(Settings!$G$2:$G$4,MATCH(H135,Settings!$F$2:$F$4,0)),""))</f>
        <v/>
      </c>
      <c r="J135" s="40"/>
      <c r="K135" s="50"/>
      <c r="L135" s="17"/>
      <c r="M135" s="40"/>
      <c r="N135" s="40"/>
      <c r="O135" s="45" t="str">
        <f aca="false">IF(N135="","",WORKDAY(N135,Settings!$S$4))</f>
        <v/>
      </c>
      <c r="P135" s="17"/>
      <c r="Q135" s="44" t="str">
        <f aca="true">IF(C135="","",IF(P135="Backed out",IF(S135="Paid","Refunded – closed",IF(R135="","Refund – log reason first","Refund in progress")),IF(K135="","Awaiting payment",IF(N135="",IF(M135="","Schedule free video","Free video in production"),IF(P135="Approved","Active",IF(TODAY()&gt;O135,"Active – plan went ahead","Decision pending – "&amp;NETWORKDAYS(TODAY(),O135)&amp;" working day(s) left"))))))</f>
        <v/>
      </c>
      <c r="R135" s="17"/>
      <c r="S135" s="17"/>
      <c r="T135" s="50"/>
      <c r="U135" s="40"/>
      <c r="V135" s="40"/>
      <c r="W135" s="45" t="str">
        <f aca="false">IF(V135="","",EDATE(V135,Settings!$S$6))</f>
        <v/>
      </c>
      <c r="X135" s="17"/>
      <c r="Y135" s="17"/>
      <c r="Z135" s="17"/>
    </row>
    <row r="136" customFormat="false" ht="15" hidden="false" customHeight="false" outlineLevel="0" collapsed="false">
      <c r="A136" s="17"/>
      <c r="B136" s="17"/>
      <c r="C136" s="17"/>
      <c r="D136" s="17"/>
      <c r="E136" s="42"/>
      <c r="F136" s="17"/>
      <c r="G136" s="17"/>
      <c r="H136" s="17"/>
      <c r="I136" s="49" t="str">
        <f aca="false">IF(H136="","",IFERROR(INDEX(Settings!$G$2:$G$4,MATCH(H136,Settings!$F$2:$F$4,0)),""))</f>
        <v/>
      </c>
      <c r="J136" s="40"/>
      <c r="K136" s="50"/>
      <c r="L136" s="17"/>
      <c r="M136" s="40"/>
      <c r="N136" s="40"/>
      <c r="O136" s="45" t="str">
        <f aca="false">IF(N136="","",WORKDAY(N136,Settings!$S$4))</f>
        <v/>
      </c>
      <c r="P136" s="17"/>
      <c r="Q136" s="44" t="str">
        <f aca="true">IF(C136="","",IF(P136="Backed out",IF(S136="Paid","Refunded – closed",IF(R136="","Refund – log reason first","Refund in progress")),IF(K136="","Awaiting payment",IF(N136="",IF(M136="","Schedule free video","Free video in production"),IF(P136="Approved","Active",IF(TODAY()&gt;O136,"Active – plan went ahead","Decision pending – "&amp;NETWORKDAYS(TODAY(),O136)&amp;" working day(s) left"))))))</f>
        <v/>
      </c>
      <c r="R136" s="17"/>
      <c r="S136" s="17"/>
      <c r="T136" s="50"/>
      <c r="U136" s="40"/>
      <c r="V136" s="40"/>
      <c r="W136" s="45" t="str">
        <f aca="false">IF(V136="","",EDATE(V136,Settings!$S$6))</f>
        <v/>
      </c>
      <c r="X136" s="17"/>
      <c r="Y136" s="17"/>
      <c r="Z136" s="17"/>
    </row>
    <row r="137" customFormat="false" ht="15" hidden="false" customHeight="false" outlineLevel="0" collapsed="false">
      <c r="A137" s="17"/>
      <c r="B137" s="17"/>
      <c r="C137" s="17"/>
      <c r="D137" s="17"/>
      <c r="E137" s="42"/>
      <c r="F137" s="17"/>
      <c r="G137" s="17"/>
      <c r="H137" s="17"/>
      <c r="I137" s="49" t="str">
        <f aca="false">IF(H137="","",IFERROR(INDEX(Settings!$G$2:$G$4,MATCH(H137,Settings!$F$2:$F$4,0)),""))</f>
        <v/>
      </c>
      <c r="J137" s="40"/>
      <c r="K137" s="50"/>
      <c r="L137" s="17"/>
      <c r="M137" s="40"/>
      <c r="N137" s="40"/>
      <c r="O137" s="45" t="str">
        <f aca="false">IF(N137="","",WORKDAY(N137,Settings!$S$4))</f>
        <v/>
      </c>
      <c r="P137" s="17"/>
      <c r="Q137" s="44" t="str">
        <f aca="true">IF(C137="","",IF(P137="Backed out",IF(S137="Paid","Refunded – closed",IF(R137="","Refund – log reason first","Refund in progress")),IF(K137="","Awaiting payment",IF(N137="",IF(M137="","Schedule free video","Free video in production"),IF(P137="Approved","Active",IF(TODAY()&gt;O137,"Active – plan went ahead","Decision pending – "&amp;NETWORKDAYS(TODAY(),O137)&amp;" working day(s) left"))))))</f>
        <v/>
      </c>
      <c r="R137" s="17"/>
      <c r="S137" s="17"/>
      <c r="T137" s="50"/>
      <c r="U137" s="40"/>
      <c r="V137" s="40"/>
      <c r="W137" s="45" t="str">
        <f aca="false">IF(V137="","",EDATE(V137,Settings!$S$6))</f>
        <v/>
      </c>
      <c r="X137" s="17"/>
      <c r="Y137" s="17"/>
      <c r="Z137" s="17"/>
    </row>
    <row r="138" customFormat="false" ht="15" hidden="false" customHeight="false" outlineLevel="0" collapsed="false">
      <c r="A138" s="17"/>
      <c r="B138" s="17"/>
      <c r="C138" s="17"/>
      <c r="D138" s="17"/>
      <c r="E138" s="42"/>
      <c r="F138" s="17"/>
      <c r="G138" s="17"/>
      <c r="H138" s="17"/>
      <c r="I138" s="49" t="str">
        <f aca="false">IF(H138="","",IFERROR(INDEX(Settings!$G$2:$G$4,MATCH(H138,Settings!$F$2:$F$4,0)),""))</f>
        <v/>
      </c>
      <c r="J138" s="40"/>
      <c r="K138" s="50"/>
      <c r="L138" s="17"/>
      <c r="M138" s="40"/>
      <c r="N138" s="40"/>
      <c r="O138" s="45" t="str">
        <f aca="false">IF(N138="","",WORKDAY(N138,Settings!$S$4))</f>
        <v/>
      </c>
      <c r="P138" s="17"/>
      <c r="Q138" s="44" t="str">
        <f aca="true">IF(C138="","",IF(P138="Backed out",IF(S138="Paid","Refunded – closed",IF(R138="","Refund – log reason first","Refund in progress")),IF(K138="","Awaiting payment",IF(N138="",IF(M138="","Schedule free video","Free video in production"),IF(P138="Approved","Active",IF(TODAY()&gt;O138,"Active – plan went ahead","Decision pending – "&amp;NETWORKDAYS(TODAY(),O138)&amp;" working day(s) left"))))))</f>
        <v/>
      </c>
      <c r="R138" s="17"/>
      <c r="S138" s="17"/>
      <c r="T138" s="50"/>
      <c r="U138" s="40"/>
      <c r="V138" s="40"/>
      <c r="W138" s="45" t="str">
        <f aca="false">IF(V138="","",EDATE(V138,Settings!$S$6))</f>
        <v/>
      </c>
      <c r="X138" s="17"/>
      <c r="Y138" s="17"/>
      <c r="Z138" s="17"/>
    </row>
    <row r="139" customFormat="false" ht="15" hidden="false" customHeight="false" outlineLevel="0" collapsed="false">
      <c r="A139" s="17"/>
      <c r="B139" s="17"/>
      <c r="C139" s="17"/>
      <c r="D139" s="17"/>
      <c r="E139" s="42"/>
      <c r="F139" s="17"/>
      <c r="G139" s="17"/>
      <c r="H139" s="17"/>
      <c r="I139" s="49" t="str">
        <f aca="false">IF(H139="","",IFERROR(INDEX(Settings!$G$2:$G$4,MATCH(H139,Settings!$F$2:$F$4,0)),""))</f>
        <v/>
      </c>
      <c r="J139" s="40"/>
      <c r="K139" s="50"/>
      <c r="L139" s="17"/>
      <c r="M139" s="40"/>
      <c r="N139" s="40"/>
      <c r="O139" s="45" t="str">
        <f aca="false">IF(N139="","",WORKDAY(N139,Settings!$S$4))</f>
        <v/>
      </c>
      <c r="P139" s="17"/>
      <c r="Q139" s="44" t="str">
        <f aca="true">IF(C139="","",IF(P139="Backed out",IF(S139="Paid","Refunded – closed",IF(R139="","Refund – log reason first","Refund in progress")),IF(K139="","Awaiting payment",IF(N139="",IF(M139="","Schedule free video","Free video in production"),IF(P139="Approved","Active",IF(TODAY()&gt;O139,"Active – plan went ahead","Decision pending – "&amp;NETWORKDAYS(TODAY(),O139)&amp;" working day(s) left"))))))</f>
        <v/>
      </c>
      <c r="R139" s="17"/>
      <c r="S139" s="17"/>
      <c r="T139" s="50"/>
      <c r="U139" s="40"/>
      <c r="V139" s="40"/>
      <c r="W139" s="45" t="str">
        <f aca="false">IF(V139="","",EDATE(V139,Settings!$S$6))</f>
        <v/>
      </c>
      <c r="X139" s="17"/>
      <c r="Y139" s="17"/>
      <c r="Z139" s="17"/>
    </row>
    <row r="140" customFormat="false" ht="15" hidden="false" customHeight="false" outlineLevel="0" collapsed="false">
      <c r="A140" s="17"/>
      <c r="B140" s="17"/>
      <c r="C140" s="17"/>
      <c r="D140" s="17"/>
      <c r="E140" s="42"/>
      <c r="F140" s="17"/>
      <c r="G140" s="17"/>
      <c r="H140" s="17"/>
      <c r="I140" s="49" t="str">
        <f aca="false">IF(H140="","",IFERROR(INDEX(Settings!$G$2:$G$4,MATCH(H140,Settings!$F$2:$F$4,0)),""))</f>
        <v/>
      </c>
      <c r="J140" s="40"/>
      <c r="K140" s="50"/>
      <c r="L140" s="17"/>
      <c r="M140" s="40"/>
      <c r="N140" s="40"/>
      <c r="O140" s="45" t="str">
        <f aca="false">IF(N140="","",WORKDAY(N140,Settings!$S$4))</f>
        <v/>
      </c>
      <c r="P140" s="17"/>
      <c r="Q140" s="44" t="str">
        <f aca="true">IF(C140="","",IF(P140="Backed out",IF(S140="Paid","Refunded – closed",IF(R140="","Refund – log reason first","Refund in progress")),IF(K140="","Awaiting payment",IF(N140="",IF(M140="","Schedule free video","Free video in production"),IF(P140="Approved","Active",IF(TODAY()&gt;O140,"Active – plan went ahead","Decision pending – "&amp;NETWORKDAYS(TODAY(),O140)&amp;" working day(s) left"))))))</f>
        <v/>
      </c>
      <c r="R140" s="17"/>
      <c r="S140" s="17"/>
      <c r="T140" s="50"/>
      <c r="U140" s="40"/>
      <c r="V140" s="40"/>
      <c r="W140" s="45" t="str">
        <f aca="false">IF(V140="","",EDATE(V140,Settings!$S$6))</f>
        <v/>
      </c>
      <c r="X140" s="17"/>
      <c r="Y140" s="17"/>
      <c r="Z140" s="17"/>
    </row>
    <row r="141" customFormat="false" ht="15" hidden="false" customHeight="false" outlineLevel="0" collapsed="false">
      <c r="A141" s="17"/>
      <c r="B141" s="17"/>
      <c r="C141" s="17"/>
      <c r="D141" s="17"/>
      <c r="E141" s="42"/>
      <c r="F141" s="17"/>
      <c r="G141" s="17"/>
      <c r="H141" s="17"/>
      <c r="I141" s="49" t="str">
        <f aca="false">IF(H141="","",IFERROR(INDEX(Settings!$G$2:$G$4,MATCH(H141,Settings!$F$2:$F$4,0)),""))</f>
        <v/>
      </c>
      <c r="J141" s="40"/>
      <c r="K141" s="50"/>
      <c r="L141" s="17"/>
      <c r="M141" s="40"/>
      <c r="N141" s="40"/>
      <c r="O141" s="45" t="str">
        <f aca="false">IF(N141="","",WORKDAY(N141,Settings!$S$4))</f>
        <v/>
      </c>
      <c r="P141" s="17"/>
      <c r="Q141" s="44" t="str">
        <f aca="true">IF(C141="","",IF(P141="Backed out",IF(S141="Paid","Refunded – closed",IF(R141="","Refund – log reason first","Refund in progress")),IF(K141="","Awaiting payment",IF(N141="",IF(M141="","Schedule free video","Free video in production"),IF(P141="Approved","Active",IF(TODAY()&gt;O141,"Active – plan went ahead","Decision pending – "&amp;NETWORKDAYS(TODAY(),O141)&amp;" working day(s) left"))))))</f>
        <v/>
      </c>
      <c r="R141" s="17"/>
      <c r="S141" s="17"/>
      <c r="T141" s="50"/>
      <c r="U141" s="40"/>
      <c r="V141" s="40"/>
      <c r="W141" s="45" t="str">
        <f aca="false">IF(V141="","",EDATE(V141,Settings!$S$6))</f>
        <v/>
      </c>
      <c r="X141" s="17"/>
      <c r="Y141" s="17"/>
      <c r="Z141" s="17"/>
    </row>
    <row r="142" customFormat="false" ht="15" hidden="false" customHeight="false" outlineLevel="0" collapsed="false">
      <c r="A142" s="17"/>
      <c r="B142" s="17"/>
      <c r="C142" s="17"/>
      <c r="D142" s="17"/>
      <c r="E142" s="42"/>
      <c r="F142" s="17"/>
      <c r="G142" s="17"/>
      <c r="H142" s="17"/>
      <c r="I142" s="49" t="str">
        <f aca="false">IF(H142="","",IFERROR(INDEX(Settings!$G$2:$G$4,MATCH(H142,Settings!$F$2:$F$4,0)),""))</f>
        <v/>
      </c>
      <c r="J142" s="40"/>
      <c r="K142" s="50"/>
      <c r="L142" s="17"/>
      <c r="M142" s="40"/>
      <c r="N142" s="40"/>
      <c r="O142" s="45" t="str">
        <f aca="false">IF(N142="","",WORKDAY(N142,Settings!$S$4))</f>
        <v/>
      </c>
      <c r="P142" s="17"/>
      <c r="Q142" s="44" t="str">
        <f aca="true">IF(C142="","",IF(P142="Backed out",IF(S142="Paid","Refunded – closed",IF(R142="","Refund – log reason first","Refund in progress")),IF(K142="","Awaiting payment",IF(N142="",IF(M142="","Schedule free video","Free video in production"),IF(P142="Approved","Active",IF(TODAY()&gt;O142,"Active – plan went ahead","Decision pending – "&amp;NETWORKDAYS(TODAY(),O142)&amp;" working day(s) left"))))))</f>
        <v/>
      </c>
      <c r="R142" s="17"/>
      <c r="S142" s="17"/>
      <c r="T142" s="50"/>
      <c r="U142" s="40"/>
      <c r="V142" s="40"/>
      <c r="W142" s="45" t="str">
        <f aca="false">IF(V142="","",EDATE(V142,Settings!$S$6))</f>
        <v/>
      </c>
      <c r="X142" s="17"/>
      <c r="Y142" s="17"/>
      <c r="Z142" s="17"/>
    </row>
    <row r="143" customFormat="false" ht="15" hidden="false" customHeight="false" outlineLevel="0" collapsed="false">
      <c r="A143" s="17"/>
      <c r="B143" s="17"/>
      <c r="C143" s="17"/>
      <c r="D143" s="17"/>
      <c r="E143" s="42"/>
      <c r="F143" s="17"/>
      <c r="G143" s="17"/>
      <c r="H143" s="17"/>
      <c r="I143" s="49" t="str">
        <f aca="false">IF(H143="","",IFERROR(INDEX(Settings!$G$2:$G$4,MATCH(H143,Settings!$F$2:$F$4,0)),""))</f>
        <v/>
      </c>
      <c r="J143" s="40"/>
      <c r="K143" s="50"/>
      <c r="L143" s="17"/>
      <c r="M143" s="40"/>
      <c r="N143" s="40"/>
      <c r="O143" s="45" t="str">
        <f aca="false">IF(N143="","",WORKDAY(N143,Settings!$S$4))</f>
        <v/>
      </c>
      <c r="P143" s="17"/>
      <c r="Q143" s="44" t="str">
        <f aca="true">IF(C143="","",IF(P143="Backed out",IF(S143="Paid","Refunded – closed",IF(R143="","Refund – log reason first","Refund in progress")),IF(K143="","Awaiting payment",IF(N143="",IF(M143="","Schedule free video","Free video in production"),IF(P143="Approved","Active",IF(TODAY()&gt;O143,"Active – plan went ahead","Decision pending – "&amp;NETWORKDAYS(TODAY(),O143)&amp;" working day(s) left"))))))</f>
        <v/>
      </c>
      <c r="R143" s="17"/>
      <c r="S143" s="17"/>
      <c r="T143" s="50"/>
      <c r="U143" s="40"/>
      <c r="V143" s="40"/>
      <c r="W143" s="45" t="str">
        <f aca="false">IF(V143="","",EDATE(V143,Settings!$S$6))</f>
        <v/>
      </c>
      <c r="X143" s="17"/>
      <c r="Y143" s="17"/>
      <c r="Z143" s="17"/>
    </row>
    <row r="144" customFormat="false" ht="15" hidden="false" customHeight="false" outlineLevel="0" collapsed="false">
      <c r="A144" s="17"/>
      <c r="B144" s="17"/>
      <c r="C144" s="17"/>
      <c r="D144" s="17"/>
      <c r="E144" s="42"/>
      <c r="F144" s="17"/>
      <c r="G144" s="17"/>
      <c r="H144" s="17"/>
      <c r="I144" s="49" t="str">
        <f aca="false">IF(H144="","",IFERROR(INDEX(Settings!$G$2:$G$4,MATCH(H144,Settings!$F$2:$F$4,0)),""))</f>
        <v/>
      </c>
      <c r="J144" s="40"/>
      <c r="K144" s="50"/>
      <c r="L144" s="17"/>
      <c r="M144" s="40"/>
      <c r="N144" s="40"/>
      <c r="O144" s="45" t="str">
        <f aca="false">IF(N144="","",WORKDAY(N144,Settings!$S$4))</f>
        <v/>
      </c>
      <c r="P144" s="17"/>
      <c r="Q144" s="44" t="str">
        <f aca="true">IF(C144="","",IF(P144="Backed out",IF(S144="Paid","Refunded – closed",IF(R144="","Refund – log reason first","Refund in progress")),IF(K144="","Awaiting payment",IF(N144="",IF(M144="","Schedule free video","Free video in production"),IF(P144="Approved","Active",IF(TODAY()&gt;O144,"Active – plan went ahead","Decision pending – "&amp;NETWORKDAYS(TODAY(),O144)&amp;" working day(s) left"))))))</f>
        <v/>
      </c>
      <c r="R144" s="17"/>
      <c r="S144" s="17"/>
      <c r="T144" s="50"/>
      <c r="U144" s="40"/>
      <c r="V144" s="40"/>
      <c r="W144" s="45" t="str">
        <f aca="false">IF(V144="","",EDATE(V144,Settings!$S$6))</f>
        <v/>
      </c>
      <c r="X144" s="17"/>
      <c r="Y144" s="17"/>
      <c r="Z144" s="17"/>
    </row>
    <row r="145" customFormat="false" ht="15" hidden="false" customHeight="false" outlineLevel="0" collapsed="false">
      <c r="A145" s="17"/>
      <c r="B145" s="17"/>
      <c r="C145" s="17"/>
      <c r="D145" s="17"/>
      <c r="E145" s="42"/>
      <c r="F145" s="17"/>
      <c r="G145" s="17"/>
      <c r="H145" s="17"/>
      <c r="I145" s="49" t="str">
        <f aca="false">IF(H145="","",IFERROR(INDEX(Settings!$G$2:$G$4,MATCH(H145,Settings!$F$2:$F$4,0)),""))</f>
        <v/>
      </c>
      <c r="J145" s="40"/>
      <c r="K145" s="50"/>
      <c r="L145" s="17"/>
      <c r="M145" s="40"/>
      <c r="N145" s="40"/>
      <c r="O145" s="45" t="str">
        <f aca="false">IF(N145="","",WORKDAY(N145,Settings!$S$4))</f>
        <v/>
      </c>
      <c r="P145" s="17"/>
      <c r="Q145" s="44" t="str">
        <f aca="true">IF(C145="","",IF(P145="Backed out",IF(S145="Paid","Refunded – closed",IF(R145="","Refund – log reason first","Refund in progress")),IF(K145="","Awaiting payment",IF(N145="",IF(M145="","Schedule free video","Free video in production"),IF(P145="Approved","Active",IF(TODAY()&gt;O145,"Active – plan went ahead","Decision pending – "&amp;NETWORKDAYS(TODAY(),O145)&amp;" working day(s) left"))))))</f>
        <v/>
      </c>
      <c r="R145" s="17"/>
      <c r="S145" s="17"/>
      <c r="T145" s="50"/>
      <c r="U145" s="40"/>
      <c r="V145" s="40"/>
      <c r="W145" s="45" t="str">
        <f aca="false">IF(V145="","",EDATE(V145,Settings!$S$6))</f>
        <v/>
      </c>
      <c r="X145" s="17"/>
      <c r="Y145" s="17"/>
      <c r="Z145" s="17"/>
    </row>
    <row r="146" customFormat="false" ht="15" hidden="false" customHeight="false" outlineLevel="0" collapsed="false">
      <c r="A146" s="17"/>
      <c r="B146" s="17"/>
      <c r="C146" s="17"/>
      <c r="D146" s="17"/>
      <c r="E146" s="42"/>
      <c r="F146" s="17"/>
      <c r="G146" s="17"/>
      <c r="H146" s="17"/>
      <c r="I146" s="49" t="str">
        <f aca="false">IF(H146="","",IFERROR(INDEX(Settings!$G$2:$G$4,MATCH(H146,Settings!$F$2:$F$4,0)),""))</f>
        <v/>
      </c>
      <c r="J146" s="40"/>
      <c r="K146" s="50"/>
      <c r="L146" s="17"/>
      <c r="M146" s="40"/>
      <c r="N146" s="40"/>
      <c r="O146" s="45" t="str">
        <f aca="false">IF(N146="","",WORKDAY(N146,Settings!$S$4))</f>
        <v/>
      </c>
      <c r="P146" s="17"/>
      <c r="Q146" s="44" t="str">
        <f aca="true">IF(C146="","",IF(P146="Backed out",IF(S146="Paid","Refunded – closed",IF(R146="","Refund – log reason first","Refund in progress")),IF(K146="","Awaiting payment",IF(N146="",IF(M146="","Schedule free video","Free video in production"),IF(P146="Approved","Active",IF(TODAY()&gt;O146,"Active – plan went ahead","Decision pending – "&amp;NETWORKDAYS(TODAY(),O146)&amp;" working day(s) left"))))))</f>
        <v/>
      </c>
      <c r="R146" s="17"/>
      <c r="S146" s="17"/>
      <c r="T146" s="50"/>
      <c r="U146" s="40"/>
      <c r="V146" s="40"/>
      <c r="W146" s="45" t="str">
        <f aca="false">IF(V146="","",EDATE(V146,Settings!$S$6))</f>
        <v/>
      </c>
      <c r="X146" s="17"/>
      <c r="Y146" s="17"/>
      <c r="Z146" s="17"/>
    </row>
    <row r="147" customFormat="false" ht="15" hidden="false" customHeight="false" outlineLevel="0" collapsed="false">
      <c r="A147" s="17"/>
      <c r="B147" s="17"/>
      <c r="C147" s="17"/>
      <c r="D147" s="17"/>
      <c r="E147" s="42"/>
      <c r="F147" s="17"/>
      <c r="G147" s="17"/>
      <c r="H147" s="17"/>
      <c r="I147" s="49" t="str">
        <f aca="false">IF(H147="","",IFERROR(INDEX(Settings!$G$2:$G$4,MATCH(H147,Settings!$F$2:$F$4,0)),""))</f>
        <v/>
      </c>
      <c r="J147" s="40"/>
      <c r="K147" s="50"/>
      <c r="L147" s="17"/>
      <c r="M147" s="40"/>
      <c r="N147" s="40"/>
      <c r="O147" s="45" t="str">
        <f aca="false">IF(N147="","",WORKDAY(N147,Settings!$S$4))</f>
        <v/>
      </c>
      <c r="P147" s="17"/>
      <c r="Q147" s="44" t="str">
        <f aca="true">IF(C147="","",IF(P147="Backed out",IF(S147="Paid","Refunded – closed",IF(R147="","Refund – log reason first","Refund in progress")),IF(K147="","Awaiting payment",IF(N147="",IF(M147="","Schedule free video","Free video in production"),IF(P147="Approved","Active",IF(TODAY()&gt;O147,"Active – plan went ahead","Decision pending – "&amp;NETWORKDAYS(TODAY(),O147)&amp;" working day(s) left"))))))</f>
        <v/>
      </c>
      <c r="R147" s="17"/>
      <c r="S147" s="17"/>
      <c r="T147" s="50"/>
      <c r="U147" s="40"/>
      <c r="V147" s="40"/>
      <c r="W147" s="45" t="str">
        <f aca="false">IF(V147="","",EDATE(V147,Settings!$S$6))</f>
        <v/>
      </c>
      <c r="X147" s="17"/>
      <c r="Y147" s="17"/>
      <c r="Z147" s="17"/>
    </row>
    <row r="148" customFormat="false" ht="15" hidden="false" customHeight="false" outlineLevel="0" collapsed="false">
      <c r="A148" s="17"/>
      <c r="B148" s="17"/>
      <c r="C148" s="17"/>
      <c r="D148" s="17"/>
      <c r="E148" s="42"/>
      <c r="F148" s="17"/>
      <c r="G148" s="17"/>
      <c r="H148" s="17"/>
      <c r="I148" s="49" t="str">
        <f aca="false">IF(H148="","",IFERROR(INDEX(Settings!$G$2:$G$4,MATCH(H148,Settings!$F$2:$F$4,0)),""))</f>
        <v/>
      </c>
      <c r="J148" s="40"/>
      <c r="K148" s="50"/>
      <c r="L148" s="17"/>
      <c r="M148" s="40"/>
      <c r="N148" s="40"/>
      <c r="O148" s="45" t="str">
        <f aca="false">IF(N148="","",WORKDAY(N148,Settings!$S$4))</f>
        <v/>
      </c>
      <c r="P148" s="17"/>
      <c r="Q148" s="44" t="str">
        <f aca="true">IF(C148="","",IF(P148="Backed out",IF(S148="Paid","Refunded – closed",IF(R148="","Refund – log reason first","Refund in progress")),IF(K148="","Awaiting payment",IF(N148="",IF(M148="","Schedule free video","Free video in production"),IF(P148="Approved","Active",IF(TODAY()&gt;O148,"Active – plan went ahead","Decision pending – "&amp;NETWORKDAYS(TODAY(),O148)&amp;" working day(s) left"))))))</f>
        <v/>
      </c>
      <c r="R148" s="17"/>
      <c r="S148" s="17"/>
      <c r="T148" s="50"/>
      <c r="U148" s="40"/>
      <c r="V148" s="40"/>
      <c r="W148" s="45" t="str">
        <f aca="false">IF(V148="","",EDATE(V148,Settings!$S$6))</f>
        <v/>
      </c>
      <c r="X148" s="17"/>
      <c r="Y148" s="17"/>
      <c r="Z148" s="17"/>
    </row>
    <row r="149" customFormat="false" ht="15" hidden="false" customHeight="false" outlineLevel="0" collapsed="false">
      <c r="A149" s="17"/>
      <c r="B149" s="17"/>
      <c r="C149" s="17"/>
      <c r="D149" s="17"/>
      <c r="E149" s="42"/>
      <c r="F149" s="17"/>
      <c r="G149" s="17"/>
      <c r="H149" s="17"/>
      <c r="I149" s="49" t="str">
        <f aca="false">IF(H149="","",IFERROR(INDEX(Settings!$G$2:$G$4,MATCH(H149,Settings!$F$2:$F$4,0)),""))</f>
        <v/>
      </c>
      <c r="J149" s="40"/>
      <c r="K149" s="50"/>
      <c r="L149" s="17"/>
      <c r="M149" s="40"/>
      <c r="N149" s="40"/>
      <c r="O149" s="45" t="str">
        <f aca="false">IF(N149="","",WORKDAY(N149,Settings!$S$4))</f>
        <v/>
      </c>
      <c r="P149" s="17"/>
      <c r="Q149" s="44" t="str">
        <f aca="true">IF(C149="","",IF(P149="Backed out",IF(S149="Paid","Refunded – closed",IF(R149="","Refund – log reason first","Refund in progress")),IF(K149="","Awaiting payment",IF(N149="",IF(M149="","Schedule free video","Free video in production"),IF(P149="Approved","Active",IF(TODAY()&gt;O149,"Active – plan went ahead","Decision pending – "&amp;NETWORKDAYS(TODAY(),O149)&amp;" working day(s) left"))))))</f>
        <v/>
      </c>
      <c r="R149" s="17"/>
      <c r="S149" s="17"/>
      <c r="T149" s="50"/>
      <c r="U149" s="40"/>
      <c r="V149" s="40"/>
      <c r="W149" s="45" t="str">
        <f aca="false">IF(V149="","",EDATE(V149,Settings!$S$6))</f>
        <v/>
      </c>
      <c r="X149" s="17"/>
      <c r="Y149" s="17"/>
      <c r="Z149" s="17"/>
    </row>
    <row r="150" customFormat="false" ht="15" hidden="false" customHeight="false" outlineLevel="0" collapsed="false">
      <c r="A150" s="17"/>
      <c r="B150" s="17"/>
      <c r="C150" s="17"/>
      <c r="D150" s="17"/>
      <c r="E150" s="42"/>
      <c r="F150" s="17"/>
      <c r="G150" s="17"/>
      <c r="H150" s="17"/>
      <c r="I150" s="49" t="str">
        <f aca="false">IF(H150="","",IFERROR(INDEX(Settings!$G$2:$G$4,MATCH(H150,Settings!$F$2:$F$4,0)),""))</f>
        <v/>
      </c>
      <c r="J150" s="40"/>
      <c r="K150" s="50"/>
      <c r="L150" s="17"/>
      <c r="M150" s="40"/>
      <c r="N150" s="40"/>
      <c r="O150" s="45" t="str">
        <f aca="false">IF(N150="","",WORKDAY(N150,Settings!$S$4))</f>
        <v/>
      </c>
      <c r="P150" s="17"/>
      <c r="Q150" s="44" t="str">
        <f aca="true">IF(C150="","",IF(P150="Backed out",IF(S150="Paid","Refunded – closed",IF(R150="","Refund – log reason first","Refund in progress")),IF(K150="","Awaiting payment",IF(N150="",IF(M150="","Schedule free video","Free video in production"),IF(P150="Approved","Active",IF(TODAY()&gt;O150,"Active – plan went ahead","Decision pending – "&amp;NETWORKDAYS(TODAY(),O150)&amp;" working day(s) left"))))))</f>
        <v/>
      </c>
      <c r="R150" s="17"/>
      <c r="S150" s="17"/>
      <c r="T150" s="50"/>
      <c r="U150" s="40"/>
      <c r="V150" s="40"/>
      <c r="W150" s="45" t="str">
        <f aca="false">IF(V150="","",EDATE(V150,Settings!$S$6))</f>
        <v/>
      </c>
      <c r="X150" s="17"/>
      <c r="Y150" s="17"/>
      <c r="Z150" s="17"/>
    </row>
    <row r="151" customFormat="false" ht="15" hidden="false" customHeight="false" outlineLevel="0" collapsed="false">
      <c r="A151" s="17"/>
      <c r="B151" s="17"/>
      <c r="C151" s="17"/>
      <c r="D151" s="17"/>
      <c r="E151" s="42"/>
      <c r="F151" s="17"/>
      <c r="G151" s="17"/>
      <c r="H151" s="17"/>
      <c r="I151" s="49" t="str">
        <f aca="false">IF(H151="","",IFERROR(INDEX(Settings!$G$2:$G$4,MATCH(H151,Settings!$F$2:$F$4,0)),""))</f>
        <v/>
      </c>
      <c r="J151" s="40"/>
      <c r="K151" s="50"/>
      <c r="L151" s="17"/>
      <c r="M151" s="40"/>
      <c r="N151" s="40"/>
      <c r="O151" s="45" t="str">
        <f aca="false">IF(N151="","",WORKDAY(N151,Settings!$S$4))</f>
        <v/>
      </c>
      <c r="P151" s="17"/>
      <c r="Q151" s="44" t="str">
        <f aca="true">IF(C151="","",IF(P151="Backed out",IF(S151="Paid","Refunded – closed",IF(R151="","Refund – log reason first","Refund in progress")),IF(K151="","Awaiting payment",IF(N151="",IF(M151="","Schedule free video","Free video in production"),IF(P151="Approved","Active",IF(TODAY()&gt;O151,"Active – plan went ahead","Decision pending – "&amp;NETWORKDAYS(TODAY(),O151)&amp;" working day(s) left"))))))</f>
        <v/>
      </c>
      <c r="R151" s="17"/>
      <c r="S151" s="17"/>
      <c r="T151" s="50"/>
      <c r="U151" s="40"/>
      <c r="V151" s="40"/>
      <c r="W151" s="45" t="str">
        <f aca="false">IF(V151="","",EDATE(V151,Settings!$S$6))</f>
        <v/>
      </c>
      <c r="X151" s="17"/>
      <c r="Y151" s="17"/>
      <c r="Z151" s="17"/>
    </row>
    <row r="152" customFormat="false" ht="15" hidden="false" customHeight="false" outlineLevel="0" collapsed="false">
      <c r="A152" s="17"/>
      <c r="B152" s="17"/>
      <c r="C152" s="17"/>
      <c r="D152" s="17"/>
      <c r="E152" s="42"/>
      <c r="F152" s="17"/>
      <c r="G152" s="17"/>
      <c r="H152" s="17"/>
      <c r="I152" s="49" t="str">
        <f aca="false">IF(H152="","",IFERROR(INDEX(Settings!$G$2:$G$4,MATCH(H152,Settings!$F$2:$F$4,0)),""))</f>
        <v/>
      </c>
      <c r="J152" s="40"/>
      <c r="K152" s="50"/>
      <c r="L152" s="17"/>
      <c r="M152" s="40"/>
      <c r="N152" s="40"/>
      <c r="O152" s="45" t="str">
        <f aca="false">IF(N152="","",WORKDAY(N152,Settings!$S$4))</f>
        <v/>
      </c>
      <c r="P152" s="17"/>
      <c r="Q152" s="44" t="str">
        <f aca="true">IF(C152="","",IF(P152="Backed out",IF(S152="Paid","Refunded – closed",IF(R152="","Refund – log reason first","Refund in progress")),IF(K152="","Awaiting payment",IF(N152="",IF(M152="","Schedule free video","Free video in production"),IF(P152="Approved","Active",IF(TODAY()&gt;O152,"Active – plan went ahead","Decision pending – "&amp;NETWORKDAYS(TODAY(),O152)&amp;" working day(s) left"))))))</f>
        <v/>
      </c>
      <c r="R152" s="17"/>
      <c r="S152" s="17"/>
      <c r="T152" s="50"/>
      <c r="U152" s="40"/>
      <c r="V152" s="40"/>
      <c r="W152" s="45" t="str">
        <f aca="false">IF(V152="","",EDATE(V152,Settings!$S$6))</f>
        <v/>
      </c>
      <c r="X152" s="17"/>
      <c r="Y152" s="17"/>
      <c r="Z152" s="17"/>
    </row>
    <row r="153" customFormat="false" ht="15" hidden="false" customHeight="false" outlineLevel="0" collapsed="false">
      <c r="A153" s="17"/>
      <c r="B153" s="17"/>
      <c r="C153" s="17"/>
      <c r="D153" s="17"/>
      <c r="E153" s="42"/>
      <c r="F153" s="17"/>
      <c r="G153" s="17"/>
      <c r="H153" s="17"/>
      <c r="I153" s="49" t="str">
        <f aca="false">IF(H153="","",IFERROR(INDEX(Settings!$G$2:$G$4,MATCH(H153,Settings!$F$2:$F$4,0)),""))</f>
        <v/>
      </c>
      <c r="J153" s="40"/>
      <c r="K153" s="50"/>
      <c r="L153" s="17"/>
      <c r="M153" s="40"/>
      <c r="N153" s="40"/>
      <c r="O153" s="45" t="str">
        <f aca="false">IF(N153="","",WORKDAY(N153,Settings!$S$4))</f>
        <v/>
      </c>
      <c r="P153" s="17"/>
      <c r="Q153" s="44" t="str">
        <f aca="true">IF(C153="","",IF(P153="Backed out",IF(S153="Paid","Refunded – closed",IF(R153="","Refund – log reason first","Refund in progress")),IF(K153="","Awaiting payment",IF(N153="",IF(M153="","Schedule free video","Free video in production"),IF(P153="Approved","Active",IF(TODAY()&gt;O153,"Active – plan went ahead","Decision pending – "&amp;NETWORKDAYS(TODAY(),O153)&amp;" working day(s) left"))))))</f>
        <v/>
      </c>
      <c r="R153" s="17"/>
      <c r="S153" s="17"/>
      <c r="T153" s="50"/>
      <c r="U153" s="40"/>
      <c r="V153" s="40"/>
      <c r="W153" s="45" t="str">
        <f aca="false">IF(V153="","",EDATE(V153,Settings!$S$6))</f>
        <v/>
      </c>
      <c r="X153" s="17"/>
      <c r="Y153" s="17"/>
      <c r="Z153" s="17"/>
    </row>
    <row r="154" customFormat="false" ht="15" hidden="false" customHeight="false" outlineLevel="0" collapsed="false">
      <c r="A154" s="17"/>
      <c r="B154" s="17"/>
      <c r="C154" s="17"/>
      <c r="D154" s="17"/>
      <c r="E154" s="42"/>
      <c r="F154" s="17"/>
      <c r="G154" s="17"/>
      <c r="H154" s="17"/>
      <c r="I154" s="49" t="str">
        <f aca="false">IF(H154="","",IFERROR(INDEX(Settings!$G$2:$G$4,MATCH(H154,Settings!$F$2:$F$4,0)),""))</f>
        <v/>
      </c>
      <c r="J154" s="40"/>
      <c r="K154" s="50"/>
      <c r="L154" s="17"/>
      <c r="M154" s="40"/>
      <c r="N154" s="40"/>
      <c r="O154" s="45" t="str">
        <f aca="false">IF(N154="","",WORKDAY(N154,Settings!$S$4))</f>
        <v/>
      </c>
      <c r="P154" s="17"/>
      <c r="Q154" s="44" t="str">
        <f aca="true">IF(C154="","",IF(P154="Backed out",IF(S154="Paid","Refunded – closed",IF(R154="","Refund – log reason first","Refund in progress")),IF(K154="","Awaiting payment",IF(N154="",IF(M154="","Schedule free video","Free video in production"),IF(P154="Approved","Active",IF(TODAY()&gt;O154,"Active – plan went ahead","Decision pending – "&amp;NETWORKDAYS(TODAY(),O154)&amp;" working day(s) left"))))))</f>
        <v/>
      </c>
      <c r="R154" s="17"/>
      <c r="S154" s="17"/>
      <c r="T154" s="50"/>
      <c r="U154" s="40"/>
      <c r="V154" s="40"/>
      <c r="W154" s="45" t="str">
        <f aca="false">IF(V154="","",EDATE(V154,Settings!$S$6))</f>
        <v/>
      </c>
      <c r="X154" s="17"/>
      <c r="Y154" s="17"/>
      <c r="Z154" s="17"/>
    </row>
    <row r="155" customFormat="false" ht="15" hidden="false" customHeight="false" outlineLevel="0" collapsed="false">
      <c r="A155" s="17"/>
      <c r="B155" s="17"/>
      <c r="C155" s="17"/>
      <c r="D155" s="17"/>
      <c r="E155" s="42"/>
      <c r="F155" s="17"/>
      <c r="G155" s="17"/>
      <c r="H155" s="17"/>
      <c r="I155" s="49" t="str">
        <f aca="false">IF(H155="","",IFERROR(INDEX(Settings!$G$2:$G$4,MATCH(H155,Settings!$F$2:$F$4,0)),""))</f>
        <v/>
      </c>
      <c r="J155" s="40"/>
      <c r="K155" s="50"/>
      <c r="L155" s="17"/>
      <c r="M155" s="40"/>
      <c r="N155" s="40"/>
      <c r="O155" s="45" t="str">
        <f aca="false">IF(N155="","",WORKDAY(N155,Settings!$S$4))</f>
        <v/>
      </c>
      <c r="P155" s="17"/>
      <c r="Q155" s="44" t="str">
        <f aca="true">IF(C155="","",IF(P155="Backed out",IF(S155="Paid","Refunded – closed",IF(R155="","Refund – log reason first","Refund in progress")),IF(K155="","Awaiting payment",IF(N155="",IF(M155="","Schedule free video","Free video in production"),IF(P155="Approved","Active",IF(TODAY()&gt;O155,"Active – plan went ahead","Decision pending – "&amp;NETWORKDAYS(TODAY(),O155)&amp;" working day(s) left"))))))</f>
        <v/>
      </c>
      <c r="R155" s="17"/>
      <c r="S155" s="17"/>
      <c r="T155" s="50"/>
      <c r="U155" s="40"/>
      <c r="V155" s="40"/>
      <c r="W155" s="45" t="str">
        <f aca="false">IF(V155="","",EDATE(V155,Settings!$S$6))</f>
        <v/>
      </c>
      <c r="X155" s="17"/>
      <c r="Y155" s="17"/>
      <c r="Z155" s="17"/>
    </row>
    <row r="156" customFormat="false" ht="15" hidden="false" customHeight="false" outlineLevel="0" collapsed="false">
      <c r="A156" s="17"/>
      <c r="B156" s="17"/>
      <c r="C156" s="17"/>
      <c r="D156" s="17"/>
      <c r="E156" s="42"/>
      <c r="F156" s="17"/>
      <c r="G156" s="17"/>
      <c r="H156" s="17"/>
      <c r="I156" s="49" t="str">
        <f aca="false">IF(H156="","",IFERROR(INDEX(Settings!$G$2:$G$4,MATCH(H156,Settings!$F$2:$F$4,0)),""))</f>
        <v/>
      </c>
      <c r="J156" s="40"/>
      <c r="K156" s="50"/>
      <c r="L156" s="17"/>
      <c r="M156" s="40"/>
      <c r="N156" s="40"/>
      <c r="O156" s="45" t="str">
        <f aca="false">IF(N156="","",WORKDAY(N156,Settings!$S$4))</f>
        <v/>
      </c>
      <c r="P156" s="17"/>
      <c r="Q156" s="44" t="str">
        <f aca="true">IF(C156="","",IF(P156="Backed out",IF(S156="Paid","Refunded – closed",IF(R156="","Refund – log reason first","Refund in progress")),IF(K156="","Awaiting payment",IF(N156="",IF(M156="","Schedule free video","Free video in production"),IF(P156="Approved","Active",IF(TODAY()&gt;O156,"Active – plan went ahead","Decision pending – "&amp;NETWORKDAYS(TODAY(),O156)&amp;" working day(s) left"))))))</f>
        <v/>
      </c>
      <c r="R156" s="17"/>
      <c r="S156" s="17"/>
      <c r="T156" s="50"/>
      <c r="U156" s="40"/>
      <c r="V156" s="40"/>
      <c r="W156" s="45" t="str">
        <f aca="false">IF(V156="","",EDATE(V156,Settings!$S$6))</f>
        <v/>
      </c>
      <c r="X156" s="17"/>
      <c r="Y156" s="17"/>
      <c r="Z156" s="17"/>
    </row>
    <row r="157" customFormat="false" ht="15" hidden="false" customHeight="false" outlineLevel="0" collapsed="false">
      <c r="A157" s="17"/>
      <c r="B157" s="17"/>
      <c r="C157" s="17"/>
      <c r="D157" s="17"/>
      <c r="E157" s="42"/>
      <c r="F157" s="17"/>
      <c r="G157" s="17"/>
      <c r="H157" s="17"/>
      <c r="I157" s="49" t="str">
        <f aca="false">IF(H157="","",IFERROR(INDEX(Settings!$G$2:$G$4,MATCH(H157,Settings!$F$2:$F$4,0)),""))</f>
        <v/>
      </c>
      <c r="J157" s="40"/>
      <c r="K157" s="50"/>
      <c r="L157" s="17"/>
      <c r="M157" s="40"/>
      <c r="N157" s="40"/>
      <c r="O157" s="45" t="str">
        <f aca="false">IF(N157="","",WORKDAY(N157,Settings!$S$4))</f>
        <v/>
      </c>
      <c r="P157" s="17"/>
      <c r="Q157" s="44" t="str">
        <f aca="true">IF(C157="","",IF(P157="Backed out",IF(S157="Paid","Refunded – closed",IF(R157="","Refund – log reason first","Refund in progress")),IF(K157="","Awaiting payment",IF(N157="",IF(M157="","Schedule free video","Free video in production"),IF(P157="Approved","Active",IF(TODAY()&gt;O157,"Active – plan went ahead","Decision pending – "&amp;NETWORKDAYS(TODAY(),O157)&amp;" working day(s) left"))))))</f>
        <v/>
      </c>
      <c r="R157" s="17"/>
      <c r="S157" s="17"/>
      <c r="T157" s="50"/>
      <c r="U157" s="40"/>
      <c r="V157" s="40"/>
      <c r="W157" s="45" t="str">
        <f aca="false">IF(V157="","",EDATE(V157,Settings!$S$6))</f>
        <v/>
      </c>
      <c r="X157" s="17"/>
      <c r="Y157" s="17"/>
      <c r="Z157" s="17"/>
    </row>
    <row r="158" customFormat="false" ht="15" hidden="false" customHeight="false" outlineLevel="0" collapsed="false">
      <c r="A158" s="17"/>
      <c r="B158" s="17"/>
      <c r="C158" s="17"/>
      <c r="D158" s="17"/>
      <c r="E158" s="42"/>
      <c r="F158" s="17"/>
      <c r="G158" s="17"/>
      <c r="H158" s="17"/>
      <c r="I158" s="49" t="str">
        <f aca="false">IF(H158="","",IFERROR(INDEX(Settings!$G$2:$G$4,MATCH(H158,Settings!$F$2:$F$4,0)),""))</f>
        <v/>
      </c>
      <c r="J158" s="40"/>
      <c r="K158" s="50"/>
      <c r="L158" s="17"/>
      <c r="M158" s="40"/>
      <c r="N158" s="40"/>
      <c r="O158" s="45" t="str">
        <f aca="false">IF(N158="","",WORKDAY(N158,Settings!$S$4))</f>
        <v/>
      </c>
      <c r="P158" s="17"/>
      <c r="Q158" s="44" t="str">
        <f aca="true">IF(C158="","",IF(P158="Backed out",IF(S158="Paid","Refunded – closed",IF(R158="","Refund – log reason first","Refund in progress")),IF(K158="","Awaiting payment",IF(N158="",IF(M158="","Schedule free video","Free video in production"),IF(P158="Approved","Active",IF(TODAY()&gt;O158,"Active – plan went ahead","Decision pending – "&amp;NETWORKDAYS(TODAY(),O158)&amp;" working day(s) left"))))))</f>
        <v/>
      </c>
      <c r="R158" s="17"/>
      <c r="S158" s="17"/>
      <c r="T158" s="50"/>
      <c r="U158" s="40"/>
      <c r="V158" s="40"/>
      <c r="W158" s="45" t="str">
        <f aca="false">IF(V158="","",EDATE(V158,Settings!$S$6))</f>
        <v/>
      </c>
      <c r="X158" s="17"/>
      <c r="Y158" s="17"/>
      <c r="Z158" s="17"/>
    </row>
    <row r="159" customFormat="false" ht="15" hidden="false" customHeight="false" outlineLevel="0" collapsed="false">
      <c r="A159" s="17"/>
      <c r="B159" s="17"/>
      <c r="C159" s="17"/>
      <c r="D159" s="17"/>
      <c r="E159" s="42"/>
      <c r="F159" s="17"/>
      <c r="G159" s="17"/>
      <c r="H159" s="17"/>
      <c r="I159" s="49" t="str">
        <f aca="false">IF(H159="","",IFERROR(INDEX(Settings!$G$2:$G$4,MATCH(H159,Settings!$F$2:$F$4,0)),""))</f>
        <v/>
      </c>
      <c r="J159" s="40"/>
      <c r="K159" s="50"/>
      <c r="L159" s="17"/>
      <c r="M159" s="40"/>
      <c r="N159" s="40"/>
      <c r="O159" s="45" t="str">
        <f aca="false">IF(N159="","",WORKDAY(N159,Settings!$S$4))</f>
        <v/>
      </c>
      <c r="P159" s="17"/>
      <c r="Q159" s="44" t="str">
        <f aca="true">IF(C159="","",IF(P159="Backed out",IF(S159="Paid","Refunded – closed",IF(R159="","Refund – log reason first","Refund in progress")),IF(K159="","Awaiting payment",IF(N159="",IF(M159="","Schedule free video","Free video in production"),IF(P159="Approved","Active",IF(TODAY()&gt;O159,"Active – plan went ahead","Decision pending – "&amp;NETWORKDAYS(TODAY(),O159)&amp;" working day(s) left"))))))</f>
        <v/>
      </c>
      <c r="R159" s="17"/>
      <c r="S159" s="17"/>
      <c r="T159" s="50"/>
      <c r="U159" s="40"/>
      <c r="V159" s="40"/>
      <c r="W159" s="45" t="str">
        <f aca="false">IF(V159="","",EDATE(V159,Settings!$S$6))</f>
        <v/>
      </c>
      <c r="X159" s="17"/>
      <c r="Y159" s="17"/>
      <c r="Z159" s="17"/>
    </row>
    <row r="160" customFormat="false" ht="15" hidden="false" customHeight="false" outlineLevel="0" collapsed="false">
      <c r="A160" s="17"/>
      <c r="B160" s="17"/>
      <c r="C160" s="17"/>
      <c r="D160" s="17"/>
      <c r="E160" s="42"/>
      <c r="F160" s="17"/>
      <c r="G160" s="17"/>
      <c r="H160" s="17"/>
      <c r="I160" s="49" t="str">
        <f aca="false">IF(H160="","",IFERROR(INDEX(Settings!$G$2:$G$4,MATCH(H160,Settings!$F$2:$F$4,0)),""))</f>
        <v/>
      </c>
      <c r="J160" s="40"/>
      <c r="K160" s="50"/>
      <c r="L160" s="17"/>
      <c r="M160" s="40"/>
      <c r="N160" s="40"/>
      <c r="O160" s="45" t="str">
        <f aca="false">IF(N160="","",WORKDAY(N160,Settings!$S$4))</f>
        <v/>
      </c>
      <c r="P160" s="17"/>
      <c r="Q160" s="44" t="str">
        <f aca="true">IF(C160="","",IF(P160="Backed out",IF(S160="Paid","Refunded – closed",IF(R160="","Refund – log reason first","Refund in progress")),IF(K160="","Awaiting payment",IF(N160="",IF(M160="","Schedule free video","Free video in production"),IF(P160="Approved","Active",IF(TODAY()&gt;O160,"Active – plan went ahead","Decision pending – "&amp;NETWORKDAYS(TODAY(),O160)&amp;" working day(s) left"))))))</f>
        <v/>
      </c>
      <c r="R160" s="17"/>
      <c r="S160" s="17"/>
      <c r="T160" s="50"/>
      <c r="U160" s="40"/>
      <c r="V160" s="40"/>
      <c r="W160" s="45" t="str">
        <f aca="false">IF(V160="","",EDATE(V160,Settings!$S$6))</f>
        <v/>
      </c>
      <c r="X160" s="17"/>
      <c r="Y160" s="17"/>
      <c r="Z160" s="17"/>
    </row>
    <row r="161" customFormat="false" ht="15" hidden="false" customHeight="false" outlineLevel="0" collapsed="false">
      <c r="A161" s="17"/>
      <c r="B161" s="17"/>
      <c r="C161" s="17"/>
      <c r="D161" s="17"/>
      <c r="E161" s="42"/>
      <c r="F161" s="17"/>
      <c r="G161" s="17"/>
      <c r="H161" s="17"/>
      <c r="I161" s="49" t="str">
        <f aca="false">IF(H161="","",IFERROR(INDEX(Settings!$G$2:$G$4,MATCH(H161,Settings!$F$2:$F$4,0)),""))</f>
        <v/>
      </c>
      <c r="J161" s="40"/>
      <c r="K161" s="50"/>
      <c r="L161" s="17"/>
      <c r="M161" s="40"/>
      <c r="N161" s="40"/>
      <c r="O161" s="45" t="str">
        <f aca="false">IF(N161="","",WORKDAY(N161,Settings!$S$4))</f>
        <v/>
      </c>
      <c r="P161" s="17"/>
      <c r="Q161" s="44" t="str">
        <f aca="true">IF(C161="","",IF(P161="Backed out",IF(S161="Paid","Refunded – closed",IF(R161="","Refund – log reason first","Refund in progress")),IF(K161="","Awaiting payment",IF(N161="",IF(M161="","Schedule free video","Free video in production"),IF(P161="Approved","Active",IF(TODAY()&gt;O161,"Active – plan went ahead","Decision pending – "&amp;NETWORKDAYS(TODAY(),O161)&amp;" working day(s) left"))))))</f>
        <v/>
      </c>
      <c r="R161" s="17"/>
      <c r="S161" s="17"/>
      <c r="T161" s="50"/>
      <c r="U161" s="40"/>
      <c r="V161" s="40"/>
      <c r="W161" s="45" t="str">
        <f aca="false">IF(V161="","",EDATE(V161,Settings!$S$6))</f>
        <v/>
      </c>
      <c r="X161" s="17"/>
      <c r="Y161" s="17"/>
      <c r="Z161" s="17"/>
    </row>
    <row r="162" customFormat="false" ht="15" hidden="false" customHeight="false" outlineLevel="0" collapsed="false">
      <c r="A162" s="17"/>
      <c r="B162" s="17"/>
      <c r="C162" s="17"/>
      <c r="D162" s="17"/>
      <c r="E162" s="42"/>
      <c r="F162" s="17"/>
      <c r="G162" s="17"/>
      <c r="H162" s="17"/>
      <c r="I162" s="49" t="str">
        <f aca="false">IF(H162="","",IFERROR(INDEX(Settings!$G$2:$G$4,MATCH(H162,Settings!$F$2:$F$4,0)),""))</f>
        <v/>
      </c>
      <c r="J162" s="40"/>
      <c r="K162" s="50"/>
      <c r="L162" s="17"/>
      <c r="M162" s="40"/>
      <c r="N162" s="40"/>
      <c r="O162" s="45" t="str">
        <f aca="false">IF(N162="","",WORKDAY(N162,Settings!$S$4))</f>
        <v/>
      </c>
      <c r="P162" s="17"/>
      <c r="Q162" s="44" t="str">
        <f aca="true">IF(C162="","",IF(P162="Backed out",IF(S162="Paid","Refunded – closed",IF(R162="","Refund – log reason first","Refund in progress")),IF(K162="","Awaiting payment",IF(N162="",IF(M162="","Schedule free video","Free video in production"),IF(P162="Approved","Active",IF(TODAY()&gt;O162,"Active – plan went ahead","Decision pending – "&amp;NETWORKDAYS(TODAY(),O162)&amp;" working day(s) left"))))))</f>
        <v/>
      </c>
      <c r="R162" s="17"/>
      <c r="S162" s="17"/>
      <c r="T162" s="50"/>
      <c r="U162" s="40"/>
      <c r="V162" s="40"/>
      <c r="W162" s="45" t="str">
        <f aca="false">IF(V162="","",EDATE(V162,Settings!$S$6))</f>
        <v/>
      </c>
      <c r="X162" s="17"/>
      <c r="Y162" s="17"/>
      <c r="Z162" s="17"/>
    </row>
    <row r="163" customFormat="false" ht="15" hidden="false" customHeight="false" outlineLevel="0" collapsed="false">
      <c r="A163" s="17"/>
      <c r="B163" s="17"/>
      <c r="C163" s="17"/>
      <c r="D163" s="17"/>
      <c r="E163" s="42"/>
      <c r="F163" s="17"/>
      <c r="G163" s="17"/>
      <c r="H163" s="17"/>
      <c r="I163" s="49" t="str">
        <f aca="false">IF(H163="","",IFERROR(INDEX(Settings!$G$2:$G$4,MATCH(H163,Settings!$F$2:$F$4,0)),""))</f>
        <v/>
      </c>
      <c r="J163" s="40"/>
      <c r="K163" s="50"/>
      <c r="L163" s="17"/>
      <c r="M163" s="40"/>
      <c r="N163" s="40"/>
      <c r="O163" s="45" t="str">
        <f aca="false">IF(N163="","",WORKDAY(N163,Settings!$S$4))</f>
        <v/>
      </c>
      <c r="P163" s="17"/>
      <c r="Q163" s="44" t="str">
        <f aca="true">IF(C163="","",IF(P163="Backed out",IF(S163="Paid","Refunded – closed",IF(R163="","Refund – log reason first","Refund in progress")),IF(K163="","Awaiting payment",IF(N163="",IF(M163="","Schedule free video","Free video in production"),IF(P163="Approved","Active",IF(TODAY()&gt;O163,"Active – plan went ahead","Decision pending – "&amp;NETWORKDAYS(TODAY(),O163)&amp;" working day(s) left"))))))</f>
        <v/>
      </c>
      <c r="R163" s="17"/>
      <c r="S163" s="17"/>
      <c r="T163" s="50"/>
      <c r="U163" s="40"/>
      <c r="V163" s="40"/>
      <c r="W163" s="45" t="str">
        <f aca="false">IF(V163="","",EDATE(V163,Settings!$S$6))</f>
        <v/>
      </c>
      <c r="X163" s="17"/>
      <c r="Y163" s="17"/>
      <c r="Z163" s="17"/>
    </row>
    <row r="164" customFormat="false" ht="15" hidden="false" customHeight="false" outlineLevel="0" collapsed="false">
      <c r="A164" s="17"/>
      <c r="B164" s="17"/>
      <c r="C164" s="17"/>
      <c r="D164" s="17"/>
      <c r="E164" s="42"/>
      <c r="F164" s="17"/>
      <c r="G164" s="17"/>
      <c r="H164" s="17"/>
      <c r="I164" s="49" t="str">
        <f aca="false">IF(H164="","",IFERROR(INDEX(Settings!$G$2:$G$4,MATCH(H164,Settings!$F$2:$F$4,0)),""))</f>
        <v/>
      </c>
      <c r="J164" s="40"/>
      <c r="K164" s="50"/>
      <c r="L164" s="17"/>
      <c r="M164" s="40"/>
      <c r="N164" s="40"/>
      <c r="O164" s="45" t="str">
        <f aca="false">IF(N164="","",WORKDAY(N164,Settings!$S$4))</f>
        <v/>
      </c>
      <c r="P164" s="17"/>
      <c r="Q164" s="44" t="str">
        <f aca="true">IF(C164="","",IF(P164="Backed out",IF(S164="Paid","Refunded – closed",IF(R164="","Refund – log reason first","Refund in progress")),IF(K164="","Awaiting payment",IF(N164="",IF(M164="","Schedule free video","Free video in production"),IF(P164="Approved","Active",IF(TODAY()&gt;O164,"Active – plan went ahead","Decision pending – "&amp;NETWORKDAYS(TODAY(),O164)&amp;" working day(s) left"))))))</f>
        <v/>
      </c>
      <c r="R164" s="17"/>
      <c r="S164" s="17"/>
      <c r="T164" s="50"/>
      <c r="U164" s="40"/>
      <c r="V164" s="40"/>
      <c r="W164" s="45" t="str">
        <f aca="false">IF(V164="","",EDATE(V164,Settings!$S$6))</f>
        <v/>
      </c>
      <c r="X164" s="17"/>
      <c r="Y164" s="17"/>
      <c r="Z164" s="17"/>
    </row>
    <row r="165" customFormat="false" ht="15" hidden="false" customHeight="false" outlineLevel="0" collapsed="false">
      <c r="A165" s="17"/>
      <c r="B165" s="17"/>
      <c r="C165" s="17"/>
      <c r="D165" s="17"/>
      <c r="E165" s="42"/>
      <c r="F165" s="17"/>
      <c r="G165" s="17"/>
      <c r="H165" s="17"/>
      <c r="I165" s="49" t="str">
        <f aca="false">IF(H165="","",IFERROR(INDEX(Settings!$G$2:$G$4,MATCH(H165,Settings!$F$2:$F$4,0)),""))</f>
        <v/>
      </c>
      <c r="J165" s="40"/>
      <c r="K165" s="50"/>
      <c r="L165" s="17"/>
      <c r="M165" s="40"/>
      <c r="N165" s="40"/>
      <c r="O165" s="45" t="str">
        <f aca="false">IF(N165="","",WORKDAY(N165,Settings!$S$4))</f>
        <v/>
      </c>
      <c r="P165" s="17"/>
      <c r="Q165" s="44" t="str">
        <f aca="true">IF(C165="","",IF(P165="Backed out",IF(S165="Paid","Refunded – closed",IF(R165="","Refund – log reason first","Refund in progress")),IF(K165="","Awaiting payment",IF(N165="",IF(M165="","Schedule free video","Free video in production"),IF(P165="Approved","Active",IF(TODAY()&gt;O165,"Active – plan went ahead","Decision pending – "&amp;NETWORKDAYS(TODAY(),O165)&amp;" working day(s) left"))))))</f>
        <v/>
      </c>
      <c r="R165" s="17"/>
      <c r="S165" s="17"/>
      <c r="T165" s="50"/>
      <c r="U165" s="40"/>
      <c r="V165" s="40"/>
      <c r="W165" s="45" t="str">
        <f aca="false">IF(V165="","",EDATE(V165,Settings!$S$6))</f>
        <v/>
      </c>
      <c r="X165" s="17"/>
      <c r="Y165" s="17"/>
      <c r="Z165" s="17"/>
    </row>
    <row r="166" customFormat="false" ht="15" hidden="false" customHeight="false" outlineLevel="0" collapsed="false">
      <c r="A166" s="17"/>
      <c r="B166" s="17"/>
      <c r="C166" s="17"/>
      <c r="D166" s="17"/>
      <c r="E166" s="42"/>
      <c r="F166" s="17"/>
      <c r="G166" s="17"/>
      <c r="H166" s="17"/>
      <c r="I166" s="49" t="str">
        <f aca="false">IF(H166="","",IFERROR(INDEX(Settings!$G$2:$G$4,MATCH(H166,Settings!$F$2:$F$4,0)),""))</f>
        <v/>
      </c>
      <c r="J166" s="40"/>
      <c r="K166" s="50"/>
      <c r="L166" s="17"/>
      <c r="M166" s="40"/>
      <c r="N166" s="40"/>
      <c r="O166" s="45" t="str">
        <f aca="false">IF(N166="","",WORKDAY(N166,Settings!$S$4))</f>
        <v/>
      </c>
      <c r="P166" s="17"/>
      <c r="Q166" s="44" t="str">
        <f aca="true">IF(C166="","",IF(P166="Backed out",IF(S166="Paid","Refunded – closed",IF(R166="","Refund – log reason first","Refund in progress")),IF(K166="","Awaiting payment",IF(N166="",IF(M166="","Schedule free video","Free video in production"),IF(P166="Approved","Active",IF(TODAY()&gt;O166,"Active – plan went ahead","Decision pending – "&amp;NETWORKDAYS(TODAY(),O166)&amp;" working day(s) left"))))))</f>
        <v/>
      </c>
      <c r="R166" s="17"/>
      <c r="S166" s="17"/>
      <c r="T166" s="50"/>
      <c r="U166" s="40"/>
      <c r="V166" s="40"/>
      <c r="W166" s="45" t="str">
        <f aca="false">IF(V166="","",EDATE(V166,Settings!$S$6))</f>
        <v/>
      </c>
      <c r="X166" s="17"/>
      <c r="Y166" s="17"/>
      <c r="Z166" s="17"/>
    </row>
    <row r="167" customFormat="false" ht="15" hidden="false" customHeight="false" outlineLevel="0" collapsed="false">
      <c r="A167" s="17"/>
      <c r="B167" s="17"/>
      <c r="C167" s="17"/>
      <c r="D167" s="17"/>
      <c r="E167" s="42"/>
      <c r="F167" s="17"/>
      <c r="G167" s="17"/>
      <c r="H167" s="17"/>
      <c r="I167" s="49" t="str">
        <f aca="false">IF(H167="","",IFERROR(INDEX(Settings!$G$2:$G$4,MATCH(H167,Settings!$F$2:$F$4,0)),""))</f>
        <v/>
      </c>
      <c r="J167" s="40"/>
      <c r="K167" s="50"/>
      <c r="L167" s="17"/>
      <c r="M167" s="40"/>
      <c r="N167" s="40"/>
      <c r="O167" s="45" t="str">
        <f aca="false">IF(N167="","",WORKDAY(N167,Settings!$S$4))</f>
        <v/>
      </c>
      <c r="P167" s="17"/>
      <c r="Q167" s="44" t="str">
        <f aca="true">IF(C167="","",IF(P167="Backed out",IF(S167="Paid","Refunded – closed",IF(R167="","Refund – log reason first","Refund in progress")),IF(K167="","Awaiting payment",IF(N167="",IF(M167="","Schedule free video","Free video in production"),IF(P167="Approved","Active",IF(TODAY()&gt;O167,"Active – plan went ahead","Decision pending – "&amp;NETWORKDAYS(TODAY(),O167)&amp;" working day(s) left"))))))</f>
        <v/>
      </c>
      <c r="R167" s="17"/>
      <c r="S167" s="17"/>
      <c r="T167" s="50"/>
      <c r="U167" s="40"/>
      <c r="V167" s="40"/>
      <c r="W167" s="45" t="str">
        <f aca="false">IF(V167="","",EDATE(V167,Settings!$S$6))</f>
        <v/>
      </c>
      <c r="X167" s="17"/>
      <c r="Y167" s="17"/>
      <c r="Z167" s="17"/>
    </row>
    <row r="168" customFormat="false" ht="15" hidden="false" customHeight="false" outlineLevel="0" collapsed="false">
      <c r="A168" s="17"/>
      <c r="B168" s="17"/>
      <c r="C168" s="17"/>
      <c r="D168" s="17"/>
      <c r="E168" s="42"/>
      <c r="F168" s="17"/>
      <c r="G168" s="17"/>
      <c r="H168" s="17"/>
      <c r="I168" s="49" t="str">
        <f aca="false">IF(H168="","",IFERROR(INDEX(Settings!$G$2:$G$4,MATCH(H168,Settings!$F$2:$F$4,0)),""))</f>
        <v/>
      </c>
      <c r="J168" s="40"/>
      <c r="K168" s="50"/>
      <c r="L168" s="17"/>
      <c r="M168" s="40"/>
      <c r="N168" s="40"/>
      <c r="O168" s="45" t="str">
        <f aca="false">IF(N168="","",WORKDAY(N168,Settings!$S$4))</f>
        <v/>
      </c>
      <c r="P168" s="17"/>
      <c r="Q168" s="44" t="str">
        <f aca="true">IF(C168="","",IF(P168="Backed out",IF(S168="Paid","Refunded – closed",IF(R168="","Refund – log reason first","Refund in progress")),IF(K168="","Awaiting payment",IF(N168="",IF(M168="","Schedule free video","Free video in production"),IF(P168="Approved","Active",IF(TODAY()&gt;O168,"Active – plan went ahead","Decision pending – "&amp;NETWORKDAYS(TODAY(),O168)&amp;" working day(s) left"))))))</f>
        <v/>
      </c>
      <c r="R168" s="17"/>
      <c r="S168" s="17"/>
      <c r="T168" s="50"/>
      <c r="U168" s="40"/>
      <c r="V168" s="40"/>
      <c r="W168" s="45" t="str">
        <f aca="false">IF(V168="","",EDATE(V168,Settings!$S$6))</f>
        <v/>
      </c>
      <c r="X168" s="17"/>
      <c r="Y168" s="17"/>
      <c r="Z168" s="17"/>
    </row>
    <row r="169" customFormat="false" ht="15" hidden="false" customHeight="false" outlineLevel="0" collapsed="false">
      <c r="A169" s="17"/>
      <c r="B169" s="17"/>
      <c r="C169" s="17"/>
      <c r="D169" s="17"/>
      <c r="E169" s="42"/>
      <c r="F169" s="17"/>
      <c r="G169" s="17"/>
      <c r="H169" s="17"/>
      <c r="I169" s="49" t="str">
        <f aca="false">IF(H169="","",IFERROR(INDEX(Settings!$G$2:$G$4,MATCH(H169,Settings!$F$2:$F$4,0)),""))</f>
        <v/>
      </c>
      <c r="J169" s="40"/>
      <c r="K169" s="50"/>
      <c r="L169" s="17"/>
      <c r="M169" s="40"/>
      <c r="N169" s="40"/>
      <c r="O169" s="45" t="str">
        <f aca="false">IF(N169="","",WORKDAY(N169,Settings!$S$4))</f>
        <v/>
      </c>
      <c r="P169" s="17"/>
      <c r="Q169" s="44" t="str">
        <f aca="true">IF(C169="","",IF(P169="Backed out",IF(S169="Paid","Refunded – closed",IF(R169="","Refund – log reason first","Refund in progress")),IF(K169="","Awaiting payment",IF(N169="",IF(M169="","Schedule free video","Free video in production"),IF(P169="Approved","Active",IF(TODAY()&gt;O169,"Active – plan went ahead","Decision pending – "&amp;NETWORKDAYS(TODAY(),O169)&amp;" working day(s) left"))))))</f>
        <v/>
      </c>
      <c r="R169" s="17"/>
      <c r="S169" s="17"/>
      <c r="T169" s="50"/>
      <c r="U169" s="40"/>
      <c r="V169" s="40"/>
      <c r="W169" s="45" t="str">
        <f aca="false">IF(V169="","",EDATE(V169,Settings!$S$6))</f>
        <v/>
      </c>
      <c r="X169" s="17"/>
      <c r="Y169" s="17"/>
      <c r="Z169" s="17"/>
    </row>
    <row r="170" customFormat="false" ht="15" hidden="false" customHeight="false" outlineLevel="0" collapsed="false">
      <c r="A170" s="17"/>
      <c r="B170" s="17"/>
      <c r="C170" s="17"/>
      <c r="D170" s="17"/>
      <c r="E170" s="42"/>
      <c r="F170" s="17"/>
      <c r="G170" s="17"/>
      <c r="H170" s="17"/>
      <c r="I170" s="49" t="str">
        <f aca="false">IF(H170="","",IFERROR(INDEX(Settings!$G$2:$G$4,MATCH(H170,Settings!$F$2:$F$4,0)),""))</f>
        <v/>
      </c>
      <c r="J170" s="40"/>
      <c r="K170" s="50"/>
      <c r="L170" s="17"/>
      <c r="M170" s="40"/>
      <c r="N170" s="40"/>
      <c r="O170" s="45" t="str">
        <f aca="false">IF(N170="","",WORKDAY(N170,Settings!$S$4))</f>
        <v/>
      </c>
      <c r="P170" s="17"/>
      <c r="Q170" s="44" t="str">
        <f aca="true">IF(C170="","",IF(P170="Backed out",IF(S170="Paid","Refunded – closed",IF(R170="","Refund – log reason first","Refund in progress")),IF(K170="","Awaiting payment",IF(N170="",IF(M170="","Schedule free video","Free video in production"),IF(P170="Approved","Active",IF(TODAY()&gt;O170,"Active – plan went ahead","Decision pending – "&amp;NETWORKDAYS(TODAY(),O170)&amp;" working day(s) left"))))))</f>
        <v/>
      </c>
      <c r="R170" s="17"/>
      <c r="S170" s="17"/>
      <c r="T170" s="50"/>
      <c r="U170" s="40"/>
      <c r="V170" s="40"/>
      <c r="W170" s="45" t="str">
        <f aca="false">IF(V170="","",EDATE(V170,Settings!$S$6))</f>
        <v/>
      </c>
      <c r="X170" s="17"/>
      <c r="Y170" s="17"/>
      <c r="Z170" s="17"/>
    </row>
    <row r="171" customFormat="false" ht="15" hidden="false" customHeight="false" outlineLevel="0" collapsed="false">
      <c r="A171" s="17"/>
      <c r="B171" s="17"/>
      <c r="C171" s="17"/>
      <c r="D171" s="17"/>
      <c r="E171" s="42"/>
      <c r="F171" s="17"/>
      <c r="G171" s="17"/>
      <c r="H171" s="17"/>
      <c r="I171" s="49" t="str">
        <f aca="false">IF(H171="","",IFERROR(INDEX(Settings!$G$2:$G$4,MATCH(H171,Settings!$F$2:$F$4,0)),""))</f>
        <v/>
      </c>
      <c r="J171" s="40"/>
      <c r="K171" s="50"/>
      <c r="L171" s="17"/>
      <c r="M171" s="40"/>
      <c r="N171" s="40"/>
      <c r="O171" s="45" t="str">
        <f aca="false">IF(N171="","",WORKDAY(N171,Settings!$S$4))</f>
        <v/>
      </c>
      <c r="P171" s="17"/>
      <c r="Q171" s="44" t="str">
        <f aca="true">IF(C171="","",IF(P171="Backed out",IF(S171="Paid","Refunded – closed",IF(R171="","Refund – log reason first","Refund in progress")),IF(K171="","Awaiting payment",IF(N171="",IF(M171="","Schedule free video","Free video in production"),IF(P171="Approved","Active",IF(TODAY()&gt;O171,"Active – plan went ahead","Decision pending – "&amp;NETWORKDAYS(TODAY(),O171)&amp;" working day(s) left"))))))</f>
        <v/>
      </c>
      <c r="R171" s="17"/>
      <c r="S171" s="17"/>
      <c r="T171" s="50"/>
      <c r="U171" s="40"/>
      <c r="V171" s="40"/>
      <c r="W171" s="45" t="str">
        <f aca="false">IF(V171="","",EDATE(V171,Settings!$S$6))</f>
        <v/>
      </c>
      <c r="X171" s="17"/>
      <c r="Y171" s="17"/>
      <c r="Z171" s="17"/>
    </row>
    <row r="172" customFormat="false" ht="15" hidden="false" customHeight="false" outlineLevel="0" collapsed="false">
      <c r="A172" s="17"/>
      <c r="B172" s="17"/>
      <c r="C172" s="17"/>
      <c r="D172" s="17"/>
      <c r="E172" s="42"/>
      <c r="F172" s="17"/>
      <c r="G172" s="17"/>
      <c r="H172" s="17"/>
      <c r="I172" s="49" t="str">
        <f aca="false">IF(H172="","",IFERROR(INDEX(Settings!$G$2:$G$4,MATCH(H172,Settings!$F$2:$F$4,0)),""))</f>
        <v/>
      </c>
      <c r="J172" s="40"/>
      <c r="K172" s="50"/>
      <c r="L172" s="17"/>
      <c r="M172" s="40"/>
      <c r="N172" s="40"/>
      <c r="O172" s="45" t="str">
        <f aca="false">IF(N172="","",WORKDAY(N172,Settings!$S$4))</f>
        <v/>
      </c>
      <c r="P172" s="17"/>
      <c r="Q172" s="44" t="str">
        <f aca="true">IF(C172="","",IF(P172="Backed out",IF(S172="Paid","Refunded – closed",IF(R172="","Refund – log reason first","Refund in progress")),IF(K172="","Awaiting payment",IF(N172="",IF(M172="","Schedule free video","Free video in production"),IF(P172="Approved","Active",IF(TODAY()&gt;O172,"Active – plan went ahead","Decision pending – "&amp;NETWORKDAYS(TODAY(),O172)&amp;" working day(s) left"))))))</f>
        <v/>
      </c>
      <c r="R172" s="17"/>
      <c r="S172" s="17"/>
      <c r="T172" s="50"/>
      <c r="U172" s="40"/>
      <c r="V172" s="40"/>
      <c r="W172" s="45" t="str">
        <f aca="false">IF(V172="","",EDATE(V172,Settings!$S$6))</f>
        <v/>
      </c>
      <c r="X172" s="17"/>
      <c r="Y172" s="17"/>
      <c r="Z172" s="17"/>
    </row>
    <row r="173" customFormat="false" ht="15" hidden="false" customHeight="false" outlineLevel="0" collapsed="false">
      <c r="A173" s="17"/>
      <c r="B173" s="17"/>
      <c r="C173" s="17"/>
      <c r="D173" s="17"/>
      <c r="E173" s="42"/>
      <c r="F173" s="17"/>
      <c r="G173" s="17"/>
      <c r="H173" s="17"/>
      <c r="I173" s="49" t="str">
        <f aca="false">IF(H173="","",IFERROR(INDEX(Settings!$G$2:$G$4,MATCH(H173,Settings!$F$2:$F$4,0)),""))</f>
        <v/>
      </c>
      <c r="J173" s="40"/>
      <c r="K173" s="50"/>
      <c r="L173" s="17"/>
      <c r="M173" s="40"/>
      <c r="N173" s="40"/>
      <c r="O173" s="45" t="str">
        <f aca="false">IF(N173="","",WORKDAY(N173,Settings!$S$4))</f>
        <v/>
      </c>
      <c r="P173" s="17"/>
      <c r="Q173" s="44" t="str">
        <f aca="true">IF(C173="","",IF(P173="Backed out",IF(S173="Paid","Refunded – closed",IF(R173="","Refund – log reason first","Refund in progress")),IF(K173="","Awaiting payment",IF(N173="",IF(M173="","Schedule free video","Free video in production"),IF(P173="Approved","Active",IF(TODAY()&gt;O173,"Active – plan went ahead","Decision pending – "&amp;NETWORKDAYS(TODAY(),O173)&amp;" working day(s) left"))))))</f>
        <v/>
      </c>
      <c r="R173" s="17"/>
      <c r="S173" s="17"/>
      <c r="T173" s="50"/>
      <c r="U173" s="40"/>
      <c r="V173" s="40"/>
      <c r="W173" s="45" t="str">
        <f aca="false">IF(V173="","",EDATE(V173,Settings!$S$6))</f>
        <v/>
      </c>
      <c r="X173" s="17"/>
      <c r="Y173" s="17"/>
      <c r="Z173" s="17"/>
    </row>
    <row r="174" customFormat="false" ht="15" hidden="false" customHeight="false" outlineLevel="0" collapsed="false">
      <c r="A174" s="17"/>
      <c r="B174" s="17"/>
      <c r="C174" s="17"/>
      <c r="D174" s="17"/>
      <c r="E174" s="42"/>
      <c r="F174" s="17"/>
      <c r="G174" s="17"/>
      <c r="H174" s="17"/>
      <c r="I174" s="49" t="str">
        <f aca="false">IF(H174="","",IFERROR(INDEX(Settings!$G$2:$G$4,MATCH(H174,Settings!$F$2:$F$4,0)),""))</f>
        <v/>
      </c>
      <c r="J174" s="40"/>
      <c r="K174" s="50"/>
      <c r="L174" s="17"/>
      <c r="M174" s="40"/>
      <c r="N174" s="40"/>
      <c r="O174" s="45" t="str">
        <f aca="false">IF(N174="","",WORKDAY(N174,Settings!$S$4))</f>
        <v/>
      </c>
      <c r="P174" s="17"/>
      <c r="Q174" s="44" t="str">
        <f aca="true">IF(C174="","",IF(P174="Backed out",IF(S174="Paid","Refunded – closed",IF(R174="","Refund – log reason first","Refund in progress")),IF(K174="","Awaiting payment",IF(N174="",IF(M174="","Schedule free video","Free video in production"),IF(P174="Approved","Active",IF(TODAY()&gt;O174,"Active – plan went ahead","Decision pending – "&amp;NETWORKDAYS(TODAY(),O174)&amp;" working day(s) left"))))))</f>
        <v/>
      </c>
      <c r="R174" s="17"/>
      <c r="S174" s="17"/>
      <c r="T174" s="50"/>
      <c r="U174" s="40"/>
      <c r="V174" s="40"/>
      <c r="W174" s="45" t="str">
        <f aca="false">IF(V174="","",EDATE(V174,Settings!$S$6))</f>
        <v/>
      </c>
      <c r="X174" s="17"/>
      <c r="Y174" s="17"/>
      <c r="Z174" s="17"/>
    </row>
    <row r="175" customFormat="false" ht="15" hidden="false" customHeight="false" outlineLevel="0" collapsed="false">
      <c r="A175" s="17"/>
      <c r="B175" s="17"/>
      <c r="C175" s="17"/>
      <c r="D175" s="17"/>
      <c r="E175" s="42"/>
      <c r="F175" s="17"/>
      <c r="G175" s="17"/>
      <c r="H175" s="17"/>
      <c r="I175" s="49" t="str">
        <f aca="false">IF(H175="","",IFERROR(INDEX(Settings!$G$2:$G$4,MATCH(H175,Settings!$F$2:$F$4,0)),""))</f>
        <v/>
      </c>
      <c r="J175" s="40"/>
      <c r="K175" s="50"/>
      <c r="L175" s="17"/>
      <c r="M175" s="40"/>
      <c r="N175" s="40"/>
      <c r="O175" s="45" t="str">
        <f aca="false">IF(N175="","",WORKDAY(N175,Settings!$S$4))</f>
        <v/>
      </c>
      <c r="P175" s="17"/>
      <c r="Q175" s="44" t="str">
        <f aca="true">IF(C175="","",IF(P175="Backed out",IF(S175="Paid","Refunded – closed",IF(R175="","Refund – log reason first","Refund in progress")),IF(K175="","Awaiting payment",IF(N175="",IF(M175="","Schedule free video","Free video in production"),IF(P175="Approved","Active",IF(TODAY()&gt;O175,"Active – plan went ahead","Decision pending – "&amp;NETWORKDAYS(TODAY(),O175)&amp;" working day(s) left"))))))</f>
        <v/>
      </c>
      <c r="R175" s="17"/>
      <c r="S175" s="17"/>
      <c r="T175" s="50"/>
      <c r="U175" s="40"/>
      <c r="V175" s="40"/>
      <c r="W175" s="45" t="str">
        <f aca="false">IF(V175="","",EDATE(V175,Settings!$S$6))</f>
        <v/>
      </c>
      <c r="X175" s="17"/>
      <c r="Y175" s="17"/>
      <c r="Z175" s="17"/>
    </row>
    <row r="176" customFormat="false" ht="15" hidden="false" customHeight="false" outlineLevel="0" collapsed="false">
      <c r="A176" s="17"/>
      <c r="B176" s="17"/>
      <c r="C176" s="17"/>
      <c r="D176" s="17"/>
      <c r="E176" s="42"/>
      <c r="F176" s="17"/>
      <c r="G176" s="17"/>
      <c r="H176" s="17"/>
      <c r="I176" s="49" t="str">
        <f aca="false">IF(H176="","",IFERROR(INDEX(Settings!$G$2:$G$4,MATCH(H176,Settings!$F$2:$F$4,0)),""))</f>
        <v/>
      </c>
      <c r="J176" s="40"/>
      <c r="K176" s="50"/>
      <c r="L176" s="17"/>
      <c r="M176" s="40"/>
      <c r="N176" s="40"/>
      <c r="O176" s="45" t="str">
        <f aca="false">IF(N176="","",WORKDAY(N176,Settings!$S$4))</f>
        <v/>
      </c>
      <c r="P176" s="17"/>
      <c r="Q176" s="44" t="str">
        <f aca="true">IF(C176="","",IF(P176="Backed out",IF(S176="Paid","Refunded – closed",IF(R176="","Refund – log reason first","Refund in progress")),IF(K176="","Awaiting payment",IF(N176="",IF(M176="","Schedule free video","Free video in production"),IF(P176="Approved","Active",IF(TODAY()&gt;O176,"Active – plan went ahead","Decision pending – "&amp;NETWORKDAYS(TODAY(),O176)&amp;" working day(s) left"))))))</f>
        <v/>
      </c>
      <c r="R176" s="17"/>
      <c r="S176" s="17"/>
      <c r="T176" s="50"/>
      <c r="U176" s="40"/>
      <c r="V176" s="40"/>
      <c r="W176" s="45" t="str">
        <f aca="false">IF(V176="","",EDATE(V176,Settings!$S$6))</f>
        <v/>
      </c>
      <c r="X176" s="17"/>
      <c r="Y176" s="17"/>
      <c r="Z176" s="17"/>
    </row>
    <row r="177" customFormat="false" ht="15" hidden="false" customHeight="false" outlineLevel="0" collapsed="false">
      <c r="A177" s="17"/>
      <c r="B177" s="17"/>
      <c r="C177" s="17"/>
      <c r="D177" s="17"/>
      <c r="E177" s="42"/>
      <c r="F177" s="17"/>
      <c r="G177" s="17"/>
      <c r="H177" s="17"/>
      <c r="I177" s="49" t="str">
        <f aca="false">IF(H177="","",IFERROR(INDEX(Settings!$G$2:$G$4,MATCH(H177,Settings!$F$2:$F$4,0)),""))</f>
        <v/>
      </c>
      <c r="J177" s="40"/>
      <c r="K177" s="50"/>
      <c r="L177" s="17"/>
      <c r="M177" s="40"/>
      <c r="N177" s="40"/>
      <c r="O177" s="45" t="str">
        <f aca="false">IF(N177="","",WORKDAY(N177,Settings!$S$4))</f>
        <v/>
      </c>
      <c r="P177" s="17"/>
      <c r="Q177" s="44" t="str">
        <f aca="true">IF(C177="","",IF(P177="Backed out",IF(S177="Paid","Refunded – closed",IF(R177="","Refund – log reason first","Refund in progress")),IF(K177="","Awaiting payment",IF(N177="",IF(M177="","Schedule free video","Free video in production"),IF(P177="Approved","Active",IF(TODAY()&gt;O177,"Active – plan went ahead","Decision pending – "&amp;NETWORKDAYS(TODAY(),O177)&amp;" working day(s) left"))))))</f>
        <v/>
      </c>
      <c r="R177" s="17"/>
      <c r="S177" s="17"/>
      <c r="T177" s="50"/>
      <c r="U177" s="40"/>
      <c r="V177" s="40"/>
      <c r="W177" s="45" t="str">
        <f aca="false">IF(V177="","",EDATE(V177,Settings!$S$6))</f>
        <v/>
      </c>
      <c r="X177" s="17"/>
      <c r="Y177" s="17"/>
      <c r="Z177" s="17"/>
    </row>
    <row r="178" customFormat="false" ht="15" hidden="false" customHeight="false" outlineLevel="0" collapsed="false">
      <c r="A178" s="17"/>
      <c r="B178" s="17"/>
      <c r="C178" s="17"/>
      <c r="D178" s="17"/>
      <c r="E178" s="42"/>
      <c r="F178" s="17"/>
      <c r="G178" s="17"/>
      <c r="H178" s="17"/>
      <c r="I178" s="49" t="str">
        <f aca="false">IF(H178="","",IFERROR(INDEX(Settings!$G$2:$G$4,MATCH(H178,Settings!$F$2:$F$4,0)),""))</f>
        <v/>
      </c>
      <c r="J178" s="40"/>
      <c r="K178" s="50"/>
      <c r="L178" s="17"/>
      <c r="M178" s="40"/>
      <c r="N178" s="40"/>
      <c r="O178" s="45" t="str">
        <f aca="false">IF(N178="","",WORKDAY(N178,Settings!$S$4))</f>
        <v/>
      </c>
      <c r="P178" s="17"/>
      <c r="Q178" s="44" t="str">
        <f aca="true">IF(C178="","",IF(P178="Backed out",IF(S178="Paid","Refunded – closed",IF(R178="","Refund – log reason first","Refund in progress")),IF(K178="","Awaiting payment",IF(N178="",IF(M178="","Schedule free video","Free video in production"),IF(P178="Approved","Active",IF(TODAY()&gt;O178,"Active – plan went ahead","Decision pending – "&amp;NETWORKDAYS(TODAY(),O178)&amp;" working day(s) left"))))))</f>
        <v/>
      </c>
      <c r="R178" s="17"/>
      <c r="S178" s="17"/>
      <c r="T178" s="50"/>
      <c r="U178" s="40"/>
      <c r="V178" s="40"/>
      <c r="W178" s="45" t="str">
        <f aca="false">IF(V178="","",EDATE(V178,Settings!$S$6))</f>
        <v/>
      </c>
      <c r="X178" s="17"/>
      <c r="Y178" s="17"/>
      <c r="Z178" s="17"/>
    </row>
    <row r="179" customFormat="false" ht="15" hidden="false" customHeight="false" outlineLevel="0" collapsed="false">
      <c r="A179" s="17"/>
      <c r="B179" s="17"/>
      <c r="C179" s="17"/>
      <c r="D179" s="17"/>
      <c r="E179" s="42"/>
      <c r="F179" s="17"/>
      <c r="G179" s="17"/>
      <c r="H179" s="17"/>
      <c r="I179" s="49" t="str">
        <f aca="false">IF(H179="","",IFERROR(INDEX(Settings!$G$2:$G$4,MATCH(H179,Settings!$F$2:$F$4,0)),""))</f>
        <v/>
      </c>
      <c r="J179" s="40"/>
      <c r="K179" s="50"/>
      <c r="L179" s="17"/>
      <c r="M179" s="40"/>
      <c r="N179" s="40"/>
      <c r="O179" s="45" t="str">
        <f aca="false">IF(N179="","",WORKDAY(N179,Settings!$S$4))</f>
        <v/>
      </c>
      <c r="P179" s="17"/>
      <c r="Q179" s="44" t="str">
        <f aca="true">IF(C179="","",IF(P179="Backed out",IF(S179="Paid","Refunded – closed",IF(R179="","Refund – log reason first","Refund in progress")),IF(K179="","Awaiting payment",IF(N179="",IF(M179="","Schedule free video","Free video in production"),IF(P179="Approved","Active",IF(TODAY()&gt;O179,"Active – plan went ahead","Decision pending – "&amp;NETWORKDAYS(TODAY(),O179)&amp;" working day(s) left"))))))</f>
        <v/>
      </c>
      <c r="R179" s="17"/>
      <c r="S179" s="17"/>
      <c r="T179" s="50"/>
      <c r="U179" s="40"/>
      <c r="V179" s="40"/>
      <c r="W179" s="45" t="str">
        <f aca="false">IF(V179="","",EDATE(V179,Settings!$S$6))</f>
        <v/>
      </c>
      <c r="X179" s="17"/>
      <c r="Y179" s="17"/>
      <c r="Z179" s="17"/>
    </row>
    <row r="180" customFormat="false" ht="15" hidden="false" customHeight="false" outlineLevel="0" collapsed="false">
      <c r="A180" s="17"/>
      <c r="B180" s="17"/>
      <c r="C180" s="17"/>
      <c r="D180" s="17"/>
      <c r="E180" s="42"/>
      <c r="F180" s="17"/>
      <c r="G180" s="17"/>
      <c r="H180" s="17"/>
      <c r="I180" s="49" t="str">
        <f aca="false">IF(H180="","",IFERROR(INDEX(Settings!$G$2:$G$4,MATCH(H180,Settings!$F$2:$F$4,0)),""))</f>
        <v/>
      </c>
      <c r="J180" s="40"/>
      <c r="K180" s="50"/>
      <c r="L180" s="17"/>
      <c r="M180" s="40"/>
      <c r="N180" s="40"/>
      <c r="O180" s="45" t="str">
        <f aca="false">IF(N180="","",WORKDAY(N180,Settings!$S$4))</f>
        <v/>
      </c>
      <c r="P180" s="17"/>
      <c r="Q180" s="44" t="str">
        <f aca="true">IF(C180="","",IF(P180="Backed out",IF(S180="Paid","Refunded – closed",IF(R180="","Refund – log reason first","Refund in progress")),IF(K180="","Awaiting payment",IF(N180="",IF(M180="","Schedule free video","Free video in production"),IF(P180="Approved","Active",IF(TODAY()&gt;O180,"Active – plan went ahead","Decision pending – "&amp;NETWORKDAYS(TODAY(),O180)&amp;" working day(s) left"))))))</f>
        <v/>
      </c>
      <c r="R180" s="17"/>
      <c r="S180" s="17"/>
      <c r="T180" s="50"/>
      <c r="U180" s="40"/>
      <c r="V180" s="40"/>
      <c r="W180" s="45" t="str">
        <f aca="false">IF(V180="","",EDATE(V180,Settings!$S$6))</f>
        <v/>
      </c>
      <c r="X180" s="17"/>
      <c r="Y180" s="17"/>
      <c r="Z180" s="17"/>
    </row>
    <row r="181" customFormat="false" ht="15" hidden="false" customHeight="false" outlineLevel="0" collapsed="false">
      <c r="A181" s="17"/>
      <c r="B181" s="17"/>
      <c r="C181" s="17"/>
      <c r="D181" s="17"/>
      <c r="E181" s="42"/>
      <c r="F181" s="17"/>
      <c r="G181" s="17"/>
      <c r="H181" s="17"/>
      <c r="I181" s="49" t="str">
        <f aca="false">IF(H181="","",IFERROR(INDEX(Settings!$G$2:$G$4,MATCH(H181,Settings!$F$2:$F$4,0)),""))</f>
        <v/>
      </c>
      <c r="J181" s="40"/>
      <c r="K181" s="50"/>
      <c r="L181" s="17"/>
      <c r="M181" s="40"/>
      <c r="N181" s="40"/>
      <c r="O181" s="45" t="str">
        <f aca="false">IF(N181="","",WORKDAY(N181,Settings!$S$4))</f>
        <v/>
      </c>
      <c r="P181" s="17"/>
      <c r="Q181" s="44" t="str">
        <f aca="true">IF(C181="","",IF(P181="Backed out",IF(S181="Paid","Refunded – closed",IF(R181="","Refund – log reason first","Refund in progress")),IF(K181="","Awaiting payment",IF(N181="",IF(M181="","Schedule free video","Free video in production"),IF(P181="Approved","Active",IF(TODAY()&gt;O181,"Active – plan went ahead","Decision pending – "&amp;NETWORKDAYS(TODAY(),O181)&amp;" working day(s) left"))))))</f>
        <v/>
      </c>
      <c r="R181" s="17"/>
      <c r="S181" s="17"/>
      <c r="T181" s="50"/>
      <c r="U181" s="40"/>
      <c r="V181" s="40"/>
      <c r="W181" s="45" t="str">
        <f aca="false">IF(V181="","",EDATE(V181,Settings!$S$6))</f>
        <v/>
      </c>
      <c r="X181" s="17"/>
      <c r="Y181" s="17"/>
      <c r="Z181" s="17"/>
    </row>
    <row r="182" customFormat="false" ht="15" hidden="false" customHeight="false" outlineLevel="0" collapsed="false">
      <c r="A182" s="17"/>
      <c r="B182" s="17"/>
      <c r="C182" s="17"/>
      <c r="D182" s="17"/>
      <c r="E182" s="42"/>
      <c r="F182" s="17"/>
      <c r="G182" s="17"/>
      <c r="H182" s="17"/>
      <c r="I182" s="49" t="str">
        <f aca="false">IF(H182="","",IFERROR(INDEX(Settings!$G$2:$G$4,MATCH(H182,Settings!$F$2:$F$4,0)),""))</f>
        <v/>
      </c>
      <c r="J182" s="40"/>
      <c r="K182" s="50"/>
      <c r="L182" s="17"/>
      <c r="M182" s="40"/>
      <c r="N182" s="40"/>
      <c r="O182" s="45" t="str">
        <f aca="false">IF(N182="","",WORKDAY(N182,Settings!$S$4))</f>
        <v/>
      </c>
      <c r="P182" s="17"/>
      <c r="Q182" s="44" t="str">
        <f aca="true">IF(C182="","",IF(P182="Backed out",IF(S182="Paid","Refunded – closed",IF(R182="","Refund – log reason first","Refund in progress")),IF(K182="","Awaiting payment",IF(N182="",IF(M182="","Schedule free video","Free video in production"),IF(P182="Approved","Active",IF(TODAY()&gt;O182,"Active – plan went ahead","Decision pending – "&amp;NETWORKDAYS(TODAY(),O182)&amp;" working day(s) left"))))))</f>
        <v/>
      </c>
      <c r="R182" s="17"/>
      <c r="S182" s="17"/>
      <c r="T182" s="50"/>
      <c r="U182" s="40"/>
      <c r="V182" s="40"/>
      <c r="W182" s="45" t="str">
        <f aca="false">IF(V182="","",EDATE(V182,Settings!$S$6))</f>
        <v/>
      </c>
      <c r="X182" s="17"/>
      <c r="Y182" s="17"/>
      <c r="Z182" s="17"/>
    </row>
    <row r="183" customFormat="false" ht="15" hidden="false" customHeight="false" outlineLevel="0" collapsed="false">
      <c r="A183" s="17"/>
      <c r="B183" s="17"/>
      <c r="C183" s="17"/>
      <c r="D183" s="17"/>
      <c r="E183" s="42"/>
      <c r="F183" s="17"/>
      <c r="G183" s="17"/>
      <c r="H183" s="17"/>
      <c r="I183" s="49" t="str">
        <f aca="false">IF(H183="","",IFERROR(INDEX(Settings!$G$2:$G$4,MATCH(H183,Settings!$F$2:$F$4,0)),""))</f>
        <v/>
      </c>
      <c r="J183" s="40"/>
      <c r="K183" s="50"/>
      <c r="L183" s="17"/>
      <c r="M183" s="40"/>
      <c r="N183" s="40"/>
      <c r="O183" s="45" t="str">
        <f aca="false">IF(N183="","",WORKDAY(N183,Settings!$S$4))</f>
        <v/>
      </c>
      <c r="P183" s="17"/>
      <c r="Q183" s="44" t="str">
        <f aca="true">IF(C183="","",IF(P183="Backed out",IF(S183="Paid","Refunded – closed",IF(R183="","Refund – log reason first","Refund in progress")),IF(K183="","Awaiting payment",IF(N183="",IF(M183="","Schedule free video","Free video in production"),IF(P183="Approved","Active",IF(TODAY()&gt;O183,"Active – plan went ahead","Decision pending – "&amp;NETWORKDAYS(TODAY(),O183)&amp;" working day(s) left"))))))</f>
        <v/>
      </c>
      <c r="R183" s="17"/>
      <c r="S183" s="17"/>
      <c r="T183" s="50"/>
      <c r="U183" s="40"/>
      <c r="V183" s="40"/>
      <c r="W183" s="45" t="str">
        <f aca="false">IF(V183="","",EDATE(V183,Settings!$S$6))</f>
        <v/>
      </c>
      <c r="X183" s="17"/>
      <c r="Y183" s="17"/>
      <c r="Z183" s="17"/>
    </row>
    <row r="184" customFormat="false" ht="15" hidden="false" customHeight="false" outlineLevel="0" collapsed="false">
      <c r="A184" s="17"/>
      <c r="B184" s="17"/>
      <c r="C184" s="17"/>
      <c r="D184" s="17"/>
      <c r="E184" s="42"/>
      <c r="F184" s="17"/>
      <c r="G184" s="17"/>
      <c r="H184" s="17"/>
      <c r="I184" s="49" t="str">
        <f aca="false">IF(H184="","",IFERROR(INDEX(Settings!$G$2:$G$4,MATCH(H184,Settings!$F$2:$F$4,0)),""))</f>
        <v/>
      </c>
      <c r="J184" s="40"/>
      <c r="K184" s="50"/>
      <c r="L184" s="17"/>
      <c r="M184" s="40"/>
      <c r="N184" s="40"/>
      <c r="O184" s="45" t="str">
        <f aca="false">IF(N184="","",WORKDAY(N184,Settings!$S$4))</f>
        <v/>
      </c>
      <c r="P184" s="17"/>
      <c r="Q184" s="44" t="str">
        <f aca="true">IF(C184="","",IF(P184="Backed out",IF(S184="Paid","Refunded – closed",IF(R184="","Refund – log reason first","Refund in progress")),IF(K184="","Awaiting payment",IF(N184="",IF(M184="","Schedule free video","Free video in production"),IF(P184="Approved","Active",IF(TODAY()&gt;O184,"Active – plan went ahead","Decision pending – "&amp;NETWORKDAYS(TODAY(),O184)&amp;" working day(s) left"))))))</f>
        <v/>
      </c>
      <c r="R184" s="17"/>
      <c r="S184" s="17"/>
      <c r="T184" s="50"/>
      <c r="U184" s="40"/>
      <c r="V184" s="40"/>
      <c r="W184" s="45" t="str">
        <f aca="false">IF(V184="","",EDATE(V184,Settings!$S$6))</f>
        <v/>
      </c>
      <c r="X184" s="17"/>
      <c r="Y184" s="17"/>
      <c r="Z184" s="17"/>
    </row>
    <row r="185" customFormat="false" ht="15" hidden="false" customHeight="false" outlineLevel="0" collapsed="false">
      <c r="A185" s="17"/>
      <c r="B185" s="17"/>
      <c r="C185" s="17"/>
      <c r="D185" s="17"/>
      <c r="E185" s="42"/>
      <c r="F185" s="17"/>
      <c r="G185" s="17"/>
      <c r="H185" s="17"/>
      <c r="I185" s="49" t="str">
        <f aca="false">IF(H185="","",IFERROR(INDEX(Settings!$G$2:$G$4,MATCH(H185,Settings!$F$2:$F$4,0)),""))</f>
        <v/>
      </c>
      <c r="J185" s="40"/>
      <c r="K185" s="50"/>
      <c r="L185" s="17"/>
      <c r="M185" s="40"/>
      <c r="N185" s="40"/>
      <c r="O185" s="45" t="str">
        <f aca="false">IF(N185="","",WORKDAY(N185,Settings!$S$4))</f>
        <v/>
      </c>
      <c r="P185" s="17"/>
      <c r="Q185" s="44" t="str">
        <f aca="true">IF(C185="","",IF(P185="Backed out",IF(S185="Paid","Refunded – closed",IF(R185="","Refund – log reason first","Refund in progress")),IF(K185="","Awaiting payment",IF(N185="",IF(M185="","Schedule free video","Free video in production"),IF(P185="Approved","Active",IF(TODAY()&gt;O185,"Active – plan went ahead","Decision pending – "&amp;NETWORKDAYS(TODAY(),O185)&amp;" working day(s) left"))))))</f>
        <v/>
      </c>
      <c r="R185" s="17"/>
      <c r="S185" s="17"/>
      <c r="T185" s="50"/>
      <c r="U185" s="40"/>
      <c r="V185" s="40"/>
      <c r="W185" s="45" t="str">
        <f aca="false">IF(V185="","",EDATE(V185,Settings!$S$6))</f>
        <v/>
      </c>
      <c r="X185" s="17"/>
      <c r="Y185" s="17"/>
      <c r="Z185" s="17"/>
    </row>
    <row r="186" customFormat="false" ht="15" hidden="false" customHeight="false" outlineLevel="0" collapsed="false">
      <c r="A186" s="17"/>
      <c r="B186" s="17"/>
      <c r="C186" s="17"/>
      <c r="D186" s="17"/>
      <c r="E186" s="42"/>
      <c r="F186" s="17"/>
      <c r="G186" s="17"/>
      <c r="H186" s="17"/>
      <c r="I186" s="49" t="str">
        <f aca="false">IF(H186="","",IFERROR(INDEX(Settings!$G$2:$G$4,MATCH(H186,Settings!$F$2:$F$4,0)),""))</f>
        <v/>
      </c>
      <c r="J186" s="40"/>
      <c r="K186" s="50"/>
      <c r="L186" s="17"/>
      <c r="M186" s="40"/>
      <c r="N186" s="40"/>
      <c r="O186" s="45" t="str">
        <f aca="false">IF(N186="","",WORKDAY(N186,Settings!$S$4))</f>
        <v/>
      </c>
      <c r="P186" s="17"/>
      <c r="Q186" s="44" t="str">
        <f aca="true">IF(C186="","",IF(P186="Backed out",IF(S186="Paid","Refunded – closed",IF(R186="","Refund – log reason first","Refund in progress")),IF(K186="","Awaiting payment",IF(N186="",IF(M186="","Schedule free video","Free video in production"),IF(P186="Approved","Active",IF(TODAY()&gt;O186,"Active – plan went ahead","Decision pending – "&amp;NETWORKDAYS(TODAY(),O186)&amp;" working day(s) left"))))))</f>
        <v/>
      </c>
      <c r="R186" s="17"/>
      <c r="S186" s="17"/>
      <c r="T186" s="50"/>
      <c r="U186" s="40"/>
      <c r="V186" s="40"/>
      <c r="W186" s="45" t="str">
        <f aca="false">IF(V186="","",EDATE(V186,Settings!$S$6))</f>
        <v/>
      </c>
      <c r="X186" s="17"/>
      <c r="Y186" s="17"/>
      <c r="Z186" s="17"/>
    </row>
    <row r="187" customFormat="false" ht="15" hidden="false" customHeight="false" outlineLevel="0" collapsed="false">
      <c r="A187" s="17"/>
      <c r="B187" s="17"/>
      <c r="C187" s="17"/>
      <c r="D187" s="17"/>
      <c r="E187" s="42"/>
      <c r="F187" s="17"/>
      <c r="G187" s="17"/>
      <c r="H187" s="17"/>
      <c r="I187" s="49" t="str">
        <f aca="false">IF(H187="","",IFERROR(INDEX(Settings!$G$2:$G$4,MATCH(H187,Settings!$F$2:$F$4,0)),""))</f>
        <v/>
      </c>
      <c r="J187" s="40"/>
      <c r="K187" s="50"/>
      <c r="L187" s="17"/>
      <c r="M187" s="40"/>
      <c r="N187" s="40"/>
      <c r="O187" s="45" t="str">
        <f aca="false">IF(N187="","",WORKDAY(N187,Settings!$S$4))</f>
        <v/>
      </c>
      <c r="P187" s="17"/>
      <c r="Q187" s="44" t="str">
        <f aca="true">IF(C187="","",IF(P187="Backed out",IF(S187="Paid","Refunded – closed",IF(R187="","Refund – log reason first","Refund in progress")),IF(K187="","Awaiting payment",IF(N187="",IF(M187="","Schedule free video","Free video in production"),IF(P187="Approved","Active",IF(TODAY()&gt;O187,"Active – plan went ahead","Decision pending – "&amp;NETWORKDAYS(TODAY(),O187)&amp;" working day(s) left"))))))</f>
        <v/>
      </c>
      <c r="R187" s="17"/>
      <c r="S187" s="17"/>
      <c r="T187" s="50"/>
      <c r="U187" s="40"/>
      <c r="V187" s="40"/>
      <c r="W187" s="45" t="str">
        <f aca="false">IF(V187="","",EDATE(V187,Settings!$S$6))</f>
        <v/>
      </c>
      <c r="X187" s="17"/>
      <c r="Y187" s="17"/>
      <c r="Z187" s="17"/>
    </row>
    <row r="188" customFormat="false" ht="15" hidden="false" customHeight="false" outlineLevel="0" collapsed="false">
      <c r="A188" s="17"/>
      <c r="B188" s="17"/>
      <c r="C188" s="17"/>
      <c r="D188" s="17"/>
      <c r="E188" s="42"/>
      <c r="F188" s="17"/>
      <c r="G188" s="17"/>
      <c r="H188" s="17"/>
      <c r="I188" s="49" t="str">
        <f aca="false">IF(H188="","",IFERROR(INDEX(Settings!$G$2:$G$4,MATCH(H188,Settings!$F$2:$F$4,0)),""))</f>
        <v/>
      </c>
      <c r="J188" s="40"/>
      <c r="K188" s="50"/>
      <c r="L188" s="17"/>
      <c r="M188" s="40"/>
      <c r="N188" s="40"/>
      <c r="O188" s="45" t="str">
        <f aca="false">IF(N188="","",WORKDAY(N188,Settings!$S$4))</f>
        <v/>
      </c>
      <c r="P188" s="17"/>
      <c r="Q188" s="44" t="str">
        <f aca="true">IF(C188="","",IF(P188="Backed out",IF(S188="Paid","Refunded – closed",IF(R188="","Refund – log reason first","Refund in progress")),IF(K188="","Awaiting payment",IF(N188="",IF(M188="","Schedule free video","Free video in production"),IF(P188="Approved","Active",IF(TODAY()&gt;O188,"Active – plan went ahead","Decision pending – "&amp;NETWORKDAYS(TODAY(),O188)&amp;" working day(s) left"))))))</f>
        <v/>
      </c>
      <c r="R188" s="17"/>
      <c r="S188" s="17"/>
      <c r="T188" s="50"/>
      <c r="U188" s="40"/>
      <c r="V188" s="40"/>
      <c r="W188" s="45" t="str">
        <f aca="false">IF(V188="","",EDATE(V188,Settings!$S$6))</f>
        <v/>
      </c>
      <c r="X188" s="17"/>
      <c r="Y188" s="17"/>
      <c r="Z188" s="17"/>
    </row>
    <row r="189" customFormat="false" ht="15" hidden="false" customHeight="false" outlineLevel="0" collapsed="false">
      <c r="A189" s="17"/>
      <c r="B189" s="17"/>
      <c r="C189" s="17"/>
      <c r="D189" s="17"/>
      <c r="E189" s="42"/>
      <c r="F189" s="17"/>
      <c r="G189" s="17"/>
      <c r="H189" s="17"/>
      <c r="I189" s="49" t="str">
        <f aca="false">IF(H189="","",IFERROR(INDEX(Settings!$G$2:$G$4,MATCH(H189,Settings!$F$2:$F$4,0)),""))</f>
        <v/>
      </c>
      <c r="J189" s="40"/>
      <c r="K189" s="50"/>
      <c r="L189" s="17"/>
      <c r="M189" s="40"/>
      <c r="N189" s="40"/>
      <c r="O189" s="45" t="str">
        <f aca="false">IF(N189="","",WORKDAY(N189,Settings!$S$4))</f>
        <v/>
      </c>
      <c r="P189" s="17"/>
      <c r="Q189" s="44" t="str">
        <f aca="true">IF(C189="","",IF(P189="Backed out",IF(S189="Paid","Refunded – closed",IF(R189="","Refund – log reason first","Refund in progress")),IF(K189="","Awaiting payment",IF(N189="",IF(M189="","Schedule free video","Free video in production"),IF(P189="Approved","Active",IF(TODAY()&gt;O189,"Active – plan went ahead","Decision pending – "&amp;NETWORKDAYS(TODAY(),O189)&amp;" working day(s) left"))))))</f>
        <v/>
      </c>
      <c r="R189" s="17"/>
      <c r="S189" s="17"/>
      <c r="T189" s="50"/>
      <c r="U189" s="40"/>
      <c r="V189" s="40"/>
      <c r="W189" s="45" t="str">
        <f aca="false">IF(V189="","",EDATE(V189,Settings!$S$6))</f>
        <v/>
      </c>
      <c r="X189" s="17"/>
      <c r="Y189" s="17"/>
      <c r="Z189" s="17"/>
    </row>
    <row r="190" customFormat="false" ht="15" hidden="false" customHeight="false" outlineLevel="0" collapsed="false">
      <c r="A190" s="17"/>
      <c r="B190" s="17"/>
      <c r="C190" s="17"/>
      <c r="D190" s="17"/>
      <c r="E190" s="42"/>
      <c r="F190" s="17"/>
      <c r="G190" s="17"/>
      <c r="H190" s="17"/>
      <c r="I190" s="49" t="str">
        <f aca="false">IF(H190="","",IFERROR(INDEX(Settings!$G$2:$G$4,MATCH(H190,Settings!$F$2:$F$4,0)),""))</f>
        <v/>
      </c>
      <c r="J190" s="40"/>
      <c r="K190" s="50"/>
      <c r="L190" s="17"/>
      <c r="M190" s="40"/>
      <c r="N190" s="40"/>
      <c r="O190" s="45" t="str">
        <f aca="false">IF(N190="","",WORKDAY(N190,Settings!$S$4))</f>
        <v/>
      </c>
      <c r="P190" s="17"/>
      <c r="Q190" s="44" t="str">
        <f aca="true">IF(C190="","",IF(P190="Backed out",IF(S190="Paid","Refunded – closed",IF(R190="","Refund – log reason first","Refund in progress")),IF(K190="","Awaiting payment",IF(N190="",IF(M190="","Schedule free video","Free video in production"),IF(P190="Approved","Active",IF(TODAY()&gt;O190,"Active – plan went ahead","Decision pending – "&amp;NETWORKDAYS(TODAY(),O190)&amp;" working day(s) left"))))))</f>
        <v/>
      </c>
      <c r="R190" s="17"/>
      <c r="S190" s="17"/>
      <c r="T190" s="50"/>
      <c r="U190" s="40"/>
      <c r="V190" s="40"/>
      <c r="W190" s="45" t="str">
        <f aca="false">IF(V190="","",EDATE(V190,Settings!$S$6))</f>
        <v/>
      </c>
      <c r="X190" s="17"/>
      <c r="Y190" s="17"/>
      <c r="Z190" s="17"/>
    </row>
    <row r="191" customFormat="false" ht="15" hidden="false" customHeight="false" outlineLevel="0" collapsed="false">
      <c r="A191" s="17"/>
      <c r="B191" s="17"/>
      <c r="C191" s="17"/>
      <c r="D191" s="17"/>
      <c r="E191" s="42"/>
      <c r="F191" s="17"/>
      <c r="G191" s="17"/>
      <c r="H191" s="17"/>
      <c r="I191" s="49" t="str">
        <f aca="false">IF(H191="","",IFERROR(INDEX(Settings!$G$2:$G$4,MATCH(H191,Settings!$F$2:$F$4,0)),""))</f>
        <v/>
      </c>
      <c r="J191" s="40"/>
      <c r="K191" s="50"/>
      <c r="L191" s="17"/>
      <c r="M191" s="40"/>
      <c r="N191" s="40"/>
      <c r="O191" s="45" t="str">
        <f aca="false">IF(N191="","",WORKDAY(N191,Settings!$S$4))</f>
        <v/>
      </c>
      <c r="P191" s="17"/>
      <c r="Q191" s="44" t="str">
        <f aca="true">IF(C191="","",IF(P191="Backed out",IF(S191="Paid","Refunded – closed",IF(R191="","Refund – log reason first","Refund in progress")),IF(K191="","Awaiting payment",IF(N191="",IF(M191="","Schedule free video","Free video in production"),IF(P191="Approved","Active",IF(TODAY()&gt;O191,"Active – plan went ahead","Decision pending – "&amp;NETWORKDAYS(TODAY(),O191)&amp;" working day(s) left"))))))</f>
        <v/>
      </c>
      <c r="R191" s="17"/>
      <c r="S191" s="17"/>
      <c r="T191" s="50"/>
      <c r="U191" s="40"/>
      <c r="V191" s="40"/>
      <c r="W191" s="45" t="str">
        <f aca="false">IF(V191="","",EDATE(V191,Settings!$S$6))</f>
        <v/>
      </c>
      <c r="X191" s="17"/>
      <c r="Y191" s="17"/>
      <c r="Z191" s="17"/>
    </row>
    <row r="192" customFormat="false" ht="15" hidden="false" customHeight="false" outlineLevel="0" collapsed="false">
      <c r="A192" s="17"/>
      <c r="B192" s="17"/>
      <c r="C192" s="17"/>
      <c r="D192" s="17"/>
      <c r="E192" s="42"/>
      <c r="F192" s="17"/>
      <c r="G192" s="17"/>
      <c r="H192" s="17"/>
      <c r="I192" s="49" t="str">
        <f aca="false">IF(H192="","",IFERROR(INDEX(Settings!$G$2:$G$4,MATCH(H192,Settings!$F$2:$F$4,0)),""))</f>
        <v/>
      </c>
      <c r="J192" s="40"/>
      <c r="K192" s="50"/>
      <c r="L192" s="17"/>
      <c r="M192" s="40"/>
      <c r="N192" s="40"/>
      <c r="O192" s="45" t="str">
        <f aca="false">IF(N192="","",WORKDAY(N192,Settings!$S$4))</f>
        <v/>
      </c>
      <c r="P192" s="17"/>
      <c r="Q192" s="44" t="str">
        <f aca="true">IF(C192="","",IF(P192="Backed out",IF(S192="Paid","Refunded – closed",IF(R192="","Refund – log reason first","Refund in progress")),IF(K192="","Awaiting payment",IF(N192="",IF(M192="","Schedule free video","Free video in production"),IF(P192="Approved","Active",IF(TODAY()&gt;O192,"Active – plan went ahead","Decision pending – "&amp;NETWORKDAYS(TODAY(),O192)&amp;" working day(s) left"))))))</f>
        <v/>
      </c>
      <c r="R192" s="17"/>
      <c r="S192" s="17"/>
      <c r="T192" s="50"/>
      <c r="U192" s="40"/>
      <c r="V192" s="40"/>
      <c r="W192" s="45" t="str">
        <f aca="false">IF(V192="","",EDATE(V192,Settings!$S$6))</f>
        <v/>
      </c>
      <c r="X192" s="17"/>
      <c r="Y192" s="17"/>
      <c r="Z192" s="17"/>
    </row>
    <row r="193" customFormat="false" ht="15" hidden="false" customHeight="false" outlineLevel="0" collapsed="false">
      <c r="A193" s="17"/>
      <c r="B193" s="17"/>
      <c r="C193" s="17"/>
      <c r="D193" s="17"/>
      <c r="E193" s="42"/>
      <c r="F193" s="17"/>
      <c r="G193" s="17"/>
      <c r="H193" s="17"/>
      <c r="I193" s="49" t="str">
        <f aca="false">IF(H193="","",IFERROR(INDEX(Settings!$G$2:$G$4,MATCH(H193,Settings!$F$2:$F$4,0)),""))</f>
        <v/>
      </c>
      <c r="J193" s="40"/>
      <c r="K193" s="50"/>
      <c r="L193" s="17"/>
      <c r="M193" s="40"/>
      <c r="N193" s="40"/>
      <c r="O193" s="45" t="str">
        <f aca="false">IF(N193="","",WORKDAY(N193,Settings!$S$4))</f>
        <v/>
      </c>
      <c r="P193" s="17"/>
      <c r="Q193" s="44" t="str">
        <f aca="true">IF(C193="","",IF(P193="Backed out",IF(S193="Paid","Refunded – closed",IF(R193="","Refund – log reason first","Refund in progress")),IF(K193="","Awaiting payment",IF(N193="",IF(M193="","Schedule free video","Free video in production"),IF(P193="Approved","Active",IF(TODAY()&gt;O193,"Active – plan went ahead","Decision pending – "&amp;NETWORKDAYS(TODAY(),O193)&amp;" working day(s) left"))))))</f>
        <v/>
      </c>
      <c r="R193" s="17"/>
      <c r="S193" s="17"/>
      <c r="T193" s="50"/>
      <c r="U193" s="40"/>
      <c r="V193" s="40"/>
      <c r="W193" s="45" t="str">
        <f aca="false">IF(V193="","",EDATE(V193,Settings!$S$6))</f>
        <v/>
      </c>
      <c r="X193" s="17"/>
      <c r="Y193" s="17"/>
      <c r="Z193" s="17"/>
    </row>
    <row r="194" customFormat="false" ht="15" hidden="false" customHeight="false" outlineLevel="0" collapsed="false">
      <c r="A194" s="17"/>
      <c r="B194" s="17"/>
      <c r="C194" s="17"/>
      <c r="D194" s="17"/>
      <c r="E194" s="42"/>
      <c r="F194" s="17"/>
      <c r="G194" s="17"/>
      <c r="H194" s="17"/>
      <c r="I194" s="49" t="str">
        <f aca="false">IF(H194="","",IFERROR(INDEX(Settings!$G$2:$G$4,MATCH(H194,Settings!$F$2:$F$4,0)),""))</f>
        <v/>
      </c>
      <c r="J194" s="40"/>
      <c r="K194" s="50"/>
      <c r="L194" s="17"/>
      <c r="M194" s="40"/>
      <c r="N194" s="40"/>
      <c r="O194" s="45" t="str">
        <f aca="false">IF(N194="","",WORKDAY(N194,Settings!$S$4))</f>
        <v/>
      </c>
      <c r="P194" s="17"/>
      <c r="Q194" s="44" t="str">
        <f aca="true">IF(C194="","",IF(P194="Backed out",IF(S194="Paid","Refunded – closed",IF(R194="","Refund – log reason first","Refund in progress")),IF(K194="","Awaiting payment",IF(N194="",IF(M194="","Schedule free video","Free video in production"),IF(P194="Approved","Active",IF(TODAY()&gt;O194,"Active – plan went ahead","Decision pending – "&amp;NETWORKDAYS(TODAY(),O194)&amp;" working day(s) left"))))))</f>
        <v/>
      </c>
      <c r="R194" s="17"/>
      <c r="S194" s="17"/>
      <c r="T194" s="50"/>
      <c r="U194" s="40"/>
      <c r="V194" s="40"/>
      <c r="W194" s="45" t="str">
        <f aca="false">IF(V194="","",EDATE(V194,Settings!$S$6))</f>
        <v/>
      </c>
      <c r="X194" s="17"/>
      <c r="Y194" s="17"/>
      <c r="Z194" s="17"/>
    </row>
    <row r="195" customFormat="false" ht="15" hidden="false" customHeight="false" outlineLevel="0" collapsed="false">
      <c r="A195" s="17"/>
      <c r="B195" s="17"/>
      <c r="C195" s="17"/>
      <c r="D195" s="17"/>
      <c r="E195" s="42"/>
      <c r="F195" s="17"/>
      <c r="G195" s="17"/>
      <c r="H195" s="17"/>
      <c r="I195" s="49" t="str">
        <f aca="false">IF(H195="","",IFERROR(INDEX(Settings!$G$2:$G$4,MATCH(H195,Settings!$F$2:$F$4,0)),""))</f>
        <v/>
      </c>
      <c r="J195" s="40"/>
      <c r="K195" s="50"/>
      <c r="L195" s="17"/>
      <c r="M195" s="40"/>
      <c r="N195" s="40"/>
      <c r="O195" s="45" t="str">
        <f aca="false">IF(N195="","",WORKDAY(N195,Settings!$S$4))</f>
        <v/>
      </c>
      <c r="P195" s="17"/>
      <c r="Q195" s="44" t="str">
        <f aca="true">IF(C195="","",IF(P195="Backed out",IF(S195="Paid","Refunded – closed",IF(R195="","Refund – log reason first","Refund in progress")),IF(K195="","Awaiting payment",IF(N195="",IF(M195="","Schedule free video","Free video in production"),IF(P195="Approved","Active",IF(TODAY()&gt;O195,"Active – plan went ahead","Decision pending – "&amp;NETWORKDAYS(TODAY(),O195)&amp;" working day(s) left"))))))</f>
        <v/>
      </c>
      <c r="R195" s="17"/>
      <c r="S195" s="17"/>
      <c r="T195" s="50"/>
      <c r="U195" s="40"/>
      <c r="V195" s="40"/>
      <c r="W195" s="45" t="str">
        <f aca="false">IF(V195="","",EDATE(V195,Settings!$S$6))</f>
        <v/>
      </c>
      <c r="X195" s="17"/>
      <c r="Y195" s="17"/>
      <c r="Z195" s="17"/>
    </row>
    <row r="196" customFormat="false" ht="15" hidden="false" customHeight="false" outlineLevel="0" collapsed="false">
      <c r="A196" s="17"/>
      <c r="B196" s="17"/>
      <c r="C196" s="17"/>
      <c r="D196" s="17"/>
      <c r="E196" s="42"/>
      <c r="F196" s="17"/>
      <c r="G196" s="17"/>
      <c r="H196" s="17"/>
      <c r="I196" s="49" t="str">
        <f aca="false">IF(H196="","",IFERROR(INDEX(Settings!$G$2:$G$4,MATCH(H196,Settings!$F$2:$F$4,0)),""))</f>
        <v/>
      </c>
      <c r="J196" s="40"/>
      <c r="K196" s="50"/>
      <c r="L196" s="17"/>
      <c r="M196" s="40"/>
      <c r="N196" s="40"/>
      <c r="O196" s="45" t="str">
        <f aca="false">IF(N196="","",WORKDAY(N196,Settings!$S$4))</f>
        <v/>
      </c>
      <c r="P196" s="17"/>
      <c r="Q196" s="44" t="str">
        <f aca="true">IF(C196="","",IF(P196="Backed out",IF(S196="Paid","Refunded – closed",IF(R196="","Refund – log reason first","Refund in progress")),IF(K196="","Awaiting payment",IF(N196="",IF(M196="","Schedule free video","Free video in production"),IF(P196="Approved","Active",IF(TODAY()&gt;O196,"Active – plan went ahead","Decision pending – "&amp;NETWORKDAYS(TODAY(),O196)&amp;" working day(s) left"))))))</f>
        <v/>
      </c>
      <c r="R196" s="17"/>
      <c r="S196" s="17"/>
      <c r="T196" s="50"/>
      <c r="U196" s="40"/>
      <c r="V196" s="40"/>
      <c r="W196" s="45" t="str">
        <f aca="false">IF(V196="","",EDATE(V196,Settings!$S$6))</f>
        <v/>
      </c>
      <c r="X196" s="17"/>
      <c r="Y196" s="17"/>
      <c r="Z196" s="17"/>
    </row>
    <row r="197" customFormat="false" ht="15" hidden="false" customHeight="false" outlineLevel="0" collapsed="false">
      <c r="A197" s="17"/>
      <c r="B197" s="17"/>
      <c r="C197" s="17"/>
      <c r="D197" s="17"/>
      <c r="E197" s="42"/>
      <c r="F197" s="17"/>
      <c r="G197" s="17"/>
      <c r="H197" s="17"/>
      <c r="I197" s="49" t="str">
        <f aca="false">IF(H197="","",IFERROR(INDEX(Settings!$G$2:$G$4,MATCH(H197,Settings!$F$2:$F$4,0)),""))</f>
        <v/>
      </c>
      <c r="J197" s="40"/>
      <c r="K197" s="50"/>
      <c r="L197" s="17"/>
      <c r="M197" s="40"/>
      <c r="N197" s="40"/>
      <c r="O197" s="45" t="str">
        <f aca="false">IF(N197="","",WORKDAY(N197,Settings!$S$4))</f>
        <v/>
      </c>
      <c r="P197" s="17"/>
      <c r="Q197" s="44" t="str">
        <f aca="true">IF(C197="","",IF(P197="Backed out",IF(S197="Paid","Refunded – closed",IF(R197="","Refund – log reason first","Refund in progress")),IF(K197="","Awaiting payment",IF(N197="",IF(M197="","Schedule free video","Free video in production"),IF(P197="Approved","Active",IF(TODAY()&gt;O197,"Active – plan went ahead","Decision pending – "&amp;NETWORKDAYS(TODAY(),O197)&amp;" working day(s) left"))))))</f>
        <v/>
      </c>
      <c r="R197" s="17"/>
      <c r="S197" s="17"/>
      <c r="T197" s="50"/>
      <c r="U197" s="40"/>
      <c r="V197" s="40"/>
      <c r="W197" s="45" t="str">
        <f aca="false">IF(V197="","",EDATE(V197,Settings!$S$6))</f>
        <v/>
      </c>
      <c r="X197" s="17"/>
      <c r="Y197" s="17"/>
      <c r="Z197" s="17"/>
    </row>
    <row r="198" customFormat="false" ht="15" hidden="false" customHeight="false" outlineLevel="0" collapsed="false">
      <c r="A198" s="17"/>
      <c r="B198" s="17"/>
      <c r="C198" s="17"/>
      <c r="D198" s="17"/>
      <c r="E198" s="42"/>
      <c r="F198" s="17"/>
      <c r="G198" s="17"/>
      <c r="H198" s="17"/>
      <c r="I198" s="49" t="str">
        <f aca="false">IF(H198="","",IFERROR(INDEX(Settings!$G$2:$G$4,MATCH(H198,Settings!$F$2:$F$4,0)),""))</f>
        <v/>
      </c>
      <c r="J198" s="40"/>
      <c r="K198" s="50"/>
      <c r="L198" s="17"/>
      <c r="M198" s="40"/>
      <c r="N198" s="40"/>
      <c r="O198" s="45" t="str">
        <f aca="false">IF(N198="","",WORKDAY(N198,Settings!$S$4))</f>
        <v/>
      </c>
      <c r="P198" s="17"/>
      <c r="Q198" s="44" t="str">
        <f aca="true">IF(C198="","",IF(P198="Backed out",IF(S198="Paid","Refunded – closed",IF(R198="","Refund – log reason first","Refund in progress")),IF(K198="","Awaiting payment",IF(N198="",IF(M198="","Schedule free video","Free video in production"),IF(P198="Approved","Active",IF(TODAY()&gt;O198,"Active – plan went ahead","Decision pending – "&amp;NETWORKDAYS(TODAY(),O198)&amp;" working day(s) left"))))))</f>
        <v/>
      </c>
      <c r="R198" s="17"/>
      <c r="S198" s="17"/>
      <c r="T198" s="50"/>
      <c r="U198" s="40"/>
      <c r="V198" s="40"/>
      <c r="W198" s="45" t="str">
        <f aca="false">IF(V198="","",EDATE(V198,Settings!$S$6))</f>
        <v/>
      </c>
      <c r="X198" s="17"/>
      <c r="Y198" s="17"/>
      <c r="Z198" s="17"/>
    </row>
    <row r="199" customFormat="false" ht="15" hidden="false" customHeight="false" outlineLevel="0" collapsed="false">
      <c r="A199" s="17"/>
      <c r="B199" s="17"/>
      <c r="C199" s="17"/>
      <c r="D199" s="17"/>
      <c r="E199" s="42"/>
      <c r="F199" s="17"/>
      <c r="G199" s="17"/>
      <c r="H199" s="17"/>
      <c r="I199" s="49" t="str">
        <f aca="false">IF(H199="","",IFERROR(INDEX(Settings!$G$2:$G$4,MATCH(H199,Settings!$F$2:$F$4,0)),""))</f>
        <v/>
      </c>
      <c r="J199" s="40"/>
      <c r="K199" s="50"/>
      <c r="L199" s="17"/>
      <c r="M199" s="40"/>
      <c r="N199" s="40"/>
      <c r="O199" s="45" t="str">
        <f aca="false">IF(N199="","",WORKDAY(N199,Settings!$S$4))</f>
        <v/>
      </c>
      <c r="P199" s="17"/>
      <c r="Q199" s="44" t="str">
        <f aca="true">IF(C199="","",IF(P199="Backed out",IF(S199="Paid","Refunded – closed",IF(R199="","Refund – log reason first","Refund in progress")),IF(K199="","Awaiting payment",IF(N199="",IF(M199="","Schedule free video","Free video in production"),IF(P199="Approved","Active",IF(TODAY()&gt;O199,"Active – plan went ahead","Decision pending – "&amp;NETWORKDAYS(TODAY(),O199)&amp;" working day(s) left"))))))</f>
        <v/>
      </c>
      <c r="R199" s="17"/>
      <c r="S199" s="17"/>
      <c r="T199" s="50"/>
      <c r="U199" s="40"/>
      <c r="V199" s="40"/>
      <c r="W199" s="45" t="str">
        <f aca="false">IF(V199="","",EDATE(V199,Settings!$S$6))</f>
        <v/>
      </c>
      <c r="X199" s="17"/>
      <c r="Y199" s="17"/>
      <c r="Z199" s="17"/>
    </row>
    <row r="200" customFormat="false" ht="15" hidden="false" customHeight="false" outlineLevel="0" collapsed="false">
      <c r="A200" s="17"/>
      <c r="B200" s="17"/>
      <c r="C200" s="17"/>
      <c r="D200" s="17"/>
      <c r="E200" s="42"/>
      <c r="F200" s="17"/>
      <c r="G200" s="17"/>
      <c r="H200" s="17"/>
      <c r="I200" s="49" t="str">
        <f aca="false">IF(H200="","",IFERROR(INDEX(Settings!$G$2:$G$4,MATCH(H200,Settings!$F$2:$F$4,0)),""))</f>
        <v/>
      </c>
      <c r="J200" s="40"/>
      <c r="K200" s="50"/>
      <c r="L200" s="17"/>
      <c r="M200" s="40"/>
      <c r="N200" s="40"/>
      <c r="O200" s="45" t="str">
        <f aca="false">IF(N200="","",WORKDAY(N200,Settings!$S$4))</f>
        <v/>
      </c>
      <c r="P200" s="17"/>
      <c r="Q200" s="44" t="str">
        <f aca="true">IF(C200="","",IF(P200="Backed out",IF(S200="Paid","Refunded – closed",IF(R200="","Refund – log reason first","Refund in progress")),IF(K200="","Awaiting payment",IF(N200="",IF(M200="","Schedule free video","Free video in production"),IF(P200="Approved","Active",IF(TODAY()&gt;O200,"Active – plan went ahead","Decision pending – "&amp;NETWORKDAYS(TODAY(),O200)&amp;" working day(s) left"))))))</f>
        <v/>
      </c>
      <c r="R200" s="17"/>
      <c r="S200" s="17"/>
      <c r="T200" s="50"/>
      <c r="U200" s="40"/>
      <c r="V200" s="40"/>
      <c r="W200" s="45" t="str">
        <f aca="false">IF(V200="","",EDATE(V200,Settings!$S$6))</f>
        <v/>
      </c>
      <c r="X200" s="17"/>
      <c r="Y200" s="17"/>
      <c r="Z200" s="17"/>
    </row>
    <row r="201" customFormat="false" ht="15" hidden="false" customHeight="false" outlineLevel="0" collapsed="false">
      <c r="A201" s="17"/>
      <c r="B201" s="17"/>
      <c r="C201" s="17"/>
      <c r="D201" s="17"/>
      <c r="E201" s="42"/>
      <c r="F201" s="17"/>
      <c r="G201" s="17"/>
      <c r="H201" s="17"/>
      <c r="I201" s="49" t="str">
        <f aca="false">IF(H201="","",IFERROR(INDEX(Settings!$G$2:$G$4,MATCH(H201,Settings!$F$2:$F$4,0)),""))</f>
        <v/>
      </c>
      <c r="J201" s="40"/>
      <c r="K201" s="50"/>
      <c r="L201" s="17"/>
      <c r="M201" s="40"/>
      <c r="N201" s="40"/>
      <c r="O201" s="45" t="str">
        <f aca="false">IF(N201="","",WORKDAY(N201,Settings!$S$4))</f>
        <v/>
      </c>
      <c r="P201" s="17"/>
      <c r="Q201" s="44" t="str">
        <f aca="true">IF(C201="","",IF(P201="Backed out",IF(S201="Paid","Refunded – closed",IF(R201="","Refund – log reason first","Refund in progress")),IF(K201="","Awaiting payment",IF(N201="",IF(M201="","Schedule free video","Free video in production"),IF(P201="Approved","Active",IF(TODAY()&gt;O201,"Active – plan went ahead","Decision pending – "&amp;NETWORKDAYS(TODAY(),O201)&amp;" working day(s) left"))))))</f>
        <v/>
      </c>
      <c r="R201" s="17"/>
      <c r="S201" s="17"/>
      <c r="T201" s="50"/>
      <c r="U201" s="40"/>
      <c r="V201" s="40"/>
      <c r="W201" s="45" t="str">
        <f aca="false">IF(V201="","",EDATE(V201,Settings!$S$6))</f>
        <v/>
      </c>
      <c r="X201" s="17"/>
      <c r="Y201" s="17"/>
      <c r="Z201" s="17"/>
    </row>
    <row r="202" customFormat="false" ht="15" hidden="false" customHeight="false" outlineLevel="0" collapsed="false">
      <c r="A202" s="17"/>
      <c r="B202" s="17"/>
      <c r="C202" s="17"/>
      <c r="D202" s="17"/>
      <c r="E202" s="42"/>
      <c r="F202" s="17"/>
      <c r="G202" s="17"/>
      <c r="H202" s="17"/>
      <c r="I202" s="49" t="str">
        <f aca="false">IF(H202="","",IFERROR(INDEX(Settings!$G$2:$G$4,MATCH(H202,Settings!$F$2:$F$4,0)),""))</f>
        <v/>
      </c>
      <c r="J202" s="40"/>
      <c r="K202" s="50"/>
      <c r="L202" s="17"/>
      <c r="M202" s="40"/>
      <c r="N202" s="40"/>
      <c r="O202" s="45" t="str">
        <f aca="false">IF(N202="","",WORKDAY(N202,Settings!$S$4))</f>
        <v/>
      </c>
      <c r="P202" s="17"/>
      <c r="Q202" s="44" t="str">
        <f aca="true">IF(C202="","",IF(P202="Backed out",IF(S202="Paid","Refunded – closed",IF(R202="","Refund – log reason first","Refund in progress")),IF(K202="","Awaiting payment",IF(N202="",IF(M202="","Schedule free video","Free video in production"),IF(P202="Approved","Active",IF(TODAY()&gt;O202,"Active – plan went ahead","Decision pending – "&amp;NETWORKDAYS(TODAY(),O202)&amp;" working day(s) left"))))))</f>
        <v/>
      </c>
      <c r="R202" s="17"/>
      <c r="S202" s="17"/>
      <c r="T202" s="50"/>
      <c r="U202" s="40"/>
      <c r="V202" s="40"/>
      <c r="W202" s="45" t="str">
        <f aca="false">IF(V202="","",EDATE(V202,Settings!$S$6))</f>
        <v/>
      </c>
      <c r="X202" s="17"/>
      <c r="Y202" s="17"/>
      <c r="Z202" s="17"/>
    </row>
    <row r="203" customFormat="false" ht="15" hidden="false" customHeight="false" outlineLevel="0" collapsed="false">
      <c r="A203" s="17"/>
      <c r="B203" s="17"/>
      <c r="C203" s="17"/>
      <c r="D203" s="17"/>
      <c r="E203" s="42"/>
      <c r="F203" s="17"/>
      <c r="G203" s="17"/>
      <c r="H203" s="17"/>
      <c r="I203" s="49" t="str">
        <f aca="false">IF(H203="","",IFERROR(INDEX(Settings!$G$2:$G$4,MATCH(H203,Settings!$F$2:$F$4,0)),""))</f>
        <v/>
      </c>
      <c r="J203" s="40"/>
      <c r="K203" s="50"/>
      <c r="L203" s="17"/>
      <c r="M203" s="40"/>
      <c r="N203" s="40"/>
      <c r="O203" s="45" t="str">
        <f aca="false">IF(N203="","",WORKDAY(N203,Settings!$S$4))</f>
        <v/>
      </c>
      <c r="P203" s="17"/>
      <c r="Q203" s="44" t="str">
        <f aca="true">IF(C203="","",IF(P203="Backed out",IF(S203="Paid","Refunded – closed",IF(R203="","Refund – log reason first","Refund in progress")),IF(K203="","Awaiting payment",IF(N203="",IF(M203="","Schedule free video","Free video in production"),IF(P203="Approved","Active",IF(TODAY()&gt;O203,"Active – plan went ahead","Decision pending – "&amp;NETWORKDAYS(TODAY(),O203)&amp;" working day(s) left"))))))</f>
        <v/>
      </c>
      <c r="R203" s="17"/>
      <c r="S203" s="17"/>
      <c r="T203" s="50"/>
      <c r="U203" s="40"/>
      <c r="V203" s="40"/>
      <c r="W203" s="45" t="str">
        <f aca="false">IF(V203="","",EDATE(V203,Settings!$S$6))</f>
        <v/>
      </c>
      <c r="X203" s="17"/>
      <c r="Y203" s="17"/>
      <c r="Z203" s="17"/>
    </row>
    <row r="204" customFormat="false" ht="15" hidden="false" customHeight="false" outlineLevel="0" collapsed="false">
      <c r="A204" s="17"/>
      <c r="B204" s="17"/>
      <c r="C204" s="17"/>
      <c r="D204" s="17"/>
      <c r="E204" s="42"/>
      <c r="F204" s="17"/>
      <c r="G204" s="17"/>
      <c r="H204" s="17"/>
      <c r="I204" s="49" t="str">
        <f aca="false">IF(H204="","",IFERROR(INDEX(Settings!$G$2:$G$4,MATCH(H204,Settings!$F$2:$F$4,0)),""))</f>
        <v/>
      </c>
      <c r="J204" s="40"/>
      <c r="K204" s="50"/>
      <c r="L204" s="17"/>
      <c r="M204" s="40"/>
      <c r="N204" s="40"/>
      <c r="O204" s="45" t="str">
        <f aca="false">IF(N204="","",WORKDAY(N204,Settings!$S$4))</f>
        <v/>
      </c>
      <c r="P204" s="17"/>
      <c r="Q204" s="44" t="str">
        <f aca="true">IF(C204="","",IF(P204="Backed out",IF(S204="Paid","Refunded – closed",IF(R204="","Refund – log reason first","Refund in progress")),IF(K204="","Awaiting payment",IF(N204="",IF(M204="","Schedule free video","Free video in production"),IF(P204="Approved","Active",IF(TODAY()&gt;O204,"Active – plan went ahead","Decision pending – "&amp;NETWORKDAYS(TODAY(),O204)&amp;" working day(s) left"))))))</f>
        <v/>
      </c>
      <c r="R204" s="17"/>
      <c r="S204" s="17"/>
      <c r="T204" s="50"/>
      <c r="U204" s="40"/>
      <c r="V204" s="40"/>
      <c r="W204" s="45" t="str">
        <f aca="false">IF(V204="","",EDATE(V204,Settings!$S$6))</f>
        <v/>
      </c>
      <c r="X204" s="17"/>
      <c r="Y204" s="17"/>
      <c r="Z204" s="17"/>
    </row>
    <row r="205" customFormat="false" ht="15" hidden="false" customHeight="false" outlineLevel="0" collapsed="false">
      <c r="A205" s="17"/>
      <c r="B205" s="17"/>
      <c r="C205" s="17"/>
      <c r="D205" s="17"/>
      <c r="E205" s="42"/>
      <c r="F205" s="17"/>
      <c r="G205" s="17"/>
      <c r="H205" s="17"/>
      <c r="I205" s="49" t="str">
        <f aca="false">IF(H205="","",IFERROR(INDEX(Settings!$G$2:$G$4,MATCH(H205,Settings!$F$2:$F$4,0)),""))</f>
        <v/>
      </c>
      <c r="J205" s="40"/>
      <c r="K205" s="50"/>
      <c r="L205" s="17"/>
      <c r="M205" s="40"/>
      <c r="N205" s="40"/>
      <c r="O205" s="45" t="str">
        <f aca="false">IF(N205="","",WORKDAY(N205,Settings!$S$4))</f>
        <v/>
      </c>
      <c r="P205" s="17"/>
      <c r="Q205" s="44" t="str">
        <f aca="true">IF(C205="","",IF(P205="Backed out",IF(S205="Paid","Refunded – closed",IF(R205="","Refund – log reason first","Refund in progress")),IF(K205="","Awaiting payment",IF(N205="",IF(M205="","Schedule free video","Free video in production"),IF(P205="Approved","Active",IF(TODAY()&gt;O205,"Active – plan went ahead","Decision pending – "&amp;NETWORKDAYS(TODAY(),O205)&amp;" working day(s) left"))))))</f>
        <v/>
      </c>
      <c r="R205" s="17"/>
      <c r="S205" s="17"/>
      <c r="T205" s="50"/>
      <c r="U205" s="40"/>
      <c r="V205" s="40"/>
      <c r="W205" s="45" t="str">
        <f aca="false">IF(V205="","",EDATE(V205,Settings!$S$6))</f>
        <v/>
      </c>
      <c r="X205" s="17"/>
      <c r="Y205" s="17"/>
      <c r="Z205" s="17"/>
    </row>
    <row r="206" customFormat="false" ht="15" hidden="false" customHeight="false" outlineLevel="0" collapsed="false">
      <c r="A206" s="17"/>
      <c r="B206" s="17"/>
      <c r="C206" s="17"/>
      <c r="D206" s="17"/>
      <c r="E206" s="42"/>
      <c r="F206" s="17"/>
      <c r="G206" s="17"/>
      <c r="H206" s="17"/>
      <c r="I206" s="49" t="str">
        <f aca="false">IF(H206="","",IFERROR(INDEX(Settings!$G$2:$G$4,MATCH(H206,Settings!$F$2:$F$4,0)),""))</f>
        <v/>
      </c>
      <c r="J206" s="40"/>
      <c r="K206" s="50"/>
      <c r="L206" s="17"/>
      <c r="M206" s="40"/>
      <c r="N206" s="40"/>
      <c r="O206" s="45" t="str">
        <f aca="false">IF(N206="","",WORKDAY(N206,Settings!$S$4))</f>
        <v/>
      </c>
      <c r="P206" s="17"/>
      <c r="Q206" s="44" t="str">
        <f aca="true">IF(C206="","",IF(P206="Backed out",IF(S206="Paid","Refunded – closed",IF(R206="","Refund – log reason first","Refund in progress")),IF(K206="","Awaiting payment",IF(N206="",IF(M206="","Schedule free video","Free video in production"),IF(P206="Approved","Active",IF(TODAY()&gt;O206,"Active – plan went ahead","Decision pending – "&amp;NETWORKDAYS(TODAY(),O206)&amp;" working day(s) left"))))))</f>
        <v/>
      </c>
      <c r="R206" s="17"/>
      <c r="S206" s="17"/>
      <c r="T206" s="50"/>
      <c r="U206" s="40"/>
      <c r="V206" s="40"/>
      <c r="W206" s="45" t="str">
        <f aca="false">IF(V206="","",EDATE(V206,Settings!$S$6))</f>
        <v/>
      </c>
      <c r="X206" s="17"/>
      <c r="Y206" s="17"/>
      <c r="Z206" s="17"/>
    </row>
    <row r="207" customFormat="false" ht="15" hidden="false" customHeight="false" outlineLevel="0" collapsed="false">
      <c r="A207" s="17"/>
      <c r="B207" s="17"/>
      <c r="C207" s="17"/>
      <c r="D207" s="17"/>
      <c r="E207" s="42"/>
      <c r="F207" s="17"/>
      <c r="G207" s="17"/>
      <c r="H207" s="17"/>
      <c r="I207" s="49" t="str">
        <f aca="false">IF(H207="","",IFERROR(INDEX(Settings!$G$2:$G$4,MATCH(H207,Settings!$F$2:$F$4,0)),""))</f>
        <v/>
      </c>
      <c r="J207" s="40"/>
      <c r="K207" s="50"/>
      <c r="L207" s="17"/>
      <c r="M207" s="40"/>
      <c r="N207" s="40"/>
      <c r="O207" s="45" t="str">
        <f aca="false">IF(N207="","",WORKDAY(N207,Settings!$S$4))</f>
        <v/>
      </c>
      <c r="P207" s="17"/>
      <c r="Q207" s="44" t="str">
        <f aca="true">IF(C207="","",IF(P207="Backed out",IF(S207="Paid","Refunded – closed",IF(R207="","Refund – log reason first","Refund in progress")),IF(K207="","Awaiting payment",IF(N207="",IF(M207="","Schedule free video","Free video in production"),IF(P207="Approved","Active",IF(TODAY()&gt;O207,"Active – plan went ahead","Decision pending – "&amp;NETWORKDAYS(TODAY(),O207)&amp;" working day(s) left"))))))</f>
        <v/>
      </c>
      <c r="R207" s="17"/>
      <c r="S207" s="17"/>
      <c r="T207" s="50"/>
      <c r="U207" s="40"/>
      <c r="V207" s="40"/>
      <c r="W207" s="45" t="str">
        <f aca="false">IF(V207="","",EDATE(V207,Settings!$S$6))</f>
        <v/>
      </c>
      <c r="X207" s="17"/>
      <c r="Y207" s="17"/>
      <c r="Z207" s="17"/>
    </row>
    <row r="208" customFormat="false" ht="15" hidden="false" customHeight="false" outlineLevel="0" collapsed="false">
      <c r="A208" s="17"/>
      <c r="B208" s="17"/>
      <c r="C208" s="17"/>
      <c r="D208" s="17"/>
      <c r="E208" s="42"/>
      <c r="F208" s="17"/>
      <c r="G208" s="17"/>
      <c r="H208" s="17"/>
      <c r="I208" s="49" t="str">
        <f aca="false">IF(H208="","",IFERROR(INDEX(Settings!$G$2:$G$4,MATCH(H208,Settings!$F$2:$F$4,0)),""))</f>
        <v/>
      </c>
      <c r="J208" s="40"/>
      <c r="K208" s="50"/>
      <c r="L208" s="17"/>
      <c r="M208" s="40"/>
      <c r="N208" s="40"/>
      <c r="O208" s="45" t="str">
        <f aca="false">IF(N208="","",WORKDAY(N208,Settings!$S$4))</f>
        <v/>
      </c>
      <c r="P208" s="17"/>
      <c r="Q208" s="44" t="str">
        <f aca="true">IF(C208="","",IF(P208="Backed out",IF(S208="Paid","Refunded – closed",IF(R208="","Refund – log reason first","Refund in progress")),IF(K208="","Awaiting payment",IF(N208="",IF(M208="","Schedule free video","Free video in production"),IF(P208="Approved","Active",IF(TODAY()&gt;O208,"Active – plan went ahead","Decision pending – "&amp;NETWORKDAYS(TODAY(),O208)&amp;" working day(s) left"))))))</f>
        <v/>
      </c>
      <c r="R208" s="17"/>
      <c r="S208" s="17"/>
      <c r="T208" s="50"/>
      <c r="U208" s="40"/>
      <c r="V208" s="40"/>
      <c r="W208" s="45" t="str">
        <f aca="false">IF(V208="","",EDATE(V208,Settings!$S$6))</f>
        <v/>
      </c>
      <c r="X208" s="17"/>
      <c r="Y208" s="17"/>
      <c r="Z208" s="17"/>
    </row>
    <row r="209" customFormat="false" ht="15" hidden="false" customHeight="false" outlineLevel="0" collapsed="false">
      <c r="A209" s="17"/>
      <c r="B209" s="17"/>
      <c r="C209" s="17"/>
      <c r="D209" s="17"/>
      <c r="E209" s="42"/>
      <c r="F209" s="17"/>
      <c r="G209" s="17"/>
      <c r="H209" s="17"/>
      <c r="I209" s="49" t="str">
        <f aca="false">IF(H209="","",IFERROR(INDEX(Settings!$G$2:$G$4,MATCH(H209,Settings!$F$2:$F$4,0)),""))</f>
        <v/>
      </c>
      <c r="J209" s="40"/>
      <c r="K209" s="50"/>
      <c r="L209" s="17"/>
      <c r="M209" s="40"/>
      <c r="N209" s="40"/>
      <c r="O209" s="45" t="str">
        <f aca="false">IF(N209="","",WORKDAY(N209,Settings!$S$4))</f>
        <v/>
      </c>
      <c r="P209" s="17"/>
      <c r="Q209" s="44" t="str">
        <f aca="true">IF(C209="","",IF(P209="Backed out",IF(S209="Paid","Refunded – closed",IF(R209="","Refund – log reason first","Refund in progress")),IF(K209="","Awaiting payment",IF(N209="",IF(M209="","Schedule free video","Free video in production"),IF(P209="Approved","Active",IF(TODAY()&gt;O209,"Active – plan went ahead","Decision pending – "&amp;NETWORKDAYS(TODAY(),O209)&amp;" working day(s) left"))))))</f>
        <v/>
      </c>
      <c r="R209" s="17"/>
      <c r="S209" s="17"/>
      <c r="T209" s="50"/>
      <c r="U209" s="40"/>
      <c r="V209" s="40"/>
      <c r="W209" s="45" t="str">
        <f aca="false">IF(V209="","",EDATE(V209,Settings!$S$6))</f>
        <v/>
      </c>
      <c r="X209" s="17"/>
      <c r="Y209" s="17"/>
      <c r="Z209" s="17"/>
    </row>
    <row r="210" customFormat="false" ht="15" hidden="false" customHeight="false" outlineLevel="0" collapsed="false">
      <c r="A210" s="17"/>
      <c r="B210" s="17"/>
      <c r="C210" s="17"/>
      <c r="D210" s="17"/>
      <c r="E210" s="42"/>
      <c r="F210" s="17"/>
      <c r="G210" s="17"/>
      <c r="H210" s="17"/>
      <c r="I210" s="49" t="str">
        <f aca="false">IF(H210="","",IFERROR(INDEX(Settings!$G$2:$G$4,MATCH(H210,Settings!$F$2:$F$4,0)),""))</f>
        <v/>
      </c>
      <c r="J210" s="40"/>
      <c r="K210" s="50"/>
      <c r="L210" s="17"/>
      <c r="M210" s="40"/>
      <c r="N210" s="40"/>
      <c r="O210" s="45" t="str">
        <f aca="false">IF(N210="","",WORKDAY(N210,Settings!$S$4))</f>
        <v/>
      </c>
      <c r="P210" s="17"/>
      <c r="Q210" s="44" t="str">
        <f aca="true">IF(C210="","",IF(P210="Backed out",IF(S210="Paid","Refunded – closed",IF(R210="","Refund – log reason first","Refund in progress")),IF(K210="","Awaiting payment",IF(N210="",IF(M210="","Schedule free video","Free video in production"),IF(P210="Approved","Active",IF(TODAY()&gt;O210,"Active – plan went ahead","Decision pending – "&amp;NETWORKDAYS(TODAY(),O210)&amp;" working day(s) left"))))))</f>
        <v/>
      </c>
      <c r="R210" s="17"/>
      <c r="S210" s="17"/>
      <c r="T210" s="50"/>
      <c r="U210" s="40"/>
      <c r="V210" s="40"/>
      <c r="W210" s="45" t="str">
        <f aca="false">IF(V210="","",EDATE(V210,Settings!$S$6))</f>
        <v/>
      </c>
      <c r="X210" s="17"/>
      <c r="Y210" s="17"/>
      <c r="Z210" s="17"/>
    </row>
    <row r="211" customFormat="false" ht="15" hidden="false" customHeight="false" outlineLevel="0" collapsed="false">
      <c r="A211" s="17"/>
      <c r="B211" s="17"/>
      <c r="C211" s="17"/>
      <c r="D211" s="17"/>
      <c r="E211" s="42"/>
      <c r="F211" s="17"/>
      <c r="G211" s="17"/>
      <c r="H211" s="17"/>
      <c r="I211" s="49" t="str">
        <f aca="false">IF(H211="","",IFERROR(INDEX(Settings!$G$2:$G$4,MATCH(H211,Settings!$F$2:$F$4,0)),""))</f>
        <v/>
      </c>
      <c r="J211" s="40"/>
      <c r="K211" s="50"/>
      <c r="L211" s="17"/>
      <c r="M211" s="40"/>
      <c r="N211" s="40"/>
      <c r="O211" s="45" t="str">
        <f aca="false">IF(N211="","",WORKDAY(N211,Settings!$S$4))</f>
        <v/>
      </c>
      <c r="P211" s="17"/>
      <c r="Q211" s="44" t="str">
        <f aca="true">IF(C211="","",IF(P211="Backed out",IF(S211="Paid","Refunded – closed",IF(R211="","Refund – log reason first","Refund in progress")),IF(K211="","Awaiting payment",IF(N211="",IF(M211="","Schedule free video","Free video in production"),IF(P211="Approved","Active",IF(TODAY()&gt;O211,"Active – plan went ahead","Decision pending – "&amp;NETWORKDAYS(TODAY(),O211)&amp;" working day(s) left"))))))</f>
        <v/>
      </c>
      <c r="R211" s="17"/>
      <c r="S211" s="17"/>
      <c r="T211" s="50"/>
      <c r="U211" s="40"/>
      <c r="V211" s="40"/>
      <c r="W211" s="45" t="str">
        <f aca="false">IF(V211="","",EDATE(V211,Settings!$S$6))</f>
        <v/>
      </c>
      <c r="X211" s="17"/>
      <c r="Y211" s="17"/>
      <c r="Z211" s="17"/>
    </row>
    <row r="212" customFormat="false" ht="15" hidden="false" customHeight="false" outlineLevel="0" collapsed="false">
      <c r="A212" s="17"/>
      <c r="B212" s="17"/>
      <c r="C212" s="17"/>
      <c r="D212" s="17"/>
      <c r="E212" s="42"/>
      <c r="F212" s="17"/>
      <c r="G212" s="17"/>
      <c r="H212" s="17"/>
      <c r="I212" s="49" t="str">
        <f aca="false">IF(H212="","",IFERROR(INDEX(Settings!$G$2:$G$4,MATCH(H212,Settings!$F$2:$F$4,0)),""))</f>
        <v/>
      </c>
      <c r="J212" s="40"/>
      <c r="K212" s="50"/>
      <c r="L212" s="17"/>
      <c r="M212" s="40"/>
      <c r="N212" s="40"/>
      <c r="O212" s="45" t="str">
        <f aca="false">IF(N212="","",WORKDAY(N212,Settings!$S$4))</f>
        <v/>
      </c>
      <c r="P212" s="17"/>
      <c r="Q212" s="44" t="str">
        <f aca="true">IF(C212="","",IF(P212="Backed out",IF(S212="Paid","Refunded – closed",IF(R212="","Refund – log reason first","Refund in progress")),IF(K212="","Awaiting payment",IF(N212="",IF(M212="","Schedule free video","Free video in production"),IF(P212="Approved","Active",IF(TODAY()&gt;O212,"Active – plan went ahead","Decision pending – "&amp;NETWORKDAYS(TODAY(),O212)&amp;" working day(s) left"))))))</f>
        <v/>
      </c>
      <c r="R212" s="17"/>
      <c r="S212" s="17"/>
      <c r="T212" s="50"/>
      <c r="U212" s="40"/>
      <c r="V212" s="40"/>
      <c r="W212" s="45" t="str">
        <f aca="false">IF(V212="","",EDATE(V212,Settings!$S$6))</f>
        <v/>
      </c>
      <c r="X212" s="17"/>
      <c r="Y212" s="17"/>
      <c r="Z212" s="17"/>
    </row>
    <row r="213" customFormat="false" ht="15" hidden="false" customHeight="false" outlineLevel="0" collapsed="false">
      <c r="A213" s="17"/>
      <c r="B213" s="17"/>
      <c r="C213" s="17"/>
      <c r="D213" s="17"/>
      <c r="E213" s="42"/>
      <c r="F213" s="17"/>
      <c r="G213" s="17"/>
      <c r="H213" s="17"/>
      <c r="I213" s="49" t="str">
        <f aca="false">IF(H213="","",IFERROR(INDEX(Settings!$G$2:$G$4,MATCH(H213,Settings!$F$2:$F$4,0)),""))</f>
        <v/>
      </c>
      <c r="J213" s="40"/>
      <c r="K213" s="50"/>
      <c r="L213" s="17"/>
      <c r="M213" s="40"/>
      <c r="N213" s="40"/>
      <c r="O213" s="45" t="str">
        <f aca="false">IF(N213="","",WORKDAY(N213,Settings!$S$4))</f>
        <v/>
      </c>
      <c r="P213" s="17"/>
      <c r="Q213" s="44" t="str">
        <f aca="true">IF(C213="","",IF(P213="Backed out",IF(S213="Paid","Refunded – closed",IF(R213="","Refund – log reason first","Refund in progress")),IF(K213="","Awaiting payment",IF(N213="",IF(M213="","Schedule free video","Free video in production"),IF(P213="Approved","Active",IF(TODAY()&gt;O213,"Active – plan went ahead","Decision pending – "&amp;NETWORKDAYS(TODAY(),O213)&amp;" working day(s) left"))))))</f>
        <v/>
      </c>
      <c r="R213" s="17"/>
      <c r="S213" s="17"/>
      <c r="T213" s="50"/>
      <c r="U213" s="40"/>
      <c r="V213" s="40"/>
      <c r="W213" s="45" t="str">
        <f aca="false">IF(V213="","",EDATE(V213,Settings!$S$6))</f>
        <v/>
      </c>
      <c r="X213" s="17"/>
      <c r="Y213" s="17"/>
      <c r="Z213" s="17"/>
    </row>
    <row r="214" customFormat="false" ht="15" hidden="false" customHeight="false" outlineLevel="0" collapsed="false">
      <c r="A214" s="17"/>
      <c r="B214" s="17"/>
      <c r="C214" s="17"/>
      <c r="D214" s="17"/>
      <c r="E214" s="42"/>
      <c r="F214" s="17"/>
      <c r="G214" s="17"/>
      <c r="H214" s="17"/>
      <c r="I214" s="49" t="str">
        <f aca="false">IF(H214="","",IFERROR(INDEX(Settings!$G$2:$G$4,MATCH(H214,Settings!$F$2:$F$4,0)),""))</f>
        <v/>
      </c>
      <c r="J214" s="40"/>
      <c r="K214" s="50"/>
      <c r="L214" s="17"/>
      <c r="M214" s="40"/>
      <c r="N214" s="40"/>
      <c r="O214" s="45" t="str">
        <f aca="false">IF(N214="","",WORKDAY(N214,Settings!$S$4))</f>
        <v/>
      </c>
      <c r="P214" s="17"/>
      <c r="Q214" s="44" t="str">
        <f aca="true">IF(C214="","",IF(P214="Backed out",IF(S214="Paid","Refunded – closed",IF(R214="","Refund – log reason first","Refund in progress")),IF(K214="","Awaiting payment",IF(N214="",IF(M214="","Schedule free video","Free video in production"),IF(P214="Approved","Active",IF(TODAY()&gt;O214,"Active – plan went ahead","Decision pending – "&amp;NETWORKDAYS(TODAY(),O214)&amp;" working day(s) left"))))))</f>
        <v/>
      </c>
      <c r="R214" s="17"/>
      <c r="S214" s="17"/>
      <c r="T214" s="50"/>
      <c r="U214" s="40"/>
      <c r="V214" s="40"/>
      <c r="W214" s="45" t="str">
        <f aca="false">IF(V214="","",EDATE(V214,Settings!$S$6))</f>
        <v/>
      </c>
      <c r="X214" s="17"/>
      <c r="Y214" s="17"/>
      <c r="Z214" s="17"/>
    </row>
    <row r="215" customFormat="false" ht="15" hidden="false" customHeight="false" outlineLevel="0" collapsed="false">
      <c r="A215" s="17"/>
      <c r="B215" s="17"/>
      <c r="C215" s="17"/>
      <c r="D215" s="17"/>
      <c r="E215" s="42"/>
      <c r="F215" s="17"/>
      <c r="G215" s="17"/>
      <c r="H215" s="17"/>
      <c r="I215" s="49" t="str">
        <f aca="false">IF(H215="","",IFERROR(INDEX(Settings!$G$2:$G$4,MATCH(H215,Settings!$F$2:$F$4,0)),""))</f>
        <v/>
      </c>
      <c r="J215" s="40"/>
      <c r="K215" s="50"/>
      <c r="L215" s="17"/>
      <c r="M215" s="40"/>
      <c r="N215" s="40"/>
      <c r="O215" s="45" t="str">
        <f aca="false">IF(N215="","",WORKDAY(N215,Settings!$S$4))</f>
        <v/>
      </c>
      <c r="P215" s="17"/>
      <c r="Q215" s="44" t="str">
        <f aca="true">IF(C215="","",IF(P215="Backed out",IF(S215="Paid","Refunded – closed",IF(R215="","Refund – log reason first","Refund in progress")),IF(K215="","Awaiting payment",IF(N215="",IF(M215="","Schedule free video","Free video in production"),IF(P215="Approved","Active",IF(TODAY()&gt;O215,"Active – plan went ahead","Decision pending – "&amp;NETWORKDAYS(TODAY(),O215)&amp;" working day(s) left"))))))</f>
        <v/>
      </c>
      <c r="R215" s="17"/>
      <c r="S215" s="17"/>
      <c r="T215" s="50"/>
      <c r="U215" s="40"/>
      <c r="V215" s="40"/>
      <c r="W215" s="45" t="str">
        <f aca="false">IF(V215="","",EDATE(V215,Settings!$S$6))</f>
        <v/>
      </c>
      <c r="X215" s="17"/>
      <c r="Y215" s="17"/>
      <c r="Z215" s="17"/>
    </row>
    <row r="216" customFormat="false" ht="15" hidden="false" customHeight="false" outlineLevel="0" collapsed="false">
      <c r="A216" s="17"/>
      <c r="B216" s="17"/>
      <c r="C216" s="17"/>
      <c r="D216" s="17"/>
      <c r="E216" s="42"/>
      <c r="F216" s="17"/>
      <c r="G216" s="17"/>
      <c r="H216" s="17"/>
      <c r="I216" s="49" t="str">
        <f aca="false">IF(H216="","",IFERROR(INDEX(Settings!$G$2:$G$4,MATCH(H216,Settings!$F$2:$F$4,0)),""))</f>
        <v/>
      </c>
      <c r="J216" s="40"/>
      <c r="K216" s="50"/>
      <c r="L216" s="17"/>
      <c r="M216" s="40"/>
      <c r="N216" s="40"/>
      <c r="O216" s="45" t="str">
        <f aca="false">IF(N216="","",WORKDAY(N216,Settings!$S$4))</f>
        <v/>
      </c>
      <c r="P216" s="17"/>
      <c r="Q216" s="44" t="str">
        <f aca="true">IF(C216="","",IF(P216="Backed out",IF(S216="Paid","Refunded – closed",IF(R216="","Refund – log reason first","Refund in progress")),IF(K216="","Awaiting payment",IF(N216="",IF(M216="","Schedule free video","Free video in production"),IF(P216="Approved","Active",IF(TODAY()&gt;O216,"Active – plan went ahead","Decision pending – "&amp;NETWORKDAYS(TODAY(),O216)&amp;" working day(s) left"))))))</f>
        <v/>
      </c>
      <c r="R216" s="17"/>
      <c r="S216" s="17"/>
      <c r="T216" s="50"/>
      <c r="U216" s="40"/>
      <c r="V216" s="40"/>
      <c r="W216" s="45" t="str">
        <f aca="false">IF(V216="","",EDATE(V216,Settings!$S$6))</f>
        <v/>
      </c>
      <c r="X216" s="17"/>
      <c r="Y216" s="17"/>
      <c r="Z216" s="17"/>
    </row>
    <row r="217" customFormat="false" ht="15" hidden="false" customHeight="false" outlineLevel="0" collapsed="false">
      <c r="A217" s="17"/>
      <c r="B217" s="17"/>
      <c r="C217" s="17"/>
      <c r="D217" s="17"/>
      <c r="E217" s="42"/>
      <c r="F217" s="17"/>
      <c r="G217" s="17"/>
      <c r="H217" s="17"/>
      <c r="I217" s="49" t="str">
        <f aca="false">IF(H217="","",IFERROR(INDEX(Settings!$G$2:$G$4,MATCH(H217,Settings!$F$2:$F$4,0)),""))</f>
        <v/>
      </c>
      <c r="J217" s="40"/>
      <c r="K217" s="50"/>
      <c r="L217" s="17"/>
      <c r="M217" s="40"/>
      <c r="N217" s="40"/>
      <c r="O217" s="45" t="str">
        <f aca="false">IF(N217="","",WORKDAY(N217,Settings!$S$4))</f>
        <v/>
      </c>
      <c r="P217" s="17"/>
      <c r="Q217" s="44" t="str">
        <f aca="true">IF(C217="","",IF(P217="Backed out",IF(S217="Paid","Refunded – closed",IF(R217="","Refund – log reason first","Refund in progress")),IF(K217="","Awaiting payment",IF(N217="",IF(M217="","Schedule free video","Free video in production"),IF(P217="Approved","Active",IF(TODAY()&gt;O217,"Active – plan went ahead","Decision pending – "&amp;NETWORKDAYS(TODAY(),O217)&amp;" working day(s) left"))))))</f>
        <v/>
      </c>
      <c r="R217" s="17"/>
      <c r="S217" s="17"/>
      <c r="T217" s="50"/>
      <c r="U217" s="40"/>
      <c r="V217" s="40"/>
      <c r="W217" s="45" t="str">
        <f aca="false">IF(V217="","",EDATE(V217,Settings!$S$6))</f>
        <v/>
      </c>
      <c r="X217" s="17"/>
      <c r="Y217" s="17"/>
      <c r="Z217" s="17"/>
    </row>
    <row r="218" customFormat="false" ht="15" hidden="false" customHeight="false" outlineLevel="0" collapsed="false">
      <c r="A218" s="17"/>
      <c r="B218" s="17"/>
      <c r="C218" s="17"/>
      <c r="D218" s="17"/>
      <c r="E218" s="42"/>
      <c r="F218" s="17"/>
      <c r="G218" s="17"/>
      <c r="H218" s="17"/>
      <c r="I218" s="49" t="str">
        <f aca="false">IF(H218="","",IFERROR(INDEX(Settings!$G$2:$G$4,MATCH(H218,Settings!$F$2:$F$4,0)),""))</f>
        <v/>
      </c>
      <c r="J218" s="40"/>
      <c r="K218" s="50"/>
      <c r="L218" s="17"/>
      <c r="M218" s="40"/>
      <c r="N218" s="40"/>
      <c r="O218" s="45" t="str">
        <f aca="false">IF(N218="","",WORKDAY(N218,Settings!$S$4))</f>
        <v/>
      </c>
      <c r="P218" s="17"/>
      <c r="Q218" s="44" t="str">
        <f aca="true">IF(C218="","",IF(P218="Backed out",IF(S218="Paid","Refunded – closed",IF(R218="","Refund – log reason first","Refund in progress")),IF(K218="","Awaiting payment",IF(N218="",IF(M218="","Schedule free video","Free video in production"),IF(P218="Approved","Active",IF(TODAY()&gt;O218,"Active – plan went ahead","Decision pending – "&amp;NETWORKDAYS(TODAY(),O218)&amp;" working day(s) left"))))))</f>
        <v/>
      </c>
      <c r="R218" s="17"/>
      <c r="S218" s="17"/>
      <c r="T218" s="50"/>
      <c r="U218" s="40"/>
      <c r="V218" s="40"/>
      <c r="W218" s="45" t="str">
        <f aca="false">IF(V218="","",EDATE(V218,Settings!$S$6))</f>
        <v/>
      </c>
      <c r="X218" s="17"/>
      <c r="Y218" s="17"/>
      <c r="Z218" s="17"/>
    </row>
    <row r="219" customFormat="false" ht="15" hidden="false" customHeight="false" outlineLevel="0" collapsed="false">
      <c r="A219" s="17"/>
      <c r="B219" s="17"/>
      <c r="C219" s="17"/>
      <c r="D219" s="17"/>
      <c r="E219" s="42"/>
      <c r="F219" s="17"/>
      <c r="G219" s="17"/>
      <c r="H219" s="17"/>
      <c r="I219" s="49" t="str">
        <f aca="false">IF(H219="","",IFERROR(INDEX(Settings!$G$2:$G$4,MATCH(H219,Settings!$F$2:$F$4,0)),""))</f>
        <v/>
      </c>
      <c r="J219" s="40"/>
      <c r="K219" s="50"/>
      <c r="L219" s="17"/>
      <c r="M219" s="40"/>
      <c r="N219" s="40"/>
      <c r="O219" s="45" t="str">
        <f aca="false">IF(N219="","",WORKDAY(N219,Settings!$S$4))</f>
        <v/>
      </c>
      <c r="P219" s="17"/>
      <c r="Q219" s="44" t="str">
        <f aca="true">IF(C219="","",IF(P219="Backed out",IF(S219="Paid","Refunded – closed",IF(R219="","Refund – log reason first","Refund in progress")),IF(K219="","Awaiting payment",IF(N219="",IF(M219="","Schedule free video","Free video in production"),IF(P219="Approved","Active",IF(TODAY()&gt;O219,"Active – plan went ahead","Decision pending – "&amp;NETWORKDAYS(TODAY(),O219)&amp;" working day(s) left"))))))</f>
        <v/>
      </c>
      <c r="R219" s="17"/>
      <c r="S219" s="17"/>
      <c r="T219" s="50"/>
      <c r="U219" s="40"/>
      <c r="V219" s="40"/>
      <c r="W219" s="45" t="str">
        <f aca="false">IF(V219="","",EDATE(V219,Settings!$S$6))</f>
        <v/>
      </c>
      <c r="X219" s="17"/>
      <c r="Y219" s="17"/>
      <c r="Z219" s="17"/>
    </row>
    <row r="220" customFormat="false" ht="15" hidden="false" customHeight="false" outlineLevel="0" collapsed="false">
      <c r="A220" s="17"/>
      <c r="B220" s="17"/>
      <c r="C220" s="17"/>
      <c r="D220" s="17"/>
      <c r="E220" s="42"/>
      <c r="F220" s="17"/>
      <c r="G220" s="17"/>
      <c r="H220" s="17"/>
      <c r="I220" s="49" t="str">
        <f aca="false">IF(H220="","",IFERROR(INDEX(Settings!$G$2:$G$4,MATCH(H220,Settings!$F$2:$F$4,0)),""))</f>
        <v/>
      </c>
      <c r="J220" s="40"/>
      <c r="K220" s="50"/>
      <c r="L220" s="17"/>
      <c r="M220" s="40"/>
      <c r="N220" s="40"/>
      <c r="O220" s="45" t="str">
        <f aca="false">IF(N220="","",WORKDAY(N220,Settings!$S$4))</f>
        <v/>
      </c>
      <c r="P220" s="17"/>
      <c r="Q220" s="44" t="str">
        <f aca="true">IF(C220="","",IF(P220="Backed out",IF(S220="Paid","Refunded – closed",IF(R220="","Refund – log reason first","Refund in progress")),IF(K220="","Awaiting payment",IF(N220="",IF(M220="","Schedule free video","Free video in production"),IF(P220="Approved","Active",IF(TODAY()&gt;O220,"Active – plan went ahead","Decision pending – "&amp;NETWORKDAYS(TODAY(),O220)&amp;" working day(s) left"))))))</f>
        <v/>
      </c>
      <c r="R220" s="17"/>
      <c r="S220" s="17"/>
      <c r="T220" s="50"/>
      <c r="U220" s="40"/>
      <c r="V220" s="40"/>
      <c r="W220" s="45" t="str">
        <f aca="false">IF(V220="","",EDATE(V220,Settings!$S$6))</f>
        <v/>
      </c>
      <c r="X220" s="17"/>
      <c r="Y220" s="17"/>
      <c r="Z220" s="17"/>
    </row>
    <row r="221" customFormat="false" ht="15" hidden="false" customHeight="false" outlineLevel="0" collapsed="false">
      <c r="A221" s="17"/>
      <c r="B221" s="17"/>
      <c r="C221" s="17"/>
      <c r="D221" s="17"/>
      <c r="E221" s="42"/>
      <c r="F221" s="17"/>
      <c r="G221" s="17"/>
      <c r="H221" s="17"/>
      <c r="I221" s="49" t="str">
        <f aca="false">IF(H221="","",IFERROR(INDEX(Settings!$G$2:$G$4,MATCH(H221,Settings!$F$2:$F$4,0)),""))</f>
        <v/>
      </c>
      <c r="J221" s="40"/>
      <c r="K221" s="50"/>
      <c r="L221" s="17"/>
      <c r="M221" s="40"/>
      <c r="N221" s="40"/>
      <c r="O221" s="45" t="str">
        <f aca="false">IF(N221="","",WORKDAY(N221,Settings!$S$4))</f>
        <v/>
      </c>
      <c r="P221" s="17"/>
      <c r="Q221" s="44" t="str">
        <f aca="true">IF(C221="","",IF(P221="Backed out",IF(S221="Paid","Refunded – closed",IF(R221="","Refund – log reason first","Refund in progress")),IF(K221="","Awaiting payment",IF(N221="",IF(M221="","Schedule free video","Free video in production"),IF(P221="Approved","Active",IF(TODAY()&gt;O221,"Active – plan went ahead","Decision pending – "&amp;NETWORKDAYS(TODAY(),O221)&amp;" working day(s) left"))))))</f>
        <v/>
      </c>
      <c r="R221" s="17"/>
      <c r="S221" s="17"/>
      <c r="T221" s="50"/>
      <c r="U221" s="40"/>
      <c r="V221" s="40"/>
      <c r="W221" s="45" t="str">
        <f aca="false">IF(V221="","",EDATE(V221,Settings!$S$6))</f>
        <v/>
      </c>
      <c r="X221" s="17"/>
      <c r="Y221" s="17"/>
      <c r="Z221" s="17"/>
    </row>
    <row r="222" customFormat="false" ht="15" hidden="false" customHeight="false" outlineLevel="0" collapsed="false">
      <c r="A222" s="17"/>
      <c r="B222" s="17"/>
      <c r="C222" s="17"/>
      <c r="D222" s="17"/>
      <c r="E222" s="42"/>
      <c r="F222" s="17"/>
      <c r="G222" s="17"/>
      <c r="H222" s="17"/>
      <c r="I222" s="49" t="str">
        <f aca="false">IF(H222="","",IFERROR(INDEX(Settings!$G$2:$G$4,MATCH(H222,Settings!$F$2:$F$4,0)),""))</f>
        <v/>
      </c>
      <c r="J222" s="40"/>
      <c r="K222" s="50"/>
      <c r="L222" s="17"/>
      <c r="M222" s="40"/>
      <c r="N222" s="40"/>
      <c r="O222" s="45" t="str">
        <f aca="false">IF(N222="","",WORKDAY(N222,Settings!$S$4))</f>
        <v/>
      </c>
      <c r="P222" s="17"/>
      <c r="Q222" s="44" t="str">
        <f aca="true">IF(C222="","",IF(P222="Backed out",IF(S222="Paid","Refunded – closed",IF(R222="","Refund – log reason first","Refund in progress")),IF(K222="","Awaiting payment",IF(N222="",IF(M222="","Schedule free video","Free video in production"),IF(P222="Approved","Active",IF(TODAY()&gt;O222,"Active – plan went ahead","Decision pending – "&amp;NETWORKDAYS(TODAY(),O222)&amp;" working day(s) left"))))))</f>
        <v/>
      </c>
      <c r="R222" s="17"/>
      <c r="S222" s="17"/>
      <c r="T222" s="50"/>
      <c r="U222" s="40"/>
      <c r="V222" s="40"/>
      <c r="W222" s="45" t="str">
        <f aca="false">IF(V222="","",EDATE(V222,Settings!$S$6))</f>
        <v/>
      </c>
      <c r="X222" s="17"/>
      <c r="Y222" s="17"/>
      <c r="Z222" s="17"/>
    </row>
    <row r="223" customFormat="false" ht="15" hidden="false" customHeight="false" outlineLevel="0" collapsed="false">
      <c r="A223" s="17"/>
      <c r="B223" s="17"/>
      <c r="C223" s="17"/>
      <c r="D223" s="17"/>
      <c r="E223" s="42"/>
      <c r="F223" s="17"/>
      <c r="G223" s="17"/>
      <c r="H223" s="17"/>
      <c r="I223" s="49" t="str">
        <f aca="false">IF(H223="","",IFERROR(INDEX(Settings!$G$2:$G$4,MATCH(H223,Settings!$F$2:$F$4,0)),""))</f>
        <v/>
      </c>
      <c r="J223" s="40"/>
      <c r="K223" s="50"/>
      <c r="L223" s="17"/>
      <c r="M223" s="40"/>
      <c r="N223" s="40"/>
      <c r="O223" s="45" t="str">
        <f aca="false">IF(N223="","",WORKDAY(N223,Settings!$S$4))</f>
        <v/>
      </c>
      <c r="P223" s="17"/>
      <c r="Q223" s="44" t="str">
        <f aca="true">IF(C223="","",IF(P223="Backed out",IF(S223="Paid","Refunded – closed",IF(R223="","Refund – log reason first","Refund in progress")),IF(K223="","Awaiting payment",IF(N223="",IF(M223="","Schedule free video","Free video in production"),IF(P223="Approved","Active",IF(TODAY()&gt;O223,"Active – plan went ahead","Decision pending – "&amp;NETWORKDAYS(TODAY(),O223)&amp;" working day(s) left"))))))</f>
        <v/>
      </c>
      <c r="R223" s="17"/>
      <c r="S223" s="17"/>
      <c r="T223" s="50"/>
      <c r="U223" s="40"/>
      <c r="V223" s="40"/>
      <c r="W223" s="45" t="str">
        <f aca="false">IF(V223="","",EDATE(V223,Settings!$S$6))</f>
        <v/>
      </c>
      <c r="X223" s="17"/>
      <c r="Y223" s="17"/>
      <c r="Z223" s="17"/>
    </row>
    <row r="224" customFormat="false" ht="15" hidden="false" customHeight="false" outlineLevel="0" collapsed="false">
      <c r="A224" s="17"/>
      <c r="B224" s="17"/>
      <c r="C224" s="17"/>
      <c r="D224" s="17"/>
      <c r="E224" s="42"/>
      <c r="F224" s="17"/>
      <c r="G224" s="17"/>
      <c r="H224" s="17"/>
      <c r="I224" s="49" t="str">
        <f aca="false">IF(H224="","",IFERROR(INDEX(Settings!$G$2:$G$4,MATCH(H224,Settings!$F$2:$F$4,0)),""))</f>
        <v/>
      </c>
      <c r="J224" s="40"/>
      <c r="K224" s="50"/>
      <c r="L224" s="17"/>
      <c r="M224" s="40"/>
      <c r="N224" s="40"/>
      <c r="O224" s="45" t="str">
        <f aca="false">IF(N224="","",WORKDAY(N224,Settings!$S$4))</f>
        <v/>
      </c>
      <c r="P224" s="17"/>
      <c r="Q224" s="44" t="str">
        <f aca="true">IF(C224="","",IF(P224="Backed out",IF(S224="Paid","Refunded – closed",IF(R224="","Refund – log reason first","Refund in progress")),IF(K224="","Awaiting payment",IF(N224="",IF(M224="","Schedule free video","Free video in production"),IF(P224="Approved","Active",IF(TODAY()&gt;O224,"Active – plan went ahead","Decision pending – "&amp;NETWORKDAYS(TODAY(),O224)&amp;" working day(s) left"))))))</f>
        <v/>
      </c>
      <c r="R224" s="17"/>
      <c r="S224" s="17"/>
      <c r="T224" s="50"/>
      <c r="U224" s="40"/>
      <c r="V224" s="40"/>
      <c r="W224" s="45" t="str">
        <f aca="false">IF(V224="","",EDATE(V224,Settings!$S$6))</f>
        <v/>
      </c>
      <c r="X224" s="17"/>
      <c r="Y224" s="17"/>
      <c r="Z224" s="17"/>
    </row>
    <row r="225" customFormat="false" ht="15" hidden="false" customHeight="false" outlineLevel="0" collapsed="false">
      <c r="A225" s="17"/>
      <c r="B225" s="17"/>
      <c r="C225" s="17"/>
      <c r="D225" s="17"/>
      <c r="E225" s="42"/>
      <c r="F225" s="17"/>
      <c r="G225" s="17"/>
      <c r="H225" s="17"/>
      <c r="I225" s="49" t="str">
        <f aca="false">IF(H225="","",IFERROR(INDEX(Settings!$G$2:$G$4,MATCH(H225,Settings!$F$2:$F$4,0)),""))</f>
        <v/>
      </c>
      <c r="J225" s="40"/>
      <c r="K225" s="50"/>
      <c r="L225" s="17"/>
      <c r="M225" s="40"/>
      <c r="N225" s="40"/>
      <c r="O225" s="45" t="str">
        <f aca="false">IF(N225="","",WORKDAY(N225,Settings!$S$4))</f>
        <v/>
      </c>
      <c r="P225" s="17"/>
      <c r="Q225" s="44" t="str">
        <f aca="true">IF(C225="","",IF(P225="Backed out",IF(S225="Paid","Refunded – closed",IF(R225="","Refund – log reason first","Refund in progress")),IF(K225="","Awaiting payment",IF(N225="",IF(M225="","Schedule free video","Free video in production"),IF(P225="Approved","Active",IF(TODAY()&gt;O225,"Active – plan went ahead","Decision pending – "&amp;NETWORKDAYS(TODAY(),O225)&amp;" working day(s) left"))))))</f>
        <v/>
      </c>
      <c r="R225" s="17"/>
      <c r="S225" s="17"/>
      <c r="T225" s="50"/>
      <c r="U225" s="40"/>
      <c r="V225" s="40"/>
      <c r="W225" s="45" t="str">
        <f aca="false">IF(V225="","",EDATE(V225,Settings!$S$6))</f>
        <v/>
      </c>
      <c r="X225" s="17"/>
      <c r="Y225" s="17"/>
      <c r="Z225" s="17"/>
    </row>
    <row r="226" customFormat="false" ht="15" hidden="false" customHeight="false" outlineLevel="0" collapsed="false">
      <c r="A226" s="17"/>
      <c r="B226" s="17"/>
      <c r="C226" s="17"/>
      <c r="D226" s="17"/>
      <c r="E226" s="42"/>
      <c r="F226" s="17"/>
      <c r="G226" s="17"/>
      <c r="H226" s="17"/>
      <c r="I226" s="49" t="str">
        <f aca="false">IF(H226="","",IFERROR(INDEX(Settings!$G$2:$G$4,MATCH(H226,Settings!$F$2:$F$4,0)),""))</f>
        <v/>
      </c>
      <c r="J226" s="40"/>
      <c r="K226" s="50"/>
      <c r="L226" s="17"/>
      <c r="M226" s="40"/>
      <c r="N226" s="40"/>
      <c r="O226" s="45" t="str">
        <f aca="false">IF(N226="","",WORKDAY(N226,Settings!$S$4))</f>
        <v/>
      </c>
      <c r="P226" s="17"/>
      <c r="Q226" s="44" t="str">
        <f aca="true">IF(C226="","",IF(P226="Backed out",IF(S226="Paid","Refunded – closed",IF(R226="","Refund – log reason first","Refund in progress")),IF(K226="","Awaiting payment",IF(N226="",IF(M226="","Schedule free video","Free video in production"),IF(P226="Approved","Active",IF(TODAY()&gt;O226,"Active – plan went ahead","Decision pending – "&amp;NETWORKDAYS(TODAY(),O226)&amp;" working day(s) left"))))))</f>
        <v/>
      </c>
      <c r="R226" s="17"/>
      <c r="S226" s="17"/>
      <c r="T226" s="50"/>
      <c r="U226" s="40"/>
      <c r="V226" s="40"/>
      <c r="W226" s="45" t="str">
        <f aca="false">IF(V226="","",EDATE(V226,Settings!$S$6))</f>
        <v/>
      </c>
      <c r="X226" s="17"/>
      <c r="Y226" s="17"/>
      <c r="Z226" s="17"/>
    </row>
    <row r="227" customFormat="false" ht="15" hidden="false" customHeight="false" outlineLevel="0" collapsed="false">
      <c r="A227" s="17"/>
      <c r="B227" s="17"/>
      <c r="C227" s="17"/>
      <c r="D227" s="17"/>
      <c r="E227" s="42"/>
      <c r="F227" s="17"/>
      <c r="G227" s="17"/>
      <c r="H227" s="17"/>
      <c r="I227" s="49" t="str">
        <f aca="false">IF(H227="","",IFERROR(INDEX(Settings!$G$2:$G$4,MATCH(H227,Settings!$F$2:$F$4,0)),""))</f>
        <v/>
      </c>
      <c r="J227" s="40"/>
      <c r="K227" s="50"/>
      <c r="L227" s="17"/>
      <c r="M227" s="40"/>
      <c r="N227" s="40"/>
      <c r="O227" s="45" t="str">
        <f aca="false">IF(N227="","",WORKDAY(N227,Settings!$S$4))</f>
        <v/>
      </c>
      <c r="P227" s="17"/>
      <c r="Q227" s="44" t="str">
        <f aca="true">IF(C227="","",IF(P227="Backed out",IF(S227="Paid","Refunded – closed",IF(R227="","Refund – log reason first","Refund in progress")),IF(K227="","Awaiting payment",IF(N227="",IF(M227="","Schedule free video","Free video in production"),IF(P227="Approved","Active",IF(TODAY()&gt;O227,"Active – plan went ahead","Decision pending – "&amp;NETWORKDAYS(TODAY(),O227)&amp;" working day(s) left"))))))</f>
        <v/>
      </c>
      <c r="R227" s="17"/>
      <c r="S227" s="17"/>
      <c r="T227" s="50"/>
      <c r="U227" s="40"/>
      <c r="V227" s="40"/>
      <c r="W227" s="45" t="str">
        <f aca="false">IF(V227="","",EDATE(V227,Settings!$S$6))</f>
        <v/>
      </c>
      <c r="X227" s="17"/>
      <c r="Y227" s="17"/>
      <c r="Z227" s="17"/>
    </row>
    <row r="228" customFormat="false" ht="15" hidden="false" customHeight="false" outlineLevel="0" collapsed="false">
      <c r="A228" s="17"/>
      <c r="B228" s="17"/>
      <c r="C228" s="17"/>
      <c r="D228" s="17"/>
      <c r="E228" s="42"/>
      <c r="F228" s="17"/>
      <c r="G228" s="17"/>
      <c r="H228" s="17"/>
      <c r="I228" s="49" t="str">
        <f aca="false">IF(H228="","",IFERROR(INDEX(Settings!$G$2:$G$4,MATCH(H228,Settings!$F$2:$F$4,0)),""))</f>
        <v/>
      </c>
      <c r="J228" s="40"/>
      <c r="K228" s="50"/>
      <c r="L228" s="17"/>
      <c r="M228" s="40"/>
      <c r="N228" s="40"/>
      <c r="O228" s="45" t="str">
        <f aca="false">IF(N228="","",WORKDAY(N228,Settings!$S$4))</f>
        <v/>
      </c>
      <c r="P228" s="17"/>
      <c r="Q228" s="44" t="str">
        <f aca="true">IF(C228="","",IF(P228="Backed out",IF(S228="Paid","Refunded – closed",IF(R228="","Refund – log reason first","Refund in progress")),IF(K228="","Awaiting payment",IF(N228="",IF(M228="","Schedule free video","Free video in production"),IF(P228="Approved","Active",IF(TODAY()&gt;O228,"Active – plan went ahead","Decision pending – "&amp;NETWORKDAYS(TODAY(),O228)&amp;" working day(s) left"))))))</f>
        <v/>
      </c>
      <c r="R228" s="17"/>
      <c r="S228" s="17"/>
      <c r="T228" s="50"/>
      <c r="U228" s="40"/>
      <c r="V228" s="40"/>
      <c r="W228" s="45" t="str">
        <f aca="false">IF(V228="","",EDATE(V228,Settings!$S$6))</f>
        <v/>
      </c>
      <c r="X228" s="17"/>
      <c r="Y228" s="17"/>
      <c r="Z228" s="17"/>
    </row>
    <row r="229" customFormat="false" ht="15" hidden="false" customHeight="false" outlineLevel="0" collapsed="false">
      <c r="A229" s="17"/>
      <c r="B229" s="17"/>
      <c r="C229" s="17"/>
      <c r="D229" s="17"/>
      <c r="E229" s="42"/>
      <c r="F229" s="17"/>
      <c r="G229" s="17"/>
      <c r="H229" s="17"/>
      <c r="I229" s="49" t="str">
        <f aca="false">IF(H229="","",IFERROR(INDEX(Settings!$G$2:$G$4,MATCH(H229,Settings!$F$2:$F$4,0)),""))</f>
        <v/>
      </c>
      <c r="J229" s="40"/>
      <c r="K229" s="50"/>
      <c r="L229" s="17"/>
      <c r="M229" s="40"/>
      <c r="N229" s="40"/>
      <c r="O229" s="45" t="str">
        <f aca="false">IF(N229="","",WORKDAY(N229,Settings!$S$4))</f>
        <v/>
      </c>
      <c r="P229" s="17"/>
      <c r="Q229" s="44" t="str">
        <f aca="true">IF(C229="","",IF(P229="Backed out",IF(S229="Paid","Refunded – closed",IF(R229="","Refund – log reason first","Refund in progress")),IF(K229="","Awaiting payment",IF(N229="",IF(M229="","Schedule free video","Free video in production"),IF(P229="Approved","Active",IF(TODAY()&gt;O229,"Active – plan went ahead","Decision pending – "&amp;NETWORKDAYS(TODAY(),O229)&amp;" working day(s) left"))))))</f>
        <v/>
      </c>
      <c r="R229" s="17"/>
      <c r="S229" s="17"/>
      <c r="T229" s="50"/>
      <c r="U229" s="40"/>
      <c r="V229" s="40"/>
      <c r="W229" s="45" t="str">
        <f aca="false">IF(V229="","",EDATE(V229,Settings!$S$6))</f>
        <v/>
      </c>
      <c r="X229" s="17"/>
      <c r="Y229" s="17"/>
      <c r="Z229" s="17"/>
    </row>
    <row r="230" customFormat="false" ht="15" hidden="false" customHeight="false" outlineLevel="0" collapsed="false">
      <c r="A230" s="17"/>
      <c r="B230" s="17"/>
      <c r="C230" s="17"/>
      <c r="D230" s="17"/>
      <c r="E230" s="42"/>
      <c r="F230" s="17"/>
      <c r="G230" s="17"/>
      <c r="H230" s="17"/>
      <c r="I230" s="49" t="str">
        <f aca="false">IF(H230="","",IFERROR(INDEX(Settings!$G$2:$G$4,MATCH(H230,Settings!$F$2:$F$4,0)),""))</f>
        <v/>
      </c>
      <c r="J230" s="40"/>
      <c r="K230" s="50"/>
      <c r="L230" s="17"/>
      <c r="M230" s="40"/>
      <c r="N230" s="40"/>
      <c r="O230" s="45" t="str">
        <f aca="false">IF(N230="","",WORKDAY(N230,Settings!$S$4))</f>
        <v/>
      </c>
      <c r="P230" s="17"/>
      <c r="Q230" s="44" t="str">
        <f aca="true">IF(C230="","",IF(P230="Backed out",IF(S230="Paid","Refunded – closed",IF(R230="","Refund – log reason first","Refund in progress")),IF(K230="","Awaiting payment",IF(N230="",IF(M230="","Schedule free video","Free video in production"),IF(P230="Approved","Active",IF(TODAY()&gt;O230,"Active – plan went ahead","Decision pending – "&amp;NETWORKDAYS(TODAY(),O230)&amp;" working day(s) left"))))))</f>
        <v/>
      </c>
      <c r="R230" s="17"/>
      <c r="S230" s="17"/>
      <c r="T230" s="50"/>
      <c r="U230" s="40"/>
      <c r="V230" s="40"/>
      <c r="W230" s="45" t="str">
        <f aca="false">IF(V230="","",EDATE(V230,Settings!$S$6))</f>
        <v/>
      </c>
      <c r="X230" s="17"/>
      <c r="Y230" s="17"/>
      <c r="Z230" s="17"/>
    </row>
    <row r="231" customFormat="false" ht="15" hidden="false" customHeight="false" outlineLevel="0" collapsed="false">
      <c r="A231" s="17"/>
      <c r="B231" s="17"/>
      <c r="C231" s="17"/>
      <c r="D231" s="17"/>
      <c r="E231" s="42"/>
      <c r="F231" s="17"/>
      <c r="G231" s="17"/>
      <c r="H231" s="17"/>
      <c r="I231" s="49" t="str">
        <f aca="false">IF(H231="","",IFERROR(INDEX(Settings!$G$2:$G$4,MATCH(H231,Settings!$F$2:$F$4,0)),""))</f>
        <v/>
      </c>
      <c r="J231" s="40"/>
      <c r="K231" s="50"/>
      <c r="L231" s="17"/>
      <c r="M231" s="40"/>
      <c r="N231" s="40"/>
      <c r="O231" s="45" t="str">
        <f aca="false">IF(N231="","",WORKDAY(N231,Settings!$S$4))</f>
        <v/>
      </c>
      <c r="P231" s="17"/>
      <c r="Q231" s="44" t="str">
        <f aca="true">IF(C231="","",IF(P231="Backed out",IF(S231="Paid","Refunded – closed",IF(R231="","Refund – log reason first","Refund in progress")),IF(K231="","Awaiting payment",IF(N231="",IF(M231="","Schedule free video","Free video in production"),IF(P231="Approved","Active",IF(TODAY()&gt;O231,"Active – plan went ahead","Decision pending – "&amp;NETWORKDAYS(TODAY(),O231)&amp;" working day(s) left"))))))</f>
        <v/>
      </c>
      <c r="R231" s="17"/>
      <c r="S231" s="17"/>
      <c r="T231" s="50"/>
      <c r="U231" s="40"/>
      <c r="V231" s="40"/>
      <c r="W231" s="45" t="str">
        <f aca="false">IF(V231="","",EDATE(V231,Settings!$S$6))</f>
        <v/>
      </c>
      <c r="X231" s="17"/>
      <c r="Y231" s="17"/>
      <c r="Z231" s="17"/>
    </row>
    <row r="232" customFormat="false" ht="15" hidden="false" customHeight="false" outlineLevel="0" collapsed="false">
      <c r="A232" s="17"/>
      <c r="B232" s="17"/>
      <c r="C232" s="17"/>
      <c r="D232" s="17"/>
      <c r="E232" s="42"/>
      <c r="F232" s="17"/>
      <c r="G232" s="17"/>
      <c r="H232" s="17"/>
      <c r="I232" s="49" t="str">
        <f aca="false">IF(H232="","",IFERROR(INDEX(Settings!$G$2:$G$4,MATCH(H232,Settings!$F$2:$F$4,0)),""))</f>
        <v/>
      </c>
      <c r="J232" s="40"/>
      <c r="K232" s="50"/>
      <c r="L232" s="17"/>
      <c r="M232" s="40"/>
      <c r="N232" s="40"/>
      <c r="O232" s="45" t="str">
        <f aca="false">IF(N232="","",WORKDAY(N232,Settings!$S$4))</f>
        <v/>
      </c>
      <c r="P232" s="17"/>
      <c r="Q232" s="44" t="str">
        <f aca="true">IF(C232="","",IF(P232="Backed out",IF(S232="Paid","Refunded – closed",IF(R232="","Refund – log reason first","Refund in progress")),IF(K232="","Awaiting payment",IF(N232="",IF(M232="","Schedule free video","Free video in production"),IF(P232="Approved","Active",IF(TODAY()&gt;O232,"Active – plan went ahead","Decision pending – "&amp;NETWORKDAYS(TODAY(),O232)&amp;" working day(s) left"))))))</f>
        <v/>
      </c>
      <c r="R232" s="17"/>
      <c r="S232" s="17"/>
      <c r="T232" s="50"/>
      <c r="U232" s="40"/>
      <c r="V232" s="40"/>
      <c r="W232" s="45" t="str">
        <f aca="false">IF(V232="","",EDATE(V232,Settings!$S$6))</f>
        <v/>
      </c>
      <c r="X232" s="17"/>
      <c r="Y232" s="17"/>
      <c r="Z232" s="17"/>
    </row>
    <row r="233" customFormat="false" ht="15" hidden="false" customHeight="false" outlineLevel="0" collapsed="false">
      <c r="A233" s="17"/>
      <c r="B233" s="17"/>
      <c r="C233" s="17"/>
      <c r="D233" s="17"/>
      <c r="E233" s="42"/>
      <c r="F233" s="17"/>
      <c r="G233" s="17"/>
      <c r="H233" s="17"/>
      <c r="I233" s="49" t="str">
        <f aca="false">IF(H233="","",IFERROR(INDEX(Settings!$G$2:$G$4,MATCH(H233,Settings!$F$2:$F$4,0)),""))</f>
        <v/>
      </c>
      <c r="J233" s="40"/>
      <c r="K233" s="50"/>
      <c r="L233" s="17"/>
      <c r="M233" s="40"/>
      <c r="N233" s="40"/>
      <c r="O233" s="45" t="str">
        <f aca="false">IF(N233="","",WORKDAY(N233,Settings!$S$4))</f>
        <v/>
      </c>
      <c r="P233" s="17"/>
      <c r="Q233" s="44" t="str">
        <f aca="true">IF(C233="","",IF(P233="Backed out",IF(S233="Paid","Refunded – closed",IF(R233="","Refund – log reason first","Refund in progress")),IF(K233="","Awaiting payment",IF(N233="",IF(M233="","Schedule free video","Free video in production"),IF(P233="Approved","Active",IF(TODAY()&gt;O233,"Active – plan went ahead","Decision pending – "&amp;NETWORKDAYS(TODAY(),O233)&amp;" working day(s) left"))))))</f>
        <v/>
      </c>
      <c r="R233" s="17"/>
      <c r="S233" s="17"/>
      <c r="T233" s="50"/>
      <c r="U233" s="40"/>
      <c r="V233" s="40"/>
      <c r="W233" s="45" t="str">
        <f aca="false">IF(V233="","",EDATE(V233,Settings!$S$6))</f>
        <v/>
      </c>
      <c r="X233" s="17"/>
      <c r="Y233" s="17"/>
      <c r="Z233" s="17"/>
    </row>
    <row r="234" customFormat="false" ht="15" hidden="false" customHeight="false" outlineLevel="0" collapsed="false">
      <c r="A234" s="17"/>
      <c r="B234" s="17"/>
      <c r="C234" s="17"/>
      <c r="D234" s="17"/>
      <c r="E234" s="42"/>
      <c r="F234" s="17"/>
      <c r="G234" s="17"/>
      <c r="H234" s="17"/>
      <c r="I234" s="49" t="str">
        <f aca="false">IF(H234="","",IFERROR(INDEX(Settings!$G$2:$G$4,MATCH(H234,Settings!$F$2:$F$4,0)),""))</f>
        <v/>
      </c>
      <c r="J234" s="40"/>
      <c r="K234" s="50"/>
      <c r="L234" s="17"/>
      <c r="M234" s="40"/>
      <c r="N234" s="40"/>
      <c r="O234" s="45" t="str">
        <f aca="false">IF(N234="","",WORKDAY(N234,Settings!$S$4))</f>
        <v/>
      </c>
      <c r="P234" s="17"/>
      <c r="Q234" s="44" t="str">
        <f aca="true">IF(C234="","",IF(P234="Backed out",IF(S234="Paid","Refunded – closed",IF(R234="","Refund – log reason first","Refund in progress")),IF(K234="","Awaiting payment",IF(N234="",IF(M234="","Schedule free video","Free video in production"),IF(P234="Approved","Active",IF(TODAY()&gt;O234,"Active – plan went ahead","Decision pending – "&amp;NETWORKDAYS(TODAY(),O234)&amp;" working day(s) left"))))))</f>
        <v/>
      </c>
      <c r="R234" s="17"/>
      <c r="S234" s="17"/>
      <c r="T234" s="50"/>
      <c r="U234" s="40"/>
      <c r="V234" s="40"/>
      <c r="W234" s="45" t="str">
        <f aca="false">IF(V234="","",EDATE(V234,Settings!$S$6))</f>
        <v/>
      </c>
      <c r="X234" s="17"/>
      <c r="Y234" s="17"/>
      <c r="Z234" s="17"/>
    </row>
    <row r="235" customFormat="false" ht="15" hidden="false" customHeight="false" outlineLevel="0" collapsed="false">
      <c r="A235" s="17"/>
      <c r="B235" s="17"/>
      <c r="C235" s="17"/>
      <c r="D235" s="17"/>
      <c r="E235" s="42"/>
      <c r="F235" s="17"/>
      <c r="G235" s="17"/>
      <c r="H235" s="17"/>
      <c r="I235" s="49" t="str">
        <f aca="false">IF(H235="","",IFERROR(INDEX(Settings!$G$2:$G$4,MATCH(H235,Settings!$F$2:$F$4,0)),""))</f>
        <v/>
      </c>
      <c r="J235" s="40"/>
      <c r="K235" s="50"/>
      <c r="L235" s="17"/>
      <c r="M235" s="40"/>
      <c r="N235" s="40"/>
      <c r="O235" s="45" t="str">
        <f aca="false">IF(N235="","",WORKDAY(N235,Settings!$S$4))</f>
        <v/>
      </c>
      <c r="P235" s="17"/>
      <c r="Q235" s="44" t="str">
        <f aca="true">IF(C235="","",IF(P235="Backed out",IF(S235="Paid","Refunded – closed",IF(R235="","Refund – log reason first","Refund in progress")),IF(K235="","Awaiting payment",IF(N235="",IF(M235="","Schedule free video","Free video in production"),IF(P235="Approved","Active",IF(TODAY()&gt;O235,"Active – plan went ahead","Decision pending – "&amp;NETWORKDAYS(TODAY(),O235)&amp;" working day(s) left"))))))</f>
        <v/>
      </c>
      <c r="R235" s="17"/>
      <c r="S235" s="17"/>
      <c r="T235" s="50"/>
      <c r="U235" s="40"/>
      <c r="V235" s="40"/>
      <c r="W235" s="45" t="str">
        <f aca="false">IF(V235="","",EDATE(V235,Settings!$S$6))</f>
        <v/>
      </c>
      <c r="X235" s="17"/>
      <c r="Y235" s="17"/>
      <c r="Z235" s="17"/>
    </row>
    <row r="236" customFormat="false" ht="15" hidden="false" customHeight="false" outlineLevel="0" collapsed="false">
      <c r="A236" s="17"/>
      <c r="B236" s="17"/>
      <c r="C236" s="17"/>
      <c r="D236" s="17"/>
      <c r="E236" s="42"/>
      <c r="F236" s="17"/>
      <c r="G236" s="17"/>
      <c r="H236" s="17"/>
      <c r="I236" s="49" t="str">
        <f aca="false">IF(H236="","",IFERROR(INDEX(Settings!$G$2:$G$4,MATCH(H236,Settings!$F$2:$F$4,0)),""))</f>
        <v/>
      </c>
      <c r="J236" s="40"/>
      <c r="K236" s="50"/>
      <c r="L236" s="17"/>
      <c r="M236" s="40"/>
      <c r="N236" s="40"/>
      <c r="O236" s="45" t="str">
        <f aca="false">IF(N236="","",WORKDAY(N236,Settings!$S$4))</f>
        <v/>
      </c>
      <c r="P236" s="17"/>
      <c r="Q236" s="44" t="str">
        <f aca="true">IF(C236="","",IF(P236="Backed out",IF(S236="Paid","Refunded – closed",IF(R236="","Refund – log reason first","Refund in progress")),IF(K236="","Awaiting payment",IF(N236="",IF(M236="","Schedule free video","Free video in production"),IF(P236="Approved","Active",IF(TODAY()&gt;O236,"Active – plan went ahead","Decision pending – "&amp;NETWORKDAYS(TODAY(),O236)&amp;" working day(s) left"))))))</f>
        <v/>
      </c>
      <c r="R236" s="17"/>
      <c r="S236" s="17"/>
      <c r="T236" s="50"/>
      <c r="U236" s="40"/>
      <c r="V236" s="40"/>
      <c r="W236" s="45" t="str">
        <f aca="false">IF(V236="","",EDATE(V236,Settings!$S$6))</f>
        <v/>
      </c>
      <c r="X236" s="17"/>
      <c r="Y236" s="17"/>
      <c r="Z236" s="17"/>
    </row>
    <row r="237" customFormat="false" ht="15" hidden="false" customHeight="false" outlineLevel="0" collapsed="false">
      <c r="A237" s="17"/>
      <c r="B237" s="17"/>
      <c r="C237" s="17"/>
      <c r="D237" s="17"/>
      <c r="E237" s="42"/>
      <c r="F237" s="17"/>
      <c r="G237" s="17"/>
      <c r="H237" s="17"/>
      <c r="I237" s="49" t="str">
        <f aca="false">IF(H237="","",IFERROR(INDEX(Settings!$G$2:$G$4,MATCH(H237,Settings!$F$2:$F$4,0)),""))</f>
        <v/>
      </c>
      <c r="J237" s="40"/>
      <c r="K237" s="50"/>
      <c r="L237" s="17"/>
      <c r="M237" s="40"/>
      <c r="N237" s="40"/>
      <c r="O237" s="45" t="str">
        <f aca="false">IF(N237="","",WORKDAY(N237,Settings!$S$4))</f>
        <v/>
      </c>
      <c r="P237" s="17"/>
      <c r="Q237" s="44" t="str">
        <f aca="true">IF(C237="","",IF(P237="Backed out",IF(S237="Paid","Refunded – closed",IF(R237="","Refund – log reason first","Refund in progress")),IF(K237="","Awaiting payment",IF(N237="",IF(M237="","Schedule free video","Free video in production"),IF(P237="Approved","Active",IF(TODAY()&gt;O237,"Active – plan went ahead","Decision pending – "&amp;NETWORKDAYS(TODAY(),O237)&amp;" working day(s) left"))))))</f>
        <v/>
      </c>
      <c r="R237" s="17"/>
      <c r="S237" s="17"/>
      <c r="T237" s="50"/>
      <c r="U237" s="40"/>
      <c r="V237" s="40"/>
      <c r="W237" s="45" t="str">
        <f aca="false">IF(V237="","",EDATE(V237,Settings!$S$6))</f>
        <v/>
      </c>
      <c r="X237" s="17"/>
      <c r="Y237" s="17"/>
      <c r="Z237" s="17"/>
    </row>
    <row r="238" customFormat="false" ht="15" hidden="false" customHeight="false" outlineLevel="0" collapsed="false">
      <c r="A238" s="17"/>
      <c r="B238" s="17"/>
      <c r="C238" s="17"/>
      <c r="D238" s="17"/>
      <c r="E238" s="42"/>
      <c r="F238" s="17"/>
      <c r="G238" s="17"/>
      <c r="H238" s="17"/>
      <c r="I238" s="49" t="str">
        <f aca="false">IF(H238="","",IFERROR(INDEX(Settings!$G$2:$G$4,MATCH(H238,Settings!$F$2:$F$4,0)),""))</f>
        <v/>
      </c>
      <c r="J238" s="40"/>
      <c r="K238" s="50"/>
      <c r="L238" s="17"/>
      <c r="M238" s="40"/>
      <c r="N238" s="40"/>
      <c r="O238" s="45" t="str">
        <f aca="false">IF(N238="","",WORKDAY(N238,Settings!$S$4))</f>
        <v/>
      </c>
      <c r="P238" s="17"/>
      <c r="Q238" s="44" t="str">
        <f aca="true">IF(C238="","",IF(P238="Backed out",IF(S238="Paid","Refunded – closed",IF(R238="","Refund – log reason first","Refund in progress")),IF(K238="","Awaiting payment",IF(N238="",IF(M238="","Schedule free video","Free video in production"),IF(P238="Approved","Active",IF(TODAY()&gt;O238,"Active – plan went ahead","Decision pending – "&amp;NETWORKDAYS(TODAY(),O238)&amp;" working day(s) left"))))))</f>
        <v/>
      </c>
      <c r="R238" s="17"/>
      <c r="S238" s="17"/>
      <c r="T238" s="50"/>
      <c r="U238" s="40"/>
      <c r="V238" s="40"/>
      <c r="W238" s="45" t="str">
        <f aca="false">IF(V238="","",EDATE(V238,Settings!$S$6))</f>
        <v/>
      </c>
      <c r="X238" s="17"/>
      <c r="Y238" s="17"/>
      <c r="Z238" s="17"/>
    </row>
    <row r="239" customFormat="false" ht="15" hidden="false" customHeight="false" outlineLevel="0" collapsed="false">
      <c r="A239" s="17"/>
      <c r="B239" s="17"/>
      <c r="C239" s="17"/>
      <c r="D239" s="17"/>
      <c r="E239" s="42"/>
      <c r="F239" s="17"/>
      <c r="G239" s="17"/>
      <c r="H239" s="17"/>
      <c r="I239" s="49" t="str">
        <f aca="false">IF(H239="","",IFERROR(INDEX(Settings!$G$2:$G$4,MATCH(H239,Settings!$F$2:$F$4,0)),""))</f>
        <v/>
      </c>
      <c r="J239" s="40"/>
      <c r="K239" s="50"/>
      <c r="L239" s="17"/>
      <c r="M239" s="40"/>
      <c r="N239" s="40"/>
      <c r="O239" s="45" t="str">
        <f aca="false">IF(N239="","",WORKDAY(N239,Settings!$S$4))</f>
        <v/>
      </c>
      <c r="P239" s="17"/>
      <c r="Q239" s="44" t="str">
        <f aca="true">IF(C239="","",IF(P239="Backed out",IF(S239="Paid","Refunded – closed",IF(R239="","Refund – log reason first","Refund in progress")),IF(K239="","Awaiting payment",IF(N239="",IF(M239="","Schedule free video","Free video in production"),IF(P239="Approved","Active",IF(TODAY()&gt;O239,"Active – plan went ahead","Decision pending – "&amp;NETWORKDAYS(TODAY(),O239)&amp;" working day(s) left"))))))</f>
        <v/>
      </c>
      <c r="R239" s="17"/>
      <c r="S239" s="17"/>
      <c r="T239" s="50"/>
      <c r="U239" s="40"/>
      <c r="V239" s="40"/>
      <c r="W239" s="45" t="str">
        <f aca="false">IF(V239="","",EDATE(V239,Settings!$S$6))</f>
        <v/>
      </c>
      <c r="X239" s="17"/>
      <c r="Y239" s="17"/>
      <c r="Z239" s="17"/>
    </row>
    <row r="240" customFormat="false" ht="15" hidden="false" customHeight="false" outlineLevel="0" collapsed="false">
      <c r="A240" s="17"/>
      <c r="B240" s="17"/>
      <c r="C240" s="17"/>
      <c r="D240" s="17"/>
      <c r="E240" s="42"/>
      <c r="F240" s="17"/>
      <c r="G240" s="17"/>
      <c r="H240" s="17"/>
      <c r="I240" s="49" t="str">
        <f aca="false">IF(H240="","",IFERROR(INDEX(Settings!$G$2:$G$4,MATCH(H240,Settings!$F$2:$F$4,0)),""))</f>
        <v/>
      </c>
      <c r="J240" s="40"/>
      <c r="K240" s="50"/>
      <c r="L240" s="17"/>
      <c r="M240" s="40"/>
      <c r="N240" s="40"/>
      <c r="O240" s="45" t="str">
        <f aca="false">IF(N240="","",WORKDAY(N240,Settings!$S$4))</f>
        <v/>
      </c>
      <c r="P240" s="17"/>
      <c r="Q240" s="44" t="str">
        <f aca="true">IF(C240="","",IF(P240="Backed out",IF(S240="Paid","Refunded – closed",IF(R240="","Refund – log reason first","Refund in progress")),IF(K240="","Awaiting payment",IF(N240="",IF(M240="","Schedule free video","Free video in production"),IF(P240="Approved","Active",IF(TODAY()&gt;O240,"Active – plan went ahead","Decision pending – "&amp;NETWORKDAYS(TODAY(),O240)&amp;" working day(s) left"))))))</f>
        <v/>
      </c>
      <c r="R240" s="17"/>
      <c r="S240" s="17"/>
      <c r="T240" s="50"/>
      <c r="U240" s="40"/>
      <c r="V240" s="40"/>
      <c r="W240" s="45" t="str">
        <f aca="false">IF(V240="","",EDATE(V240,Settings!$S$6))</f>
        <v/>
      </c>
      <c r="X240" s="17"/>
      <c r="Y240" s="17"/>
      <c r="Z240" s="17"/>
    </row>
    <row r="241" customFormat="false" ht="15" hidden="false" customHeight="false" outlineLevel="0" collapsed="false">
      <c r="A241" s="17"/>
      <c r="B241" s="17"/>
      <c r="C241" s="17"/>
      <c r="D241" s="17"/>
      <c r="E241" s="42"/>
      <c r="F241" s="17"/>
      <c r="G241" s="17"/>
      <c r="H241" s="17"/>
      <c r="I241" s="49" t="str">
        <f aca="false">IF(H241="","",IFERROR(INDEX(Settings!$G$2:$G$4,MATCH(H241,Settings!$F$2:$F$4,0)),""))</f>
        <v/>
      </c>
      <c r="J241" s="40"/>
      <c r="K241" s="50"/>
      <c r="L241" s="17"/>
      <c r="M241" s="40"/>
      <c r="N241" s="40"/>
      <c r="O241" s="45" t="str">
        <f aca="false">IF(N241="","",WORKDAY(N241,Settings!$S$4))</f>
        <v/>
      </c>
      <c r="P241" s="17"/>
      <c r="Q241" s="44" t="str">
        <f aca="true">IF(C241="","",IF(P241="Backed out",IF(S241="Paid","Refunded – closed",IF(R241="","Refund – log reason first","Refund in progress")),IF(K241="","Awaiting payment",IF(N241="",IF(M241="","Schedule free video","Free video in production"),IF(P241="Approved","Active",IF(TODAY()&gt;O241,"Active – plan went ahead","Decision pending – "&amp;NETWORKDAYS(TODAY(),O241)&amp;" working day(s) left"))))))</f>
        <v/>
      </c>
      <c r="R241" s="17"/>
      <c r="S241" s="17"/>
      <c r="T241" s="50"/>
      <c r="U241" s="40"/>
      <c r="V241" s="40"/>
      <c r="W241" s="45" t="str">
        <f aca="false">IF(V241="","",EDATE(V241,Settings!$S$6))</f>
        <v/>
      </c>
      <c r="X241" s="17"/>
      <c r="Y241" s="17"/>
      <c r="Z241" s="17"/>
    </row>
    <row r="242" customFormat="false" ht="15" hidden="false" customHeight="false" outlineLevel="0" collapsed="false">
      <c r="A242" s="17"/>
      <c r="B242" s="17"/>
      <c r="C242" s="17"/>
      <c r="D242" s="17"/>
      <c r="E242" s="42"/>
      <c r="F242" s="17"/>
      <c r="G242" s="17"/>
      <c r="H242" s="17"/>
      <c r="I242" s="49" t="str">
        <f aca="false">IF(H242="","",IFERROR(INDEX(Settings!$G$2:$G$4,MATCH(H242,Settings!$F$2:$F$4,0)),""))</f>
        <v/>
      </c>
      <c r="J242" s="40"/>
      <c r="K242" s="50"/>
      <c r="L242" s="17"/>
      <c r="M242" s="40"/>
      <c r="N242" s="40"/>
      <c r="O242" s="45" t="str">
        <f aca="false">IF(N242="","",WORKDAY(N242,Settings!$S$4))</f>
        <v/>
      </c>
      <c r="P242" s="17"/>
      <c r="Q242" s="44" t="str">
        <f aca="true">IF(C242="","",IF(P242="Backed out",IF(S242="Paid","Refunded – closed",IF(R242="","Refund – log reason first","Refund in progress")),IF(K242="","Awaiting payment",IF(N242="",IF(M242="","Schedule free video","Free video in production"),IF(P242="Approved","Active",IF(TODAY()&gt;O242,"Active – plan went ahead","Decision pending – "&amp;NETWORKDAYS(TODAY(),O242)&amp;" working day(s) left"))))))</f>
        <v/>
      </c>
      <c r="R242" s="17"/>
      <c r="S242" s="17"/>
      <c r="T242" s="50"/>
      <c r="U242" s="40"/>
      <c r="V242" s="40"/>
      <c r="W242" s="45" t="str">
        <f aca="false">IF(V242="","",EDATE(V242,Settings!$S$6))</f>
        <v/>
      </c>
      <c r="X242" s="17"/>
      <c r="Y242" s="17"/>
      <c r="Z242" s="17"/>
    </row>
    <row r="243" customFormat="false" ht="15" hidden="false" customHeight="false" outlineLevel="0" collapsed="false">
      <c r="A243" s="17"/>
      <c r="B243" s="17"/>
      <c r="C243" s="17"/>
      <c r="D243" s="17"/>
      <c r="E243" s="42"/>
      <c r="F243" s="17"/>
      <c r="G243" s="17"/>
      <c r="H243" s="17"/>
      <c r="I243" s="49" t="str">
        <f aca="false">IF(H243="","",IFERROR(INDEX(Settings!$G$2:$G$4,MATCH(H243,Settings!$F$2:$F$4,0)),""))</f>
        <v/>
      </c>
      <c r="J243" s="40"/>
      <c r="K243" s="50"/>
      <c r="L243" s="17"/>
      <c r="M243" s="40"/>
      <c r="N243" s="40"/>
      <c r="O243" s="45" t="str">
        <f aca="false">IF(N243="","",WORKDAY(N243,Settings!$S$4))</f>
        <v/>
      </c>
      <c r="P243" s="17"/>
      <c r="Q243" s="44" t="str">
        <f aca="true">IF(C243="","",IF(P243="Backed out",IF(S243="Paid","Refunded – closed",IF(R243="","Refund – log reason first","Refund in progress")),IF(K243="","Awaiting payment",IF(N243="",IF(M243="","Schedule free video","Free video in production"),IF(P243="Approved","Active",IF(TODAY()&gt;O243,"Active – plan went ahead","Decision pending – "&amp;NETWORKDAYS(TODAY(),O243)&amp;" working day(s) left"))))))</f>
        <v/>
      </c>
      <c r="R243" s="17"/>
      <c r="S243" s="17"/>
      <c r="T243" s="50"/>
      <c r="U243" s="40"/>
      <c r="V243" s="40"/>
      <c r="W243" s="45" t="str">
        <f aca="false">IF(V243="","",EDATE(V243,Settings!$S$6))</f>
        <v/>
      </c>
      <c r="X243" s="17"/>
      <c r="Y243" s="17"/>
      <c r="Z243" s="17"/>
    </row>
    <row r="244" customFormat="false" ht="15" hidden="false" customHeight="false" outlineLevel="0" collapsed="false">
      <c r="A244" s="17"/>
      <c r="B244" s="17"/>
      <c r="C244" s="17"/>
      <c r="D244" s="17"/>
      <c r="E244" s="42"/>
      <c r="F244" s="17"/>
      <c r="G244" s="17"/>
      <c r="H244" s="17"/>
      <c r="I244" s="49" t="str">
        <f aca="false">IF(H244="","",IFERROR(INDEX(Settings!$G$2:$G$4,MATCH(H244,Settings!$F$2:$F$4,0)),""))</f>
        <v/>
      </c>
      <c r="J244" s="40"/>
      <c r="K244" s="50"/>
      <c r="L244" s="17"/>
      <c r="M244" s="40"/>
      <c r="N244" s="40"/>
      <c r="O244" s="45" t="str">
        <f aca="false">IF(N244="","",WORKDAY(N244,Settings!$S$4))</f>
        <v/>
      </c>
      <c r="P244" s="17"/>
      <c r="Q244" s="44" t="str">
        <f aca="true">IF(C244="","",IF(P244="Backed out",IF(S244="Paid","Refunded – closed",IF(R244="","Refund – log reason first","Refund in progress")),IF(K244="","Awaiting payment",IF(N244="",IF(M244="","Schedule free video","Free video in production"),IF(P244="Approved","Active",IF(TODAY()&gt;O244,"Active – plan went ahead","Decision pending – "&amp;NETWORKDAYS(TODAY(),O244)&amp;" working day(s) left"))))))</f>
        <v/>
      </c>
      <c r="R244" s="17"/>
      <c r="S244" s="17"/>
      <c r="T244" s="50"/>
      <c r="U244" s="40"/>
      <c r="V244" s="40"/>
      <c r="W244" s="45" t="str">
        <f aca="false">IF(V244="","",EDATE(V244,Settings!$S$6))</f>
        <v/>
      </c>
      <c r="X244" s="17"/>
      <c r="Y244" s="17"/>
      <c r="Z244" s="17"/>
    </row>
    <row r="245" customFormat="false" ht="15" hidden="false" customHeight="false" outlineLevel="0" collapsed="false">
      <c r="A245" s="17"/>
      <c r="B245" s="17"/>
      <c r="C245" s="17"/>
      <c r="D245" s="17"/>
      <c r="E245" s="42"/>
      <c r="F245" s="17"/>
      <c r="G245" s="17"/>
      <c r="H245" s="17"/>
      <c r="I245" s="49" t="str">
        <f aca="false">IF(H245="","",IFERROR(INDEX(Settings!$G$2:$G$4,MATCH(H245,Settings!$F$2:$F$4,0)),""))</f>
        <v/>
      </c>
      <c r="J245" s="40"/>
      <c r="K245" s="50"/>
      <c r="L245" s="17"/>
      <c r="M245" s="40"/>
      <c r="N245" s="40"/>
      <c r="O245" s="45" t="str">
        <f aca="false">IF(N245="","",WORKDAY(N245,Settings!$S$4))</f>
        <v/>
      </c>
      <c r="P245" s="17"/>
      <c r="Q245" s="44" t="str">
        <f aca="true">IF(C245="","",IF(P245="Backed out",IF(S245="Paid","Refunded – closed",IF(R245="","Refund – log reason first","Refund in progress")),IF(K245="","Awaiting payment",IF(N245="",IF(M245="","Schedule free video","Free video in production"),IF(P245="Approved","Active",IF(TODAY()&gt;O245,"Active – plan went ahead","Decision pending – "&amp;NETWORKDAYS(TODAY(),O245)&amp;" working day(s) left"))))))</f>
        <v/>
      </c>
      <c r="R245" s="17"/>
      <c r="S245" s="17"/>
      <c r="T245" s="50"/>
      <c r="U245" s="40"/>
      <c r="V245" s="40"/>
      <c r="W245" s="45" t="str">
        <f aca="false">IF(V245="","",EDATE(V245,Settings!$S$6))</f>
        <v/>
      </c>
      <c r="X245" s="17"/>
      <c r="Y245" s="17"/>
      <c r="Z245" s="17"/>
    </row>
    <row r="246" customFormat="false" ht="15" hidden="false" customHeight="false" outlineLevel="0" collapsed="false">
      <c r="A246" s="17"/>
      <c r="B246" s="17"/>
      <c r="C246" s="17"/>
      <c r="D246" s="17"/>
      <c r="E246" s="42"/>
      <c r="F246" s="17"/>
      <c r="G246" s="17"/>
      <c r="H246" s="17"/>
      <c r="I246" s="49" t="str">
        <f aca="false">IF(H246="","",IFERROR(INDEX(Settings!$G$2:$G$4,MATCH(H246,Settings!$F$2:$F$4,0)),""))</f>
        <v/>
      </c>
      <c r="J246" s="40"/>
      <c r="K246" s="50"/>
      <c r="L246" s="17"/>
      <c r="M246" s="40"/>
      <c r="N246" s="40"/>
      <c r="O246" s="45" t="str">
        <f aca="false">IF(N246="","",WORKDAY(N246,Settings!$S$4))</f>
        <v/>
      </c>
      <c r="P246" s="17"/>
      <c r="Q246" s="44" t="str">
        <f aca="true">IF(C246="","",IF(P246="Backed out",IF(S246="Paid","Refunded – closed",IF(R246="","Refund – log reason first","Refund in progress")),IF(K246="","Awaiting payment",IF(N246="",IF(M246="","Schedule free video","Free video in production"),IF(P246="Approved","Active",IF(TODAY()&gt;O246,"Active – plan went ahead","Decision pending – "&amp;NETWORKDAYS(TODAY(),O246)&amp;" working day(s) left"))))))</f>
        <v/>
      </c>
      <c r="R246" s="17"/>
      <c r="S246" s="17"/>
      <c r="T246" s="50"/>
      <c r="U246" s="40"/>
      <c r="V246" s="40"/>
      <c r="W246" s="45" t="str">
        <f aca="false">IF(V246="","",EDATE(V246,Settings!$S$6))</f>
        <v/>
      </c>
      <c r="X246" s="17"/>
      <c r="Y246" s="17"/>
      <c r="Z246" s="17"/>
    </row>
    <row r="247" customFormat="false" ht="15" hidden="false" customHeight="false" outlineLevel="0" collapsed="false">
      <c r="A247" s="17"/>
      <c r="B247" s="17"/>
      <c r="C247" s="17"/>
      <c r="D247" s="17"/>
      <c r="E247" s="42"/>
      <c r="F247" s="17"/>
      <c r="G247" s="17"/>
      <c r="H247" s="17"/>
      <c r="I247" s="49" t="str">
        <f aca="false">IF(H247="","",IFERROR(INDEX(Settings!$G$2:$G$4,MATCH(H247,Settings!$F$2:$F$4,0)),""))</f>
        <v/>
      </c>
      <c r="J247" s="40"/>
      <c r="K247" s="50"/>
      <c r="L247" s="17"/>
      <c r="M247" s="40"/>
      <c r="N247" s="40"/>
      <c r="O247" s="45" t="str">
        <f aca="false">IF(N247="","",WORKDAY(N247,Settings!$S$4))</f>
        <v/>
      </c>
      <c r="P247" s="17"/>
      <c r="Q247" s="44" t="str">
        <f aca="true">IF(C247="","",IF(P247="Backed out",IF(S247="Paid","Refunded – closed",IF(R247="","Refund – log reason first","Refund in progress")),IF(K247="","Awaiting payment",IF(N247="",IF(M247="","Schedule free video","Free video in production"),IF(P247="Approved","Active",IF(TODAY()&gt;O247,"Active – plan went ahead","Decision pending – "&amp;NETWORKDAYS(TODAY(),O247)&amp;" working day(s) left"))))))</f>
        <v/>
      </c>
      <c r="R247" s="17"/>
      <c r="S247" s="17"/>
      <c r="T247" s="50"/>
      <c r="U247" s="40"/>
      <c r="V247" s="40"/>
      <c r="W247" s="45" t="str">
        <f aca="false">IF(V247="","",EDATE(V247,Settings!$S$6))</f>
        <v/>
      </c>
      <c r="X247" s="17"/>
      <c r="Y247" s="17"/>
      <c r="Z247" s="17"/>
    </row>
    <row r="248" customFormat="false" ht="15" hidden="false" customHeight="false" outlineLevel="0" collapsed="false">
      <c r="A248" s="17"/>
      <c r="B248" s="17"/>
      <c r="C248" s="17"/>
      <c r="D248" s="17"/>
      <c r="E248" s="42"/>
      <c r="F248" s="17"/>
      <c r="G248" s="17"/>
      <c r="H248" s="17"/>
      <c r="I248" s="49" t="str">
        <f aca="false">IF(H248="","",IFERROR(INDEX(Settings!$G$2:$G$4,MATCH(H248,Settings!$F$2:$F$4,0)),""))</f>
        <v/>
      </c>
      <c r="J248" s="40"/>
      <c r="K248" s="50"/>
      <c r="L248" s="17"/>
      <c r="M248" s="40"/>
      <c r="N248" s="40"/>
      <c r="O248" s="45" t="str">
        <f aca="false">IF(N248="","",WORKDAY(N248,Settings!$S$4))</f>
        <v/>
      </c>
      <c r="P248" s="17"/>
      <c r="Q248" s="44" t="str">
        <f aca="true">IF(C248="","",IF(P248="Backed out",IF(S248="Paid","Refunded – closed",IF(R248="","Refund – log reason first","Refund in progress")),IF(K248="","Awaiting payment",IF(N248="",IF(M248="","Schedule free video","Free video in production"),IF(P248="Approved","Active",IF(TODAY()&gt;O248,"Active – plan went ahead","Decision pending – "&amp;NETWORKDAYS(TODAY(),O248)&amp;" working day(s) left"))))))</f>
        <v/>
      </c>
      <c r="R248" s="17"/>
      <c r="S248" s="17"/>
      <c r="T248" s="50"/>
      <c r="U248" s="40"/>
      <c r="V248" s="40"/>
      <c r="W248" s="45" t="str">
        <f aca="false">IF(V248="","",EDATE(V248,Settings!$S$6))</f>
        <v/>
      </c>
      <c r="X248" s="17"/>
      <c r="Y248" s="17"/>
      <c r="Z248" s="17"/>
    </row>
    <row r="249" customFormat="false" ht="15" hidden="false" customHeight="false" outlineLevel="0" collapsed="false">
      <c r="A249" s="17"/>
      <c r="B249" s="17"/>
      <c r="C249" s="17"/>
      <c r="D249" s="17"/>
      <c r="E249" s="42"/>
      <c r="F249" s="17"/>
      <c r="G249" s="17"/>
      <c r="H249" s="17"/>
      <c r="I249" s="49" t="str">
        <f aca="false">IF(H249="","",IFERROR(INDEX(Settings!$G$2:$G$4,MATCH(H249,Settings!$F$2:$F$4,0)),""))</f>
        <v/>
      </c>
      <c r="J249" s="40"/>
      <c r="K249" s="50"/>
      <c r="L249" s="17"/>
      <c r="M249" s="40"/>
      <c r="N249" s="40"/>
      <c r="O249" s="45" t="str">
        <f aca="false">IF(N249="","",WORKDAY(N249,Settings!$S$4))</f>
        <v/>
      </c>
      <c r="P249" s="17"/>
      <c r="Q249" s="44" t="str">
        <f aca="true">IF(C249="","",IF(P249="Backed out",IF(S249="Paid","Refunded – closed",IF(R249="","Refund – log reason first","Refund in progress")),IF(K249="","Awaiting payment",IF(N249="",IF(M249="","Schedule free video","Free video in production"),IF(P249="Approved","Active",IF(TODAY()&gt;O249,"Active – plan went ahead","Decision pending – "&amp;NETWORKDAYS(TODAY(),O249)&amp;" working day(s) left"))))))</f>
        <v/>
      </c>
      <c r="R249" s="17"/>
      <c r="S249" s="17"/>
      <c r="T249" s="50"/>
      <c r="U249" s="40"/>
      <c r="V249" s="40"/>
      <c r="W249" s="45" t="str">
        <f aca="false">IF(V249="","",EDATE(V249,Settings!$S$6))</f>
        <v/>
      </c>
      <c r="X249" s="17"/>
      <c r="Y249" s="17"/>
      <c r="Z249" s="17"/>
    </row>
    <row r="250" customFormat="false" ht="15" hidden="false" customHeight="false" outlineLevel="0" collapsed="false">
      <c r="A250" s="17"/>
      <c r="B250" s="17"/>
      <c r="C250" s="17"/>
      <c r="D250" s="17"/>
      <c r="E250" s="42"/>
      <c r="F250" s="17"/>
      <c r="G250" s="17"/>
      <c r="H250" s="17"/>
      <c r="I250" s="49" t="str">
        <f aca="false">IF(H250="","",IFERROR(INDEX(Settings!$G$2:$G$4,MATCH(H250,Settings!$F$2:$F$4,0)),""))</f>
        <v/>
      </c>
      <c r="J250" s="40"/>
      <c r="K250" s="50"/>
      <c r="L250" s="17"/>
      <c r="M250" s="40"/>
      <c r="N250" s="40"/>
      <c r="O250" s="45" t="str">
        <f aca="false">IF(N250="","",WORKDAY(N250,Settings!$S$4))</f>
        <v/>
      </c>
      <c r="P250" s="17"/>
      <c r="Q250" s="44" t="str">
        <f aca="true">IF(C250="","",IF(P250="Backed out",IF(S250="Paid","Refunded – closed",IF(R250="","Refund – log reason first","Refund in progress")),IF(K250="","Awaiting payment",IF(N250="",IF(M250="","Schedule free video","Free video in production"),IF(P250="Approved","Active",IF(TODAY()&gt;O250,"Active – plan went ahead","Decision pending – "&amp;NETWORKDAYS(TODAY(),O250)&amp;" working day(s) left"))))))</f>
        <v/>
      </c>
      <c r="R250" s="17"/>
      <c r="S250" s="17"/>
      <c r="T250" s="50"/>
      <c r="U250" s="40"/>
      <c r="V250" s="40"/>
      <c r="W250" s="45" t="str">
        <f aca="false">IF(V250="","",EDATE(V250,Settings!$S$6))</f>
        <v/>
      </c>
      <c r="X250" s="17"/>
      <c r="Y250" s="17"/>
      <c r="Z250" s="17"/>
    </row>
    <row r="251" customFormat="false" ht="15" hidden="false" customHeight="false" outlineLevel="0" collapsed="false">
      <c r="A251" s="17"/>
      <c r="B251" s="17"/>
      <c r="C251" s="17"/>
      <c r="D251" s="17"/>
      <c r="E251" s="42"/>
      <c r="F251" s="17"/>
      <c r="G251" s="17"/>
      <c r="H251" s="17"/>
      <c r="I251" s="49" t="str">
        <f aca="false">IF(H251="","",IFERROR(INDEX(Settings!$G$2:$G$4,MATCH(H251,Settings!$F$2:$F$4,0)),""))</f>
        <v/>
      </c>
      <c r="J251" s="40"/>
      <c r="K251" s="50"/>
      <c r="L251" s="17"/>
      <c r="M251" s="40"/>
      <c r="N251" s="40"/>
      <c r="O251" s="45" t="str">
        <f aca="false">IF(N251="","",WORKDAY(N251,Settings!$S$4))</f>
        <v/>
      </c>
      <c r="P251" s="17"/>
      <c r="Q251" s="44" t="str">
        <f aca="true">IF(C251="","",IF(P251="Backed out",IF(S251="Paid","Refunded – closed",IF(R251="","Refund – log reason first","Refund in progress")),IF(K251="","Awaiting payment",IF(N251="",IF(M251="","Schedule free video","Free video in production"),IF(P251="Approved","Active",IF(TODAY()&gt;O251,"Active – plan went ahead","Decision pending – "&amp;NETWORKDAYS(TODAY(),O251)&amp;" working day(s) left"))))))</f>
        <v/>
      </c>
      <c r="R251" s="17"/>
      <c r="S251" s="17"/>
      <c r="T251" s="50"/>
      <c r="U251" s="40"/>
      <c r="V251" s="40"/>
      <c r="W251" s="45" t="str">
        <f aca="false">IF(V251="","",EDATE(V251,Settings!$S$6))</f>
        <v/>
      </c>
      <c r="X251" s="17"/>
      <c r="Y251" s="17"/>
      <c r="Z251" s="17"/>
    </row>
    <row r="252" customFormat="false" ht="15" hidden="false" customHeight="false" outlineLevel="0" collapsed="false">
      <c r="A252" s="17"/>
      <c r="B252" s="17"/>
      <c r="C252" s="17"/>
      <c r="D252" s="17"/>
      <c r="E252" s="42"/>
      <c r="F252" s="17"/>
      <c r="G252" s="17"/>
      <c r="H252" s="17"/>
      <c r="I252" s="49" t="str">
        <f aca="false">IF(H252="","",IFERROR(INDEX(Settings!$G$2:$G$4,MATCH(H252,Settings!$F$2:$F$4,0)),""))</f>
        <v/>
      </c>
      <c r="J252" s="40"/>
      <c r="K252" s="50"/>
      <c r="L252" s="17"/>
      <c r="M252" s="40"/>
      <c r="N252" s="40"/>
      <c r="O252" s="45" t="str">
        <f aca="false">IF(N252="","",WORKDAY(N252,Settings!$S$4))</f>
        <v/>
      </c>
      <c r="P252" s="17"/>
      <c r="Q252" s="44" t="str">
        <f aca="true">IF(C252="","",IF(P252="Backed out",IF(S252="Paid","Refunded – closed",IF(R252="","Refund – log reason first","Refund in progress")),IF(K252="","Awaiting payment",IF(N252="",IF(M252="","Schedule free video","Free video in production"),IF(P252="Approved","Active",IF(TODAY()&gt;O252,"Active – plan went ahead","Decision pending – "&amp;NETWORKDAYS(TODAY(),O252)&amp;" working day(s) left"))))))</f>
        <v/>
      </c>
      <c r="R252" s="17"/>
      <c r="S252" s="17"/>
      <c r="T252" s="50"/>
      <c r="U252" s="40"/>
      <c r="V252" s="40"/>
      <c r="W252" s="45" t="str">
        <f aca="false">IF(V252="","",EDATE(V252,Settings!$S$6))</f>
        <v/>
      </c>
      <c r="X252" s="17"/>
      <c r="Y252" s="17"/>
      <c r="Z252" s="17"/>
    </row>
    <row r="253" customFormat="false" ht="15" hidden="false" customHeight="false" outlineLevel="0" collapsed="false">
      <c r="A253" s="17"/>
      <c r="B253" s="17"/>
      <c r="C253" s="17"/>
      <c r="D253" s="17"/>
      <c r="E253" s="42"/>
      <c r="F253" s="17"/>
      <c r="G253" s="17"/>
      <c r="H253" s="17"/>
      <c r="I253" s="49" t="str">
        <f aca="false">IF(H253="","",IFERROR(INDEX(Settings!$G$2:$G$4,MATCH(H253,Settings!$F$2:$F$4,0)),""))</f>
        <v/>
      </c>
      <c r="J253" s="40"/>
      <c r="K253" s="50"/>
      <c r="L253" s="17"/>
      <c r="M253" s="40"/>
      <c r="N253" s="40"/>
      <c r="O253" s="45" t="str">
        <f aca="false">IF(N253="","",WORKDAY(N253,Settings!$S$4))</f>
        <v/>
      </c>
      <c r="P253" s="17"/>
      <c r="Q253" s="44" t="str">
        <f aca="true">IF(C253="","",IF(P253="Backed out",IF(S253="Paid","Refunded – closed",IF(R253="","Refund – log reason first","Refund in progress")),IF(K253="","Awaiting payment",IF(N253="",IF(M253="","Schedule free video","Free video in production"),IF(P253="Approved","Active",IF(TODAY()&gt;O253,"Active – plan went ahead","Decision pending – "&amp;NETWORKDAYS(TODAY(),O253)&amp;" working day(s) left"))))))</f>
        <v/>
      </c>
      <c r="R253" s="17"/>
      <c r="S253" s="17"/>
      <c r="T253" s="50"/>
      <c r="U253" s="40"/>
      <c r="V253" s="40"/>
      <c r="W253" s="45" t="str">
        <f aca="false">IF(V253="","",EDATE(V253,Settings!$S$6))</f>
        <v/>
      </c>
      <c r="X253" s="17"/>
      <c r="Y253" s="17"/>
      <c r="Z253" s="17"/>
    </row>
    <row r="254" customFormat="false" ht="15" hidden="false" customHeight="false" outlineLevel="0" collapsed="false">
      <c r="A254" s="17"/>
      <c r="B254" s="17"/>
      <c r="C254" s="17"/>
      <c r="D254" s="17"/>
      <c r="E254" s="42"/>
      <c r="F254" s="17"/>
      <c r="G254" s="17"/>
      <c r="H254" s="17"/>
      <c r="I254" s="49" t="str">
        <f aca="false">IF(H254="","",IFERROR(INDEX(Settings!$G$2:$G$4,MATCH(H254,Settings!$F$2:$F$4,0)),""))</f>
        <v/>
      </c>
      <c r="J254" s="40"/>
      <c r="K254" s="50"/>
      <c r="L254" s="17"/>
      <c r="M254" s="40"/>
      <c r="N254" s="40"/>
      <c r="O254" s="45" t="str">
        <f aca="false">IF(N254="","",WORKDAY(N254,Settings!$S$4))</f>
        <v/>
      </c>
      <c r="P254" s="17"/>
      <c r="Q254" s="44" t="str">
        <f aca="true">IF(C254="","",IF(P254="Backed out",IF(S254="Paid","Refunded – closed",IF(R254="","Refund – log reason first","Refund in progress")),IF(K254="","Awaiting payment",IF(N254="",IF(M254="","Schedule free video","Free video in production"),IF(P254="Approved","Active",IF(TODAY()&gt;O254,"Active – plan went ahead","Decision pending – "&amp;NETWORKDAYS(TODAY(),O254)&amp;" working day(s) left"))))))</f>
        <v/>
      </c>
      <c r="R254" s="17"/>
      <c r="S254" s="17"/>
      <c r="T254" s="50"/>
      <c r="U254" s="40"/>
      <c r="V254" s="40"/>
      <c r="W254" s="45" t="str">
        <f aca="false">IF(V254="","",EDATE(V254,Settings!$S$6))</f>
        <v/>
      </c>
      <c r="X254" s="17"/>
      <c r="Y254" s="17"/>
      <c r="Z254" s="17"/>
    </row>
    <row r="255" customFormat="false" ht="15" hidden="false" customHeight="false" outlineLevel="0" collapsed="false">
      <c r="A255" s="17"/>
      <c r="B255" s="17"/>
      <c r="C255" s="17"/>
      <c r="D255" s="17"/>
      <c r="E255" s="42"/>
      <c r="F255" s="17"/>
      <c r="G255" s="17"/>
      <c r="H255" s="17"/>
      <c r="I255" s="49" t="str">
        <f aca="false">IF(H255="","",IFERROR(INDEX(Settings!$G$2:$G$4,MATCH(H255,Settings!$F$2:$F$4,0)),""))</f>
        <v/>
      </c>
      <c r="J255" s="40"/>
      <c r="K255" s="50"/>
      <c r="L255" s="17"/>
      <c r="M255" s="40"/>
      <c r="N255" s="40"/>
      <c r="O255" s="45" t="str">
        <f aca="false">IF(N255="","",WORKDAY(N255,Settings!$S$4))</f>
        <v/>
      </c>
      <c r="P255" s="17"/>
      <c r="Q255" s="44" t="str">
        <f aca="true">IF(C255="","",IF(P255="Backed out",IF(S255="Paid","Refunded – closed",IF(R255="","Refund – log reason first","Refund in progress")),IF(K255="","Awaiting payment",IF(N255="",IF(M255="","Schedule free video","Free video in production"),IF(P255="Approved","Active",IF(TODAY()&gt;O255,"Active – plan went ahead","Decision pending – "&amp;NETWORKDAYS(TODAY(),O255)&amp;" working day(s) left"))))))</f>
        <v/>
      </c>
      <c r="R255" s="17"/>
      <c r="S255" s="17"/>
      <c r="T255" s="50"/>
      <c r="U255" s="40"/>
      <c r="V255" s="40"/>
      <c r="W255" s="45" t="str">
        <f aca="false">IF(V255="","",EDATE(V255,Settings!$S$6))</f>
        <v/>
      </c>
      <c r="X255" s="17"/>
      <c r="Y255" s="17"/>
      <c r="Z255" s="17"/>
    </row>
    <row r="256" customFormat="false" ht="15" hidden="false" customHeight="false" outlineLevel="0" collapsed="false">
      <c r="A256" s="17"/>
      <c r="B256" s="17"/>
      <c r="C256" s="17"/>
      <c r="D256" s="17"/>
      <c r="E256" s="42"/>
      <c r="F256" s="17"/>
      <c r="G256" s="17"/>
      <c r="H256" s="17"/>
      <c r="I256" s="49" t="str">
        <f aca="false">IF(H256="","",IFERROR(INDEX(Settings!$G$2:$G$4,MATCH(H256,Settings!$F$2:$F$4,0)),""))</f>
        <v/>
      </c>
      <c r="J256" s="40"/>
      <c r="K256" s="50"/>
      <c r="L256" s="17"/>
      <c r="M256" s="40"/>
      <c r="N256" s="40"/>
      <c r="O256" s="45" t="str">
        <f aca="false">IF(N256="","",WORKDAY(N256,Settings!$S$4))</f>
        <v/>
      </c>
      <c r="P256" s="17"/>
      <c r="Q256" s="44" t="str">
        <f aca="true">IF(C256="","",IF(P256="Backed out",IF(S256="Paid","Refunded – closed",IF(R256="","Refund – log reason first","Refund in progress")),IF(K256="","Awaiting payment",IF(N256="",IF(M256="","Schedule free video","Free video in production"),IF(P256="Approved","Active",IF(TODAY()&gt;O256,"Active – plan went ahead","Decision pending – "&amp;NETWORKDAYS(TODAY(),O256)&amp;" working day(s) left"))))))</f>
        <v/>
      </c>
      <c r="R256" s="17"/>
      <c r="S256" s="17"/>
      <c r="T256" s="50"/>
      <c r="U256" s="40"/>
      <c r="V256" s="40"/>
      <c r="W256" s="45" t="str">
        <f aca="false">IF(V256="","",EDATE(V256,Settings!$S$6))</f>
        <v/>
      </c>
      <c r="X256" s="17"/>
      <c r="Y256" s="17"/>
      <c r="Z256" s="17"/>
    </row>
    <row r="257" customFormat="false" ht="15" hidden="false" customHeight="false" outlineLevel="0" collapsed="false">
      <c r="A257" s="17"/>
      <c r="B257" s="17"/>
      <c r="C257" s="17"/>
      <c r="D257" s="17"/>
      <c r="E257" s="42"/>
      <c r="F257" s="17"/>
      <c r="G257" s="17"/>
      <c r="H257" s="17"/>
      <c r="I257" s="49" t="str">
        <f aca="false">IF(H257="","",IFERROR(INDEX(Settings!$G$2:$G$4,MATCH(H257,Settings!$F$2:$F$4,0)),""))</f>
        <v/>
      </c>
      <c r="J257" s="40"/>
      <c r="K257" s="50"/>
      <c r="L257" s="17"/>
      <c r="M257" s="40"/>
      <c r="N257" s="40"/>
      <c r="O257" s="45" t="str">
        <f aca="false">IF(N257="","",WORKDAY(N257,Settings!$S$4))</f>
        <v/>
      </c>
      <c r="P257" s="17"/>
      <c r="Q257" s="44" t="str">
        <f aca="true">IF(C257="","",IF(P257="Backed out",IF(S257="Paid","Refunded – closed",IF(R257="","Refund – log reason first","Refund in progress")),IF(K257="","Awaiting payment",IF(N257="",IF(M257="","Schedule free video","Free video in production"),IF(P257="Approved","Active",IF(TODAY()&gt;O257,"Active – plan went ahead","Decision pending – "&amp;NETWORKDAYS(TODAY(),O257)&amp;" working day(s) left"))))))</f>
        <v/>
      </c>
      <c r="R257" s="17"/>
      <c r="S257" s="17"/>
      <c r="T257" s="50"/>
      <c r="U257" s="40"/>
      <c r="V257" s="40"/>
      <c r="W257" s="45" t="str">
        <f aca="false">IF(V257="","",EDATE(V257,Settings!$S$6))</f>
        <v/>
      </c>
      <c r="X257" s="17"/>
      <c r="Y257" s="17"/>
      <c r="Z257" s="17"/>
    </row>
    <row r="258" customFormat="false" ht="15" hidden="false" customHeight="false" outlineLevel="0" collapsed="false">
      <c r="A258" s="17"/>
      <c r="B258" s="17"/>
      <c r="C258" s="17"/>
      <c r="D258" s="17"/>
      <c r="E258" s="42"/>
      <c r="F258" s="17"/>
      <c r="G258" s="17"/>
      <c r="H258" s="17"/>
      <c r="I258" s="49" t="str">
        <f aca="false">IF(H258="","",IFERROR(INDEX(Settings!$G$2:$G$4,MATCH(H258,Settings!$F$2:$F$4,0)),""))</f>
        <v/>
      </c>
      <c r="J258" s="40"/>
      <c r="K258" s="50"/>
      <c r="L258" s="17"/>
      <c r="M258" s="40"/>
      <c r="N258" s="40"/>
      <c r="O258" s="45" t="str">
        <f aca="false">IF(N258="","",WORKDAY(N258,Settings!$S$4))</f>
        <v/>
      </c>
      <c r="P258" s="17"/>
      <c r="Q258" s="44" t="str">
        <f aca="true">IF(C258="","",IF(P258="Backed out",IF(S258="Paid","Refunded – closed",IF(R258="","Refund – log reason first","Refund in progress")),IF(K258="","Awaiting payment",IF(N258="",IF(M258="","Schedule free video","Free video in production"),IF(P258="Approved","Active",IF(TODAY()&gt;O258,"Active – plan went ahead","Decision pending – "&amp;NETWORKDAYS(TODAY(),O258)&amp;" working day(s) left"))))))</f>
        <v/>
      </c>
      <c r="R258" s="17"/>
      <c r="S258" s="17"/>
      <c r="T258" s="50"/>
      <c r="U258" s="40"/>
      <c r="V258" s="40"/>
      <c r="W258" s="45" t="str">
        <f aca="false">IF(V258="","",EDATE(V258,Settings!$S$6))</f>
        <v/>
      </c>
      <c r="X258" s="17"/>
      <c r="Y258" s="17"/>
      <c r="Z258" s="17"/>
    </row>
    <row r="259" customFormat="false" ht="15" hidden="false" customHeight="false" outlineLevel="0" collapsed="false">
      <c r="A259" s="17"/>
      <c r="B259" s="17"/>
      <c r="C259" s="17"/>
      <c r="D259" s="17"/>
      <c r="E259" s="42"/>
      <c r="F259" s="17"/>
      <c r="G259" s="17"/>
      <c r="H259" s="17"/>
      <c r="I259" s="49" t="str">
        <f aca="false">IF(H259="","",IFERROR(INDEX(Settings!$G$2:$G$4,MATCH(H259,Settings!$F$2:$F$4,0)),""))</f>
        <v/>
      </c>
      <c r="J259" s="40"/>
      <c r="K259" s="50"/>
      <c r="L259" s="17"/>
      <c r="M259" s="40"/>
      <c r="N259" s="40"/>
      <c r="O259" s="45" t="str">
        <f aca="false">IF(N259="","",WORKDAY(N259,Settings!$S$4))</f>
        <v/>
      </c>
      <c r="P259" s="17"/>
      <c r="Q259" s="44" t="str">
        <f aca="true">IF(C259="","",IF(P259="Backed out",IF(S259="Paid","Refunded – closed",IF(R259="","Refund – log reason first","Refund in progress")),IF(K259="","Awaiting payment",IF(N259="",IF(M259="","Schedule free video","Free video in production"),IF(P259="Approved","Active",IF(TODAY()&gt;O259,"Active – plan went ahead","Decision pending – "&amp;NETWORKDAYS(TODAY(),O259)&amp;" working day(s) left"))))))</f>
        <v/>
      </c>
      <c r="R259" s="17"/>
      <c r="S259" s="17"/>
      <c r="T259" s="50"/>
      <c r="U259" s="40"/>
      <c r="V259" s="40"/>
      <c r="W259" s="45" t="str">
        <f aca="false">IF(V259="","",EDATE(V259,Settings!$S$6))</f>
        <v/>
      </c>
      <c r="X259" s="17"/>
      <c r="Y259" s="17"/>
      <c r="Z259" s="17"/>
    </row>
    <row r="260" customFormat="false" ht="15" hidden="false" customHeight="false" outlineLevel="0" collapsed="false">
      <c r="A260" s="17"/>
      <c r="B260" s="17"/>
      <c r="C260" s="17"/>
      <c r="D260" s="17"/>
      <c r="E260" s="42"/>
      <c r="F260" s="17"/>
      <c r="G260" s="17"/>
      <c r="H260" s="17"/>
      <c r="I260" s="49" t="str">
        <f aca="false">IF(H260="","",IFERROR(INDEX(Settings!$G$2:$G$4,MATCH(H260,Settings!$F$2:$F$4,0)),""))</f>
        <v/>
      </c>
      <c r="J260" s="40"/>
      <c r="K260" s="50"/>
      <c r="L260" s="17"/>
      <c r="M260" s="40"/>
      <c r="N260" s="40"/>
      <c r="O260" s="45" t="str">
        <f aca="false">IF(N260="","",WORKDAY(N260,Settings!$S$4))</f>
        <v/>
      </c>
      <c r="P260" s="17"/>
      <c r="Q260" s="44" t="str">
        <f aca="true">IF(C260="","",IF(P260="Backed out",IF(S260="Paid","Refunded – closed",IF(R260="","Refund – log reason first","Refund in progress")),IF(K260="","Awaiting payment",IF(N260="",IF(M260="","Schedule free video","Free video in production"),IF(P260="Approved","Active",IF(TODAY()&gt;O260,"Active – plan went ahead","Decision pending – "&amp;NETWORKDAYS(TODAY(),O260)&amp;" working day(s) left"))))))</f>
        <v/>
      </c>
      <c r="R260" s="17"/>
      <c r="S260" s="17"/>
      <c r="T260" s="50"/>
      <c r="U260" s="40"/>
      <c r="V260" s="40"/>
      <c r="W260" s="45" t="str">
        <f aca="false">IF(V260="","",EDATE(V260,Settings!$S$6))</f>
        <v/>
      </c>
      <c r="X260" s="17"/>
      <c r="Y260" s="17"/>
      <c r="Z260" s="17"/>
    </row>
    <row r="261" customFormat="false" ht="15" hidden="false" customHeight="false" outlineLevel="0" collapsed="false">
      <c r="A261" s="17"/>
      <c r="B261" s="17"/>
      <c r="C261" s="17"/>
      <c r="D261" s="17"/>
      <c r="E261" s="42"/>
      <c r="F261" s="17"/>
      <c r="G261" s="17"/>
      <c r="H261" s="17"/>
      <c r="I261" s="49" t="str">
        <f aca="false">IF(H261="","",IFERROR(INDEX(Settings!$G$2:$G$4,MATCH(H261,Settings!$F$2:$F$4,0)),""))</f>
        <v/>
      </c>
      <c r="J261" s="40"/>
      <c r="K261" s="50"/>
      <c r="L261" s="17"/>
      <c r="M261" s="40"/>
      <c r="N261" s="40"/>
      <c r="O261" s="45" t="str">
        <f aca="false">IF(N261="","",WORKDAY(N261,Settings!$S$4))</f>
        <v/>
      </c>
      <c r="P261" s="17"/>
      <c r="Q261" s="44" t="str">
        <f aca="true">IF(C261="","",IF(P261="Backed out",IF(S261="Paid","Refunded – closed",IF(R261="","Refund – log reason first","Refund in progress")),IF(K261="","Awaiting payment",IF(N261="",IF(M261="","Schedule free video","Free video in production"),IF(P261="Approved","Active",IF(TODAY()&gt;O261,"Active – plan went ahead","Decision pending – "&amp;NETWORKDAYS(TODAY(),O261)&amp;" working day(s) left"))))))</f>
        <v/>
      </c>
      <c r="R261" s="17"/>
      <c r="S261" s="17"/>
      <c r="T261" s="50"/>
      <c r="U261" s="40"/>
      <c r="V261" s="40"/>
      <c r="W261" s="45" t="str">
        <f aca="false">IF(V261="","",EDATE(V261,Settings!$S$6))</f>
        <v/>
      </c>
      <c r="X261" s="17"/>
      <c r="Y261" s="17"/>
      <c r="Z261" s="17"/>
    </row>
    <row r="262" customFormat="false" ht="15" hidden="false" customHeight="false" outlineLevel="0" collapsed="false">
      <c r="A262" s="17"/>
      <c r="B262" s="17"/>
      <c r="C262" s="17"/>
      <c r="D262" s="17"/>
      <c r="E262" s="42"/>
      <c r="F262" s="17"/>
      <c r="G262" s="17"/>
      <c r="H262" s="17"/>
      <c r="I262" s="49" t="str">
        <f aca="false">IF(H262="","",IFERROR(INDEX(Settings!$G$2:$G$4,MATCH(H262,Settings!$F$2:$F$4,0)),""))</f>
        <v/>
      </c>
      <c r="J262" s="40"/>
      <c r="K262" s="50"/>
      <c r="L262" s="17"/>
      <c r="M262" s="40"/>
      <c r="N262" s="40"/>
      <c r="O262" s="45" t="str">
        <f aca="false">IF(N262="","",WORKDAY(N262,Settings!$S$4))</f>
        <v/>
      </c>
      <c r="P262" s="17"/>
      <c r="Q262" s="44" t="str">
        <f aca="true">IF(C262="","",IF(P262="Backed out",IF(S262="Paid","Refunded – closed",IF(R262="","Refund – log reason first","Refund in progress")),IF(K262="","Awaiting payment",IF(N262="",IF(M262="","Schedule free video","Free video in production"),IF(P262="Approved","Active",IF(TODAY()&gt;O262,"Active – plan went ahead","Decision pending – "&amp;NETWORKDAYS(TODAY(),O262)&amp;" working day(s) left"))))))</f>
        <v/>
      </c>
      <c r="R262" s="17"/>
      <c r="S262" s="17"/>
      <c r="T262" s="50"/>
      <c r="U262" s="40"/>
      <c r="V262" s="40"/>
      <c r="W262" s="45" t="str">
        <f aca="false">IF(V262="","",EDATE(V262,Settings!$S$6))</f>
        <v/>
      </c>
      <c r="X262" s="17"/>
      <c r="Y262" s="17"/>
      <c r="Z262" s="17"/>
    </row>
    <row r="263" customFormat="false" ht="15" hidden="false" customHeight="false" outlineLevel="0" collapsed="false">
      <c r="A263" s="17"/>
      <c r="B263" s="17"/>
      <c r="C263" s="17"/>
      <c r="D263" s="17"/>
      <c r="E263" s="42"/>
      <c r="F263" s="17"/>
      <c r="G263" s="17"/>
      <c r="H263" s="17"/>
      <c r="I263" s="49" t="str">
        <f aca="false">IF(H263="","",IFERROR(INDEX(Settings!$G$2:$G$4,MATCH(H263,Settings!$F$2:$F$4,0)),""))</f>
        <v/>
      </c>
      <c r="J263" s="40"/>
      <c r="K263" s="50"/>
      <c r="L263" s="17"/>
      <c r="M263" s="40"/>
      <c r="N263" s="40"/>
      <c r="O263" s="45" t="str">
        <f aca="false">IF(N263="","",WORKDAY(N263,Settings!$S$4))</f>
        <v/>
      </c>
      <c r="P263" s="17"/>
      <c r="Q263" s="44" t="str">
        <f aca="true">IF(C263="","",IF(P263="Backed out",IF(S263="Paid","Refunded – closed",IF(R263="","Refund – log reason first","Refund in progress")),IF(K263="","Awaiting payment",IF(N263="",IF(M263="","Schedule free video","Free video in production"),IF(P263="Approved","Active",IF(TODAY()&gt;O263,"Active – plan went ahead","Decision pending – "&amp;NETWORKDAYS(TODAY(),O263)&amp;" working day(s) left"))))))</f>
        <v/>
      </c>
      <c r="R263" s="17"/>
      <c r="S263" s="17"/>
      <c r="T263" s="50"/>
      <c r="U263" s="40"/>
      <c r="V263" s="40"/>
      <c r="W263" s="45" t="str">
        <f aca="false">IF(V263="","",EDATE(V263,Settings!$S$6))</f>
        <v/>
      </c>
      <c r="X263" s="17"/>
      <c r="Y263" s="17"/>
      <c r="Z263" s="17"/>
    </row>
    <row r="264" customFormat="false" ht="15" hidden="false" customHeight="false" outlineLevel="0" collapsed="false">
      <c r="A264" s="17"/>
      <c r="B264" s="17"/>
      <c r="C264" s="17"/>
      <c r="D264" s="17"/>
      <c r="E264" s="42"/>
      <c r="F264" s="17"/>
      <c r="G264" s="17"/>
      <c r="H264" s="17"/>
      <c r="I264" s="49" t="str">
        <f aca="false">IF(H264="","",IFERROR(INDEX(Settings!$G$2:$G$4,MATCH(H264,Settings!$F$2:$F$4,0)),""))</f>
        <v/>
      </c>
      <c r="J264" s="40"/>
      <c r="K264" s="50"/>
      <c r="L264" s="17"/>
      <c r="M264" s="40"/>
      <c r="N264" s="40"/>
      <c r="O264" s="45" t="str">
        <f aca="false">IF(N264="","",WORKDAY(N264,Settings!$S$4))</f>
        <v/>
      </c>
      <c r="P264" s="17"/>
      <c r="Q264" s="44" t="str">
        <f aca="true">IF(C264="","",IF(P264="Backed out",IF(S264="Paid","Refunded – closed",IF(R264="","Refund – log reason first","Refund in progress")),IF(K264="","Awaiting payment",IF(N264="",IF(M264="","Schedule free video","Free video in production"),IF(P264="Approved","Active",IF(TODAY()&gt;O264,"Active – plan went ahead","Decision pending – "&amp;NETWORKDAYS(TODAY(),O264)&amp;" working day(s) left"))))))</f>
        <v/>
      </c>
      <c r="R264" s="17"/>
      <c r="S264" s="17"/>
      <c r="T264" s="50"/>
      <c r="U264" s="40"/>
      <c r="V264" s="40"/>
      <c r="W264" s="45" t="str">
        <f aca="false">IF(V264="","",EDATE(V264,Settings!$S$6))</f>
        <v/>
      </c>
      <c r="X264" s="17"/>
      <c r="Y264" s="17"/>
      <c r="Z264" s="17"/>
    </row>
    <row r="265" customFormat="false" ht="15" hidden="false" customHeight="false" outlineLevel="0" collapsed="false">
      <c r="A265" s="17"/>
      <c r="B265" s="17"/>
      <c r="C265" s="17"/>
      <c r="D265" s="17"/>
      <c r="E265" s="42"/>
      <c r="F265" s="17"/>
      <c r="G265" s="17"/>
      <c r="H265" s="17"/>
      <c r="I265" s="49" t="str">
        <f aca="false">IF(H265="","",IFERROR(INDEX(Settings!$G$2:$G$4,MATCH(H265,Settings!$F$2:$F$4,0)),""))</f>
        <v/>
      </c>
      <c r="J265" s="40"/>
      <c r="K265" s="50"/>
      <c r="L265" s="17"/>
      <c r="M265" s="40"/>
      <c r="N265" s="40"/>
      <c r="O265" s="45" t="str">
        <f aca="false">IF(N265="","",WORKDAY(N265,Settings!$S$4))</f>
        <v/>
      </c>
      <c r="P265" s="17"/>
      <c r="Q265" s="44" t="str">
        <f aca="true">IF(C265="","",IF(P265="Backed out",IF(S265="Paid","Refunded – closed",IF(R265="","Refund – log reason first","Refund in progress")),IF(K265="","Awaiting payment",IF(N265="",IF(M265="","Schedule free video","Free video in production"),IF(P265="Approved","Active",IF(TODAY()&gt;O265,"Active – plan went ahead","Decision pending – "&amp;NETWORKDAYS(TODAY(),O265)&amp;" working day(s) left"))))))</f>
        <v/>
      </c>
      <c r="R265" s="17"/>
      <c r="S265" s="17"/>
      <c r="T265" s="50"/>
      <c r="U265" s="40"/>
      <c r="V265" s="40"/>
      <c r="W265" s="45" t="str">
        <f aca="false">IF(V265="","",EDATE(V265,Settings!$S$6))</f>
        <v/>
      </c>
      <c r="X265" s="17"/>
      <c r="Y265" s="17"/>
      <c r="Z265" s="17"/>
    </row>
    <row r="266" customFormat="false" ht="15" hidden="false" customHeight="false" outlineLevel="0" collapsed="false">
      <c r="A266" s="17"/>
      <c r="B266" s="17"/>
      <c r="C266" s="17"/>
      <c r="D266" s="17"/>
      <c r="E266" s="42"/>
      <c r="F266" s="17"/>
      <c r="G266" s="17"/>
      <c r="H266" s="17"/>
      <c r="I266" s="49" t="str">
        <f aca="false">IF(H266="","",IFERROR(INDEX(Settings!$G$2:$G$4,MATCH(H266,Settings!$F$2:$F$4,0)),""))</f>
        <v/>
      </c>
      <c r="J266" s="40"/>
      <c r="K266" s="50"/>
      <c r="L266" s="17"/>
      <c r="M266" s="40"/>
      <c r="N266" s="40"/>
      <c r="O266" s="45" t="str">
        <f aca="false">IF(N266="","",WORKDAY(N266,Settings!$S$4))</f>
        <v/>
      </c>
      <c r="P266" s="17"/>
      <c r="Q266" s="44" t="str">
        <f aca="true">IF(C266="","",IF(P266="Backed out",IF(S266="Paid","Refunded – closed",IF(R266="","Refund – log reason first","Refund in progress")),IF(K266="","Awaiting payment",IF(N266="",IF(M266="","Schedule free video","Free video in production"),IF(P266="Approved","Active",IF(TODAY()&gt;O266,"Active – plan went ahead","Decision pending – "&amp;NETWORKDAYS(TODAY(),O266)&amp;" working day(s) left"))))))</f>
        <v/>
      </c>
      <c r="R266" s="17"/>
      <c r="S266" s="17"/>
      <c r="T266" s="50"/>
      <c r="U266" s="40"/>
      <c r="V266" s="40"/>
      <c r="W266" s="45" t="str">
        <f aca="false">IF(V266="","",EDATE(V266,Settings!$S$6))</f>
        <v/>
      </c>
      <c r="X266" s="17"/>
      <c r="Y266" s="17"/>
      <c r="Z266" s="17"/>
    </row>
    <row r="267" customFormat="false" ht="15" hidden="false" customHeight="false" outlineLevel="0" collapsed="false">
      <c r="A267" s="17"/>
      <c r="B267" s="17"/>
      <c r="C267" s="17"/>
      <c r="D267" s="17"/>
      <c r="E267" s="42"/>
      <c r="F267" s="17"/>
      <c r="G267" s="17"/>
      <c r="H267" s="17"/>
      <c r="I267" s="49" t="str">
        <f aca="false">IF(H267="","",IFERROR(INDEX(Settings!$G$2:$G$4,MATCH(H267,Settings!$F$2:$F$4,0)),""))</f>
        <v/>
      </c>
      <c r="J267" s="40"/>
      <c r="K267" s="50"/>
      <c r="L267" s="17"/>
      <c r="M267" s="40"/>
      <c r="N267" s="40"/>
      <c r="O267" s="45" t="str">
        <f aca="false">IF(N267="","",WORKDAY(N267,Settings!$S$4))</f>
        <v/>
      </c>
      <c r="P267" s="17"/>
      <c r="Q267" s="44" t="str">
        <f aca="true">IF(C267="","",IF(P267="Backed out",IF(S267="Paid","Refunded – closed",IF(R267="","Refund – log reason first","Refund in progress")),IF(K267="","Awaiting payment",IF(N267="",IF(M267="","Schedule free video","Free video in production"),IF(P267="Approved","Active",IF(TODAY()&gt;O267,"Active – plan went ahead","Decision pending – "&amp;NETWORKDAYS(TODAY(),O267)&amp;" working day(s) left"))))))</f>
        <v/>
      </c>
      <c r="R267" s="17"/>
      <c r="S267" s="17"/>
      <c r="T267" s="50"/>
      <c r="U267" s="40"/>
      <c r="V267" s="40"/>
      <c r="W267" s="45" t="str">
        <f aca="false">IF(V267="","",EDATE(V267,Settings!$S$6))</f>
        <v/>
      </c>
      <c r="X267" s="17"/>
      <c r="Y267" s="17"/>
      <c r="Z267" s="17"/>
    </row>
    <row r="268" customFormat="false" ht="15" hidden="false" customHeight="false" outlineLevel="0" collapsed="false">
      <c r="A268" s="17"/>
      <c r="B268" s="17"/>
      <c r="C268" s="17"/>
      <c r="D268" s="17"/>
      <c r="E268" s="42"/>
      <c r="F268" s="17"/>
      <c r="G268" s="17"/>
      <c r="H268" s="17"/>
      <c r="I268" s="49" t="str">
        <f aca="false">IF(H268="","",IFERROR(INDEX(Settings!$G$2:$G$4,MATCH(H268,Settings!$F$2:$F$4,0)),""))</f>
        <v/>
      </c>
      <c r="J268" s="40"/>
      <c r="K268" s="50"/>
      <c r="L268" s="17"/>
      <c r="M268" s="40"/>
      <c r="N268" s="40"/>
      <c r="O268" s="45" t="str">
        <f aca="false">IF(N268="","",WORKDAY(N268,Settings!$S$4))</f>
        <v/>
      </c>
      <c r="P268" s="17"/>
      <c r="Q268" s="44" t="str">
        <f aca="true">IF(C268="","",IF(P268="Backed out",IF(S268="Paid","Refunded – closed",IF(R268="","Refund – log reason first","Refund in progress")),IF(K268="","Awaiting payment",IF(N268="",IF(M268="","Schedule free video","Free video in production"),IF(P268="Approved","Active",IF(TODAY()&gt;O268,"Active – plan went ahead","Decision pending – "&amp;NETWORKDAYS(TODAY(),O268)&amp;" working day(s) left"))))))</f>
        <v/>
      </c>
      <c r="R268" s="17"/>
      <c r="S268" s="17"/>
      <c r="T268" s="50"/>
      <c r="U268" s="40"/>
      <c r="V268" s="40"/>
      <c r="W268" s="45" t="str">
        <f aca="false">IF(V268="","",EDATE(V268,Settings!$S$6))</f>
        <v/>
      </c>
      <c r="X268" s="17"/>
      <c r="Y268" s="17"/>
      <c r="Z268" s="17"/>
    </row>
    <row r="269" customFormat="false" ht="15" hidden="false" customHeight="false" outlineLevel="0" collapsed="false">
      <c r="A269" s="17"/>
      <c r="B269" s="17"/>
      <c r="C269" s="17"/>
      <c r="D269" s="17"/>
      <c r="E269" s="42"/>
      <c r="F269" s="17"/>
      <c r="G269" s="17"/>
      <c r="H269" s="17"/>
      <c r="I269" s="49" t="str">
        <f aca="false">IF(H269="","",IFERROR(INDEX(Settings!$G$2:$G$4,MATCH(H269,Settings!$F$2:$F$4,0)),""))</f>
        <v/>
      </c>
      <c r="J269" s="40"/>
      <c r="K269" s="50"/>
      <c r="L269" s="17"/>
      <c r="M269" s="40"/>
      <c r="N269" s="40"/>
      <c r="O269" s="45" t="str">
        <f aca="false">IF(N269="","",WORKDAY(N269,Settings!$S$4))</f>
        <v/>
      </c>
      <c r="P269" s="17"/>
      <c r="Q269" s="44" t="str">
        <f aca="true">IF(C269="","",IF(P269="Backed out",IF(S269="Paid","Refunded – closed",IF(R269="","Refund – log reason first","Refund in progress")),IF(K269="","Awaiting payment",IF(N269="",IF(M269="","Schedule free video","Free video in production"),IF(P269="Approved","Active",IF(TODAY()&gt;O269,"Active – plan went ahead","Decision pending – "&amp;NETWORKDAYS(TODAY(),O269)&amp;" working day(s) left"))))))</f>
        <v/>
      </c>
      <c r="R269" s="17"/>
      <c r="S269" s="17"/>
      <c r="T269" s="50"/>
      <c r="U269" s="40"/>
      <c r="V269" s="40"/>
      <c r="W269" s="45" t="str">
        <f aca="false">IF(V269="","",EDATE(V269,Settings!$S$6))</f>
        <v/>
      </c>
      <c r="X269" s="17"/>
      <c r="Y269" s="17"/>
      <c r="Z269" s="17"/>
    </row>
    <row r="270" customFormat="false" ht="15" hidden="false" customHeight="false" outlineLevel="0" collapsed="false">
      <c r="A270" s="17"/>
      <c r="B270" s="17"/>
      <c r="C270" s="17"/>
      <c r="D270" s="17"/>
      <c r="E270" s="42"/>
      <c r="F270" s="17"/>
      <c r="G270" s="17"/>
      <c r="H270" s="17"/>
      <c r="I270" s="49" t="str">
        <f aca="false">IF(H270="","",IFERROR(INDEX(Settings!$G$2:$G$4,MATCH(H270,Settings!$F$2:$F$4,0)),""))</f>
        <v/>
      </c>
      <c r="J270" s="40"/>
      <c r="K270" s="50"/>
      <c r="L270" s="17"/>
      <c r="M270" s="40"/>
      <c r="N270" s="40"/>
      <c r="O270" s="45" t="str">
        <f aca="false">IF(N270="","",WORKDAY(N270,Settings!$S$4))</f>
        <v/>
      </c>
      <c r="P270" s="17"/>
      <c r="Q270" s="44" t="str">
        <f aca="true">IF(C270="","",IF(P270="Backed out",IF(S270="Paid","Refunded – closed",IF(R270="","Refund – log reason first","Refund in progress")),IF(K270="","Awaiting payment",IF(N270="",IF(M270="","Schedule free video","Free video in production"),IF(P270="Approved","Active",IF(TODAY()&gt;O270,"Active – plan went ahead","Decision pending – "&amp;NETWORKDAYS(TODAY(),O270)&amp;" working day(s) left"))))))</f>
        <v/>
      </c>
      <c r="R270" s="17"/>
      <c r="S270" s="17"/>
      <c r="T270" s="50"/>
      <c r="U270" s="40"/>
      <c r="V270" s="40"/>
      <c r="W270" s="45" t="str">
        <f aca="false">IF(V270="","",EDATE(V270,Settings!$S$6))</f>
        <v/>
      </c>
      <c r="X270" s="17"/>
      <c r="Y270" s="17"/>
      <c r="Z270" s="17"/>
    </row>
    <row r="271" customFormat="false" ht="15" hidden="false" customHeight="false" outlineLevel="0" collapsed="false">
      <c r="A271" s="17"/>
      <c r="B271" s="17"/>
      <c r="C271" s="17"/>
      <c r="D271" s="17"/>
      <c r="E271" s="42"/>
      <c r="F271" s="17"/>
      <c r="G271" s="17"/>
      <c r="H271" s="17"/>
      <c r="I271" s="49" t="str">
        <f aca="false">IF(H271="","",IFERROR(INDEX(Settings!$G$2:$G$4,MATCH(H271,Settings!$F$2:$F$4,0)),""))</f>
        <v/>
      </c>
      <c r="J271" s="40"/>
      <c r="K271" s="50"/>
      <c r="L271" s="17"/>
      <c r="M271" s="40"/>
      <c r="N271" s="40"/>
      <c r="O271" s="45" t="str">
        <f aca="false">IF(N271="","",WORKDAY(N271,Settings!$S$4))</f>
        <v/>
      </c>
      <c r="P271" s="17"/>
      <c r="Q271" s="44" t="str">
        <f aca="true">IF(C271="","",IF(P271="Backed out",IF(S271="Paid","Refunded – closed",IF(R271="","Refund – log reason first","Refund in progress")),IF(K271="","Awaiting payment",IF(N271="",IF(M271="","Schedule free video","Free video in production"),IF(P271="Approved","Active",IF(TODAY()&gt;O271,"Active – plan went ahead","Decision pending – "&amp;NETWORKDAYS(TODAY(),O271)&amp;" working day(s) left"))))))</f>
        <v/>
      </c>
      <c r="R271" s="17"/>
      <c r="S271" s="17"/>
      <c r="T271" s="50"/>
      <c r="U271" s="40"/>
      <c r="V271" s="40"/>
      <c r="W271" s="45" t="str">
        <f aca="false">IF(V271="","",EDATE(V271,Settings!$S$6))</f>
        <v/>
      </c>
      <c r="X271" s="17"/>
      <c r="Y271" s="17"/>
      <c r="Z271" s="17"/>
    </row>
    <row r="272" customFormat="false" ht="15" hidden="false" customHeight="false" outlineLevel="0" collapsed="false">
      <c r="A272" s="17"/>
      <c r="B272" s="17"/>
      <c r="C272" s="17"/>
      <c r="D272" s="17"/>
      <c r="E272" s="42"/>
      <c r="F272" s="17"/>
      <c r="G272" s="17"/>
      <c r="H272" s="17"/>
      <c r="I272" s="49" t="str">
        <f aca="false">IF(H272="","",IFERROR(INDEX(Settings!$G$2:$G$4,MATCH(H272,Settings!$F$2:$F$4,0)),""))</f>
        <v/>
      </c>
      <c r="J272" s="40"/>
      <c r="K272" s="50"/>
      <c r="L272" s="17"/>
      <c r="M272" s="40"/>
      <c r="N272" s="40"/>
      <c r="O272" s="45" t="str">
        <f aca="false">IF(N272="","",WORKDAY(N272,Settings!$S$4))</f>
        <v/>
      </c>
      <c r="P272" s="17"/>
      <c r="Q272" s="44" t="str">
        <f aca="true">IF(C272="","",IF(P272="Backed out",IF(S272="Paid","Refunded – closed",IF(R272="","Refund – log reason first","Refund in progress")),IF(K272="","Awaiting payment",IF(N272="",IF(M272="","Schedule free video","Free video in production"),IF(P272="Approved","Active",IF(TODAY()&gt;O272,"Active – plan went ahead","Decision pending – "&amp;NETWORKDAYS(TODAY(),O272)&amp;" working day(s) left"))))))</f>
        <v/>
      </c>
      <c r="R272" s="17"/>
      <c r="S272" s="17"/>
      <c r="T272" s="50"/>
      <c r="U272" s="40"/>
      <c r="V272" s="40"/>
      <c r="W272" s="45" t="str">
        <f aca="false">IF(V272="","",EDATE(V272,Settings!$S$6))</f>
        <v/>
      </c>
      <c r="X272" s="17"/>
      <c r="Y272" s="17"/>
      <c r="Z272" s="17"/>
    </row>
    <row r="273" customFormat="false" ht="15" hidden="false" customHeight="false" outlineLevel="0" collapsed="false">
      <c r="A273" s="17"/>
      <c r="B273" s="17"/>
      <c r="C273" s="17"/>
      <c r="D273" s="17"/>
      <c r="E273" s="42"/>
      <c r="F273" s="17"/>
      <c r="G273" s="17"/>
      <c r="H273" s="17"/>
      <c r="I273" s="49" t="str">
        <f aca="false">IF(H273="","",IFERROR(INDEX(Settings!$G$2:$G$4,MATCH(H273,Settings!$F$2:$F$4,0)),""))</f>
        <v/>
      </c>
      <c r="J273" s="40"/>
      <c r="K273" s="50"/>
      <c r="L273" s="17"/>
      <c r="M273" s="40"/>
      <c r="N273" s="40"/>
      <c r="O273" s="45" t="str">
        <f aca="false">IF(N273="","",WORKDAY(N273,Settings!$S$4))</f>
        <v/>
      </c>
      <c r="P273" s="17"/>
      <c r="Q273" s="44" t="str">
        <f aca="true">IF(C273="","",IF(P273="Backed out",IF(S273="Paid","Refunded – closed",IF(R273="","Refund – log reason first","Refund in progress")),IF(K273="","Awaiting payment",IF(N273="",IF(M273="","Schedule free video","Free video in production"),IF(P273="Approved","Active",IF(TODAY()&gt;O273,"Active – plan went ahead","Decision pending – "&amp;NETWORKDAYS(TODAY(),O273)&amp;" working day(s) left"))))))</f>
        <v/>
      </c>
      <c r="R273" s="17"/>
      <c r="S273" s="17"/>
      <c r="T273" s="50"/>
      <c r="U273" s="40"/>
      <c r="V273" s="40"/>
      <c r="W273" s="45" t="str">
        <f aca="false">IF(V273="","",EDATE(V273,Settings!$S$6))</f>
        <v/>
      </c>
      <c r="X273" s="17"/>
      <c r="Y273" s="17"/>
      <c r="Z273" s="17"/>
    </row>
    <row r="274" customFormat="false" ht="15" hidden="false" customHeight="false" outlineLevel="0" collapsed="false">
      <c r="A274" s="17"/>
      <c r="B274" s="17"/>
      <c r="C274" s="17"/>
      <c r="D274" s="17"/>
      <c r="E274" s="42"/>
      <c r="F274" s="17"/>
      <c r="G274" s="17"/>
      <c r="H274" s="17"/>
      <c r="I274" s="49" t="str">
        <f aca="false">IF(H274="","",IFERROR(INDEX(Settings!$G$2:$G$4,MATCH(H274,Settings!$F$2:$F$4,0)),""))</f>
        <v/>
      </c>
      <c r="J274" s="40"/>
      <c r="K274" s="50"/>
      <c r="L274" s="17"/>
      <c r="M274" s="40"/>
      <c r="N274" s="40"/>
      <c r="O274" s="45" t="str">
        <f aca="false">IF(N274="","",WORKDAY(N274,Settings!$S$4))</f>
        <v/>
      </c>
      <c r="P274" s="17"/>
      <c r="Q274" s="44" t="str">
        <f aca="true">IF(C274="","",IF(P274="Backed out",IF(S274="Paid","Refunded – closed",IF(R274="","Refund – log reason first","Refund in progress")),IF(K274="","Awaiting payment",IF(N274="",IF(M274="","Schedule free video","Free video in production"),IF(P274="Approved","Active",IF(TODAY()&gt;O274,"Active – plan went ahead","Decision pending – "&amp;NETWORKDAYS(TODAY(),O274)&amp;" working day(s) left"))))))</f>
        <v/>
      </c>
      <c r="R274" s="17"/>
      <c r="S274" s="17"/>
      <c r="T274" s="50"/>
      <c r="U274" s="40"/>
      <c r="V274" s="40"/>
      <c r="W274" s="45" t="str">
        <f aca="false">IF(V274="","",EDATE(V274,Settings!$S$6))</f>
        <v/>
      </c>
      <c r="X274" s="17"/>
      <c r="Y274" s="17"/>
      <c r="Z274" s="17"/>
    </row>
    <row r="275" customFormat="false" ht="15" hidden="false" customHeight="false" outlineLevel="0" collapsed="false">
      <c r="A275" s="17"/>
      <c r="B275" s="17"/>
      <c r="C275" s="17"/>
      <c r="D275" s="17"/>
      <c r="E275" s="42"/>
      <c r="F275" s="17"/>
      <c r="G275" s="17"/>
      <c r="H275" s="17"/>
      <c r="I275" s="49" t="str">
        <f aca="false">IF(H275="","",IFERROR(INDEX(Settings!$G$2:$G$4,MATCH(H275,Settings!$F$2:$F$4,0)),""))</f>
        <v/>
      </c>
      <c r="J275" s="40"/>
      <c r="K275" s="50"/>
      <c r="L275" s="17"/>
      <c r="M275" s="40"/>
      <c r="N275" s="40"/>
      <c r="O275" s="45" t="str">
        <f aca="false">IF(N275="","",WORKDAY(N275,Settings!$S$4))</f>
        <v/>
      </c>
      <c r="P275" s="17"/>
      <c r="Q275" s="44" t="str">
        <f aca="true">IF(C275="","",IF(P275="Backed out",IF(S275="Paid","Refunded – closed",IF(R275="","Refund – log reason first","Refund in progress")),IF(K275="","Awaiting payment",IF(N275="",IF(M275="","Schedule free video","Free video in production"),IF(P275="Approved","Active",IF(TODAY()&gt;O275,"Active – plan went ahead","Decision pending – "&amp;NETWORKDAYS(TODAY(),O275)&amp;" working day(s) left"))))))</f>
        <v/>
      </c>
      <c r="R275" s="17"/>
      <c r="S275" s="17"/>
      <c r="T275" s="50"/>
      <c r="U275" s="40"/>
      <c r="V275" s="40"/>
      <c r="W275" s="45" t="str">
        <f aca="false">IF(V275="","",EDATE(V275,Settings!$S$6))</f>
        <v/>
      </c>
      <c r="X275" s="17"/>
      <c r="Y275" s="17"/>
      <c r="Z275" s="17"/>
    </row>
    <row r="276" customFormat="false" ht="15" hidden="false" customHeight="false" outlineLevel="0" collapsed="false">
      <c r="A276" s="17"/>
      <c r="B276" s="17"/>
      <c r="C276" s="17"/>
      <c r="D276" s="17"/>
      <c r="E276" s="42"/>
      <c r="F276" s="17"/>
      <c r="G276" s="17"/>
      <c r="H276" s="17"/>
      <c r="I276" s="49" t="str">
        <f aca="false">IF(H276="","",IFERROR(INDEX(Settings!$G$2:$G$4,MATCH(H276,Settings!$F$2:$F$4,0)),""))</f>
        <v/>
      </c>
      <c r="J276" s="40"/>
      <c r="K276" s="50"/>
      <c r="L276" s="17"/>
      <c r="M276" s="40"/>
      <c r="N276" s="40"/>
      <c r="O276" s="45" t="str">
        <f aca="false">IF(N276="","",WORKDAY(N276,Settings!$S$4))</f>
        <v/>
      </c>
      <c r="P276" s="17"/>
      <c r="Q276" s="44" t="str">
        <f aca="true">IF(C276="","",IF(P276="Backed out",IF(S276="Paid","Refunded – closed",IF(R276="","Refund – log reason first","Refund in progress")),IF(K276="","Awaiting payment",IF(N276="",IF(M276="","Schedule free video","Free video in production"),IF(P276="Approved","Active",IF(TODAY()&gt;O276,"Active – plan went ahead","Decision pending – "&amp;NETWORKDAYS(TODAY(),O276)&amp;" working day(s) left"))))))</f>
        <v/>
      </c>
      <c r="R276" s="17"/>
      <c r="S276" s="17"/>
      <c r="T276" s="50"/>
      <c r="U276" s="40"/>
      <c r="V276" s="40"/>
      <c r="W276" s="45" t="str">
        <f aca="false">IF(V276="","",EDATE(V276,Settings!$S$6))</f>
        <v/>
      </c>
      <c r="X276" s="17"/>
      <c r="Y276" s="17"/>
      <c r="Z276" s="17"/>
    </row>
    <row r="277" customFormat="false" ht="15" hidden="false" customHeight="false" outlineLevel="0" collapsed="false">
      <c r="A277" s="17"/>
      <c r="B277" s="17"/>
      <c r="C277" s="17"/>
      <c r="D277" s="17"/>
      <c r="E277" s="42"/>
      <c r="F277" s="17"/>
      <c r="G277" s="17"/>
      <c r="H277" s="17"/>
      <c r="I277" s="49" t="str">
        <f aca="false">IF(H277="","",IFERROR(INDEX(Settings!$G$2:$G$4,MATCH(H277,Settings!$F$2:$F$4,0)),""))</f>
        <v/>
      </c>
      <c r="J277" s="40"/>
      <c r="K277" s="50"/>
      <c r="L277" s="17"/>
      <c r="M277" s="40"/>
      <c r="N277" s="40"/>
      <c r="O277" s="45" t="str">
        <f aca="false">IF(N277="","",WORKDAY(N277,Settings!$S$4))</f>
        <v/>
      </c>
      <c r="P277" s="17"/>
      <c r="Q277" s="44" t="str">
        <f aca="true">IF(C277="","",IF(P277="Backed out",IF(S277="Paid","Refunded – closed",IF(R277="","Refund – log reason first","Refund in progress")),IF(K277="","Awaiting payment",IF(N277="",IF(M277="","Schedule free video","Free video in production"),IF(P277="Approved","Active",IF(TODAY()&gt;O277,"Active – plan went ahead","Decision pending – "&amp;NETWORKDAYS(TODAY(),O277)&amp;" working day(s) left"))))))</f>
        <v/>
      </c>
      <c r="R277" s="17"/>
      <c r="S277" s="17"/>
      <c r="T277" s="50"/>
      <c r="U277" s="40"/>
      <c r="V277" s="40"/>
      <c r="W277" s="45" t="str">
        <f aca="false">IF(V277="","",EDATE(V277,Settings!$S$6))</f>
        <v/>
      </c>
      <c r="X277" s="17"/>
      <c r="Y277" s="17"/>
      <c r="Z277" s="17"/>
    </row>
    <row r="278" customFormat="false" ht="15" hidden="false" customHeight="false" outlineLevel="0" collapsed="false">
      <c r="A278" s="17"/>
      <c r="B278" s="17"/>
      <c r="C278" s="17"/>
      <c r="D278" s="17"/>
      <c r="E278" s="42"/>
      <c r="F278" s="17"/>
      <c r="G278" s="17"/>
      <c r="H278" s="17"/>
      <c r="I278" s="49" t="str">
        <f aca="false">IF(H278="","",IFERROR(INDEX(Settings!$G$2:$G$4,MATCH(H278,Settings!$F$2:$F$4,0)),""))</f>
        <v/>
      </c>
      <c r="J278" s="40"/>
      <c r="K278" s="50"/>
      <c r="L278" s="17"/>
      <c r="M278" s="40"/>
      <c r="N278" s="40"/>
      <c r="O278" s="45" t="str">
        <f aca="false">IF(N278="","",WORKDAY(N278,Settings!$S$4))</f>
        <v/>
      </c>
      <c r="P278" s="17"/>
      <c r="Q278" s="44" t="str">
        <f aca="true">IF(C278="","",IF(P278="Backed out",IF(S278="Paid","Refunded – closed",IF(R278="","Refund – log reason first","Refund in progress")),IF(K278="","Awaiting payment",IF(N278="",IF(M278="","Schedule free video","Free video in production"),IF(P278="Approved","Active",IF(TODAY()&gt;O278,"Active – plan went ahead","Decision pending – "&amp;NETWORKDAYS(TODAY(),O278)&amp;" working day(s) left"))))))</f>
        <v/>
      </c>
      <c r="R278" s="17"/>
      <c r="S278" s="17"/>
      <c r="T278" s="50"/>
      <c r="U278" s="40"/>
      <c r="V278" s="40"/>
      <c r="W278" s="45" t="str">
        <f aca="false">IF(V278="","",EDATE(V278,Settings!$S$6))</f>
        <v/>
      </c>
      <c r="X278" s="17"/>
      <c r="Y278" s="17"/>
      <c r="Z278" s="17"/>
    </row>
    <row r="279" customFormat="false" ht="15" hidden="false" customHeight="false" outlineLevel="0" collapsed="false">
      <c r="A279" s="17"/>
      <c r="B279" s="17"/>
      <c r="C279" s="17"/>
      <c r="D279" s="17"/>
      <c r="E279" s="42"/>
      <c r="F279" s="17"/>
      <c r="G279" s="17"/>
      <c r="H279" s="17"/>
      <c r="I279" s="49" t="str">
        <f aca="false">IF(H279="","",IFERROR(INDEX(Settings!$G$2:$G$4,MATCH(H279,Settings!$F$2:$F$4,0)),""))</f>
        <v/>
      </c>
      <c r="J279" s="40"/>
      <c r="K279" s="50"/>
      <c r="L279" s="17"/>
      <c r="M279" s="40"/>
      <c r="N279" s="40"/>
      <c r="O279" s="45" t="str">
        <f aca="false">IF(N279="","",WORKDAY(N279,Settings!$S$4))</f>
        <v/>
      </c>
      <c r="P279" s="17"/>
      <c r="Q279" s="44" t="str">
        <f aca="true">IF(C279="","",IF(P279="Backed out",IF(S279="Paid","Refunded – closed",IF(R279="","Refund – log reason first","Refund in progress")),IF(K279="","Awaiting payment",IF(N279="",IF(M279="","Schedule free video","Free video in production"),IF(P279="Approved","Active",IF(TODAY()&gt;O279,"Active – plan went ahead","Decision pending – "&amp;NETWORKDAYS(TODAY(),O279)&amp;" working day(s) left"))))))</f>
        <v/>
      </c>
      <c r="R279" s="17"/>
      <c r="S279" s="17"/>
      <c r="T279" s="50"/>
      <c r="U279" s="40"/>
      <c r="V279" s="40"/>
      <c r="W279" s="45" t="str">
        <f aca="false">IF(V279="","",EDATE(V279,Settings!$S$6))</f>
        <v/>
      </c>
      <c r="X279" s="17"/>
      <c r="Y279" s="17"/>
      <c r="Z279" s="17"/>
    </row>
    <row r="280" customFormat="false" ht="15" hidden="false" customHeight="false" outlineLevel="0" collapsed="false">
      <c r="A280" s="17"/>
      <c r="B280" s="17"/>
      <c r="C280" s="17"/>
      <c r="D280" s="17"/>
      <c r="E280" s="42"/>
      <c r="F280" s="17"/>
      <c r="G280" s="17"/>
      <c r="H280" s="17"/>
      <c r="I280" s="49" t="str">
        <f aca="false">IF(H280="","",IFERROR(INDEX(Settings!$G$2:$G$4,MATCH(H280,Settings!$F$2:$F$4,0)),""))</f>
        <v/>
      </c>
      <c r="J280" s="40"/>
      <c r="K280" s="50"/>
      <c r="L280" s="17"/>
      <c r="M280" s="40"/>
      <c r="N280" s="40"/>
      <c r="O280" s="45" t="str">
        <f aca="false">IF(N280="","",WORKDAY(N280,Settings!$S$4))</f>
        <v/>
      </c>
      <c r="P280" s="17"/>
      <c r="Q280" s="44" t="str">
        <f aca="true">IF(C280="","",IF(P280="Backed out",IF(S280="Paid","Refunded – closed",IF(R280="","Refund – log reason first","Refund in progress")),IF(K280="","Awaiting payment",IF(N280="",IF(M280="","Schedule free video","Free video in production"),IF(P280="Approved","Active",IF(TODAY()&gt;O280,"Active – plan went ahead","Decision pending – "&amp;NETWORKDAYS(TODAY(),O280)&amp;" working day(s) left"))))))</f>
        <v/>
      </c>
      <c r="R280" s="17"/>
      <c r="S280" s="17"/>
      <c r="T280" s="50"/>
      <c r="U280" s="40"/>
      <c r="V280" s="40"/>
      <c r="W280" s="45" t="str">
        <f aca="false">IF(V280="","",EDATE(V280,Settings!$S$6))</f>
        <v/>
      </c>
      <c r="X280" s="17"/>
      <c r="Y280" s="17"/>
      <c r="Z280" s="17"/>
    </row>
    <row r="281" customFormat="false" ht="15" hidden="false" customHeight="false" outlineLevel="0" collapsed="false">
      <c r="A281" s="17"/>
      <c r="B281" s="17"/>
      <c r="C281" s="17"/>
      <c r="D281" s="17"/>
      <c r="E281" s="42"/>
      <c r="F281" s="17"/>
      <c r="G281" s="17"/>
      <c r="H281" s="17"/>
      <c r="I281" s="49" t="str">
        <f aca="false">IF(H281="","",IFERROR(INDEX(Settings!$G$2:$G$4,MATCH(H281,Settings!$F$2:$F$4,0)),""))</f>
        <v/>
      </c>
      <c r="J281" s="40"/>
      <c r="K281" s="50"/>
      <c r="L281" s="17"/>
      <c r="M281" s="40"/>
      <c r="N281" s="40"/>
      <c r="O281" s="45" t="str">
        <f aca="false">IF(N281="","",WORKDAY(N281,Settings!$S$4))</f>
        <v/>
      </c>
      <c r="P281" s="17"/>
      <c r="Q281" s="44" t="str">
        <f aca="true">IF(C281="","",IF(P281="Backed out",IF(S281="Paid","Refunded – closed",IF(R281="","Refund – log reason first","Refund in progress")),IF(K281="","Awaiting payment",IF(N281="",IF(M281="","Schedule free video","Free video in production"),IF(P281="Approved","Active",IF(TODAY()&gt;O281,"Active – plan went ahead","Decision pending – "&amp;NETWORKDAYS(TODAY(),O281)&amp;" working day(s) left"))))))</f>
        <v/>
      </c>
      <c r="R281" s="17"/>
      <c r="S281" s="17"/>
      <c r="T281" s="50"/>
      <c r="U281" s="40"/>
      <c r="V281" s="40"/>
      <c r="W281" s="45" t="str">
        <f aca="false">IF(V281="","",EDATE(V281,Settings!$S$6))</f>
        <v/>
      </c>
      <c r="X281" s="17"/>
      <c r="Y281" s="17"/>
      <c r="Z281" s="17"/>
    </row>
    <row r="282" customFormat="false" ht="15" hidden="false" customHeight="false" outlineLevel="0" collapsed="false">
      <c r="A282" s="17"/>
      <c r="B282" s="17"/>
      <c r="C282" s="17"/>
      <c r="D282" s="17"/>
      <c r="E282" s="42"/>
      <c r="F282" s="17"/>
      <c r="G282" s="17"/>
      <c r="H282" s="17"/>
      <c r="I282" s="49" t="str">
        <f aca="false">IF(H282="","",IFERROR(INDEX(Settings!$G$2:$G$4,MATCH(H282,Settings!$F$2:$F$4,0)),""))</f>
        <v/>
      </c>
      <c r="J282" s="40"/>
      <c r="K282" s="50"/>
      <c r="L282" s="17"/>
      <c r="M282" s="40"/>
      <c r="N282" s="40"/>
      <c r="O282" s="45" t="str">
        <f aca="false">IF(N282="","",WORKDAY(N282,Settings!$S$4))</f>
        <v/>
      </c>
      <c r="P282" s="17"/>
      <c r="Q282" s="44" t="str">
        <f aca="true">IF(C282="","",IF(P282="Backed out",IF(S282="Paid","Refunded – closed",IF(R282="","Refund – log reason first","Refund in progress")),IF(K282="","Awaiting payment",IF(N282="",IF(M282="","Schedule free video","Free video in production"),IF(P282="Approved","Active",IF(TODAY()&gt;O282,"Active – plan went ahead","Decision pending – "&amp;NETWORKDAYS(TODAY(),O282)&amp;" working day(s) left"))))))</f>
        <v/>
      </c>
      <c r="R282" s="17"/>
      <c r="S282" s="17"/>
      <c r="T282" s="50"/>
      <c r="U282" s="40"/>
      <c r="V282" s="40"/>
      <c r="W282" s="45" t="str">
        <f aca="false">IF(V282="","",EDATE(V282,Settings!$S$6))</f>
        <v/>
      </c>
      <c r="X282" s="17"/>
      <c r="Y282" s="17"/>
      <c r="Z282" s="17"/>
    </row>
    <row r="283" customFormat="false" ht="15" hidden="false" customHeight="false" outlineLevel="0" collapsed="false">
      <c r="A283" s="17"/>
      <c r="B283" s="17"/>
      <c r="C283" s="17"/>
      <c r="D283" s="17"/>
      <c r="E283" s="42"/>
      <c r="F283" s="17"/>
      <c r="G283" s="17"/>
      <c r="H283" s="17"/>
      <c r="I283" s="49" t="str">
        <f aca="false">IF(H283="","",IFERROR(INDEX(Settings!$G$2:$G$4,MATCH(H283,Settings!$F$2:$F$4,0)),""))</f>
        <v/>
      </c>
      <c r="J283" s="40"/>
      <c r="K283" s="50"/>
      <c r="L283" s="17"/>
      <c r="M283" s="40"/>
      <c r="N283" s="40"/>
      <c r="O283" s="45" t="str">
        <f aca="false">IF(N283="","",WORKDAY(N283,Settings!$S$4))</f>
        <v/>
      </c>
      <c r="P283" s="17"/>
      <c r="Q283" s="44" t="str">
        <f aca="true">IF(C283="","",IF(P283="Backed out",IF(S283="Paid","Refunded – closed",IF(R283="","Refund – log reason first","Refund in progress")),IF(K283="","Awaiting payment",IF(N283="",IF(M283="","Schedule free video","Free video in production"),IF(P283="Approved","Active",IF(TODAY()&gt;O283,"Active – plan went ahead","Decision pending – "&amp;NETWORKDAYS(TODAY(),O283)&amp;" working day(s) left"))))))</f>
        <v/>
      </c>
      <c r="R283" s="17"/>
      <c r="S283" s="17"/>
      <c r="T283" s="50"/>
      <c r="U283" s="40"/>
      <c r="V283" s="40"/>
      <c r="W283" s="45" t="str">
        <f aca="false">IF(V283="","",EDATE(V283,Settings!$S$6))</f>
        <v/>
      </c>
      <c r="X283" s="17"/>
      <c r="Y283" s="17"/>
      <c r="Z283" s="17"/>
    </row>
    <row r="284" customFormat="false" ht="15" hidden="false" customHeight="false" outlineLevel="0" collapsed="false">
      <c r="A284" s="17"/>
      <c r="B284" s="17"/>
      <c r="C284" s="17"/>
      <c r="D284" s="17"/>
      <c r="E284" s="42"/>
      <c r="F284" s="17"/>
      <c r="G284" s="17"/>
      <c r="H284" s="17"/>
      <c r="I284" s="49" t="str">
        <f aca="false">IF(H284="","",IFERROR(INDEX(Settings!$G$2:$G$4,MATCH(H284,Settings!$F$2:$F$4,0)),""))</f>
        <v/>
      </c>
      <c r="J284" s="40"/>
      <c r="K284" s="50"/>
      <c r="L284" s="17"/>
      <c r="M284" s="40"/>
      <c r="N284" s="40"/>
      <c r="O284" s="45" t="str">
        <f aca="false">IF(N284="","",WORKDAY(N284,Settings!$S$4))</f>
        <v/>
      </c>
      <c r="P284" s="17"/>
      <c r="Q284" s="44" t="str">
        <f aca="true">IF(C284="","",IF(P284="Backed out",IF(S284="Paid","Refunded – closed",IF(R284="","Refund – log reason first","Refund in progress")),IF(K284="","Awaiting payment",IF(N284="",IF(M284="","Schedule free video","Free video in production"),IF(P284="Approved","Active",IF(TODAY()&gt;O284,"Active – plan went ahead","Decision pending – "&amp;NETWORKDAYS(TODAY(),O284)&amp;" working day(s) left"))))))</f>
        <v/>
      </c>
      <c r="R284" s="17"/>
      <c r="S284" s="17"/>
      <c r="T284" s="50"/>
      <c r="U284" s="40"/>
      <c r="V284" s="40"/>
      <c r="W284" s="45" t="str">
        <f aca="false">IF(V284="","",EDATE(V284,Settings!$S$6))</f>
        <v/>
      </c>
      <c r="X284" s="17"/>
      <c r="Y284" s="17"/>
      <c r="Z284" s="17"/>
    </row>
    <row r="285" customFormat="false" ht="15" hidden="false" customHeight="false" outlineLevel="0" collapsed="false">
      <c r="A285" s="17"/>
      <c r="B285" s="17"/>
      <c r="C285" s="17"/>
      <c r="D285" s="17"/>
      <c r="E285" s="42"/>
      <c r="F285" s="17"/>
      <c r="G285" s="17"/>
      <c r="H285" s="17"/>
      <c r="I285" s="49" t="str">
        <f aca="false">IF(H285="","",IFERROR(INDEX(Settings!$G$2:$G$4,MATCH(H285,Settings!$F$2:$F$4,0)),""))</f>
        <v/>
      </c>
      <c r="J285" s="40"/>
      <c r="K285" s="50"/>
      <c r="L285" s="17"/>
      <c r="M285" s="40"/>
      <c r="N285" s="40"/>
      <c r="O285" s="45" t="str">
        <f aca="false">IF(N285="","",WORKDAY(N285,Settings!$S$4))</f>
        <v/>
      </c>
      <c r="P285" s="17"/>
      <c r="Q285" s="44" t="str">
        <f aca="true">IF(C285="","",IF(P285="Backed out",IF(S285="Paid","Refunded – closed",IF(R285="","Refund – log reason first","Refund in progress")),IF(K285="","Awaiting payment",IF(N285="",IF(M285="","Schedule free video","Free video in production"),IF(P285="Approved","Active",IF(TODAY()&gt;O285,"Active – plan went ahead","Decision pending – "&amp;NETWORKDAYS(TODAY(),O285)&amp;" working day(s) left"))))))</f>
        <v/>
      </c>
      <c r="R285" s="17"/>
      <c r="S285" s="17"/>
      <c r="T285" s="50"/>
      <c r="U285" s="40"/>
      <c r="V285" s="40"/>
      <c r="W285" s="45" t="str">
        <f aca="false">IF(V285="","",EDATE(V285,Settings!$S$6))</f>
        <v/>
      </c>
      <c r="X285" s="17"/>
      <c r="Y285" s="17"/>
      <c r="Z285" s="17"/>
    </row>
    <row r="286" customFormat="false" ht="15" hidden="false" customHeight="false" outlineLevel="0" collapsed="false">
      <c r="A286" s="17"/>
      <c r="B286" s="17"/>
      <c r="C286" s="17"/>
      <c r="D286" s="17"/>
      <c r="E286" s="42"/>
      <c r="F286" s="17"/>
      <c r="G286" s="17"/>
      <c r="H286" s="17"/>
      <c r="I286" s="49" t="str">
        <f aca="false">IF(H286="","",IFERROR(INDEX(Settings!$G$2:$G$4,MATCH(H286,Settings!$F$2:$F$4,0)),""))</f>
        <v/>
      </c>
      <c r="J286" s="40"/>
      <c r="K286" s="50"/>
      <c r="L286" s="17"/>
      <c r="M286" s="40"/>
      <c r="N286" s="40"/>
      <c r="O286" s="45" t="str">
        <f aca="false">IF(N286="","",WORKDAY(N286,Settings!$S$4))</f>
        <v/>
      </c>
      <c r="P286" s="17"/>
      <c r="Q286" s="44" t="str">
        <f aca="true">IF(C286="","",IF(P286="Backed out",IF(S286="Paid","Refunded – closed",IF(R286="","Refund – log reason first","Refund in progress")),IF(K286="","Awaiting payment",IF(N286="",IF(M286="","Schedule free video","Free video in production"),IF(P286="Approved","Active",IF(TODAY()&gt;O286,"Active – plan went ahead","Decision pending – "&amp;NETWORKDAYS(TODAY(),O286)&amp;" working day(s) left"))))))</f>
        <v/>
      </c>
      <c r="R286" s="17"/>
      <c r="S286" s="17"/>
      <c r="T286" s="50"/>
      <c r="U286" s="40"/>
      <c r="V286" s="40"/>
      <c r="W286" s="45" t="str">
        <f aca="false">IF(V286="","",EDATE(V286,Settings!$S$6))</f>
        <v/>
      </c>
      <c r="X286" s="17"/>
      <c r="Y286" s="17"/>
      <c r="Z286" s="17"/>
    </row>
    <row r="287" customFormat="false" ht="15" hidden="false" customHeight="false" outlineLevel="0" collapsed="false">
      <c r="A287" s="17"/>
      <c r="B287" s="17"/>
      <c r="C287" s="17"/>
      <c r="D287" s="17"/>
      <c r="E287" s="42"/>
      <c r="F287" s="17"/>
      <c r="G287" s="17"/>
      <c r="H287" s="17"/>
      <c r="I287" s="49" t="str">
        <f aca="false">IF(H287="","",IFERROR(INDEX(Settings!$G$2:$G$4,MATCH(H287,Settings!$F$2:$F$4,0)),""))</f>
        <v/>
      </c>
      <c r="J287" s="40"/>
      <c r="K287" s="50"/>
      <c r="L287" s="17"/>
      <c r="M287" s="40"/>
      <c r="N287" s="40"/>
      <c r="O287" s="45" t="str">
        <f aca="false">IF(N287="","",WORKDAY(N287,Settings!$S$4))</f>
        <v/>
      </c>
      <c r="P287" s="17"/>
      <c r="Q287" s="44" t="str">
        <f aca="true">IF(C287="","",IF(P287="Backed out",IF(S287="Paid","Refunded – closed",IF(R287="","Refund – log reason first","Refund in progress")),IF(K287="","Awaiting payment",IF(N287="",IF(M287="","Schedule free video","Free video in production"),IF(P287="Approved","Active",IF(TODAY()&gt;O287,"Active – plan went ahead","Decision pending – "&amp;NETWORKDAYS(TODAY(),O287)&amp;" working day(s) left"))))))</f>
        <v/>
      </c>
      <c r="R287" s="17"/>
      <c r="S287" s="17"/>
      <c r="T287" s="50"/>
      <c r="U287" s="40"/>
      <c r="V287" s="40"/>
      <c r="W287" s="45" t="str">
        <f aca="false">IF(V287="","",EDATE(V287,Settings!$S$6))</f>
        <v/>
      </c>
      <c r="X287" s="17"/>
      <c r="Y287" s="17"/>
      <c r="Z287" s="17"/>
    </row>
    <row r="288" customFormat="false" ht="15" hidden="false" customHeight="false" outlineLevel="0" collapsed="false">
      <c r="A288" s="17"/>
      <c r="B288" s="17"/>
      <c r="C288" s="17"/>
      <c r="D288" s="17"/>
      <c r="E288" s="42"/>
      <c r="F288" s="17"/>
      <c r="G288" s="17"/>
      <c r="H288" s="17"/>
      <c r="I288" s="49" t="str">
        <f aca="false">IF(H288="","",IFERROR(INDEX(Settings!$G$2:$G$4,MATCH(H288,Settings!$F$2:$F$4,0)),""))</f>
        <v/>
      </c>
      <c r="J288" s="40"/>
      <c r="K288" s="50"/>
      <c r="L288" s="17"/>
      <c r="M288" s="40"/>
      <c r="N288" s="40"/>
      <c r="O288" s="45" t="str">
        <f aca="false">IF(N288="","",WORKDAY(N288,Settings!$S$4))</f>
        <v/>
      </c>
      <c r="P288" s="17"/>
      <c r="Q288" s="44" t="str">
        <f aca="true">IF(C288="","",IF(P288="Backed out",IF(S288="Paid","Refunded – closed",IF(R288="","Refund – log reason first","Refund in progress")),IF(K288="","Awaiting payment",IF(N288="",IF(M288="","Schedule free video","Free video in production"),IF(P288="Approved","Active",IF(TODAY()&gt;O288,"Active – plan went ahead","Decision pending – "&amp;NETWORKDAYS(TODAY(),O288)&amp;" working day(s) left"))))))</f>
        <v/>
      </c>
      <c r="R288" s="17"/>
      <c r="S288" s="17"/>
      <c r="T288" s="50"/>
      <c r="U288" s="40"/>
      <c r="V288" s="40"/>
      <c r="W288" s="45" t="str">
        <f aca="false">IF(V288="","",EDATE(V288,Settings!$S$6))</f>
        <v/>
      </c>
      <c r="X288" s="17"/>
      <c r="Y288" s="17"/>
      <c r="Z288" s="17"/>
    </row>
    <row r="289" customFormat="false" ht="15" hidden="false" customHeight="false" outlineLevel="0" collapsed="false">
      <c r="A289" s="17"/>
      <c r="B289" s="17"/>
      <c r="C289" s="17"/>
      <c r="D289" s="17"/>
      <c r="E289" s="42"/>
      <c r="F289" s="17"/>
      <c r="G289" s="17"/>
      <c r="H289" s="17"/>
      <c r="I289" s="49" t="str">
        <f aca="false">IF(H289="","",IFERROR(INDEX(Settings!$G$2:$G$4,MATCH(H289,Settings!$F$2:$F$4,0)),""))</f>
        <v/>
      </c>
      <c r="J289" s="40"/>
      <c r="K289" s="50"/>
      <c r="L289" s="17"/>
      <c r="M289" s="40"/>
      <c r="N289" s="40"/>
      <c r="O289" s="45" t="str">
        <f aca="false">IF(N289="","",WORKDAY(N289,Settings!$S$4))</f>
        <v/>
      </c>
      <c r="P289" s="17"/>
      <c r="Q289" s="44" t="str">
        <f aca="true">IF(C289="","",IF(P289="Backed out",IF(S289="Paid","Refunded – closed",IF(R289="","Refund – log reason first","Refund in progress")),IF(K289="","Awaiting payment",IF(N289="",IF(M289="","Schedule free video","Free video in production"),IF(P289="Approved","Active",IF(TODAY()&gt;O289,"Active – plan went ahead","Decision pending – "&amp;NETWORKDAYS(TODAY(),O289)&amp;" working day(s) left"))))))</f>
        <v/>
      </c>
      <c r="R289" s="17"/>
      <c r="S289" s="17"/>
      <c r="T289" s="50"/>
      <c r="U289" s="40"/>
      <c r="V289" s="40"/>
      <c r="W289" s="45" t="str">
        <f aca="false">IF(V289="","",EDATE(V289,Settings!$S$6))</f>
        <v/>
      </c>
      <c r="X289" s="17"/>
      <c r="Y289" s="17"/>
      <c r="Z289" s="17"/>
    </row>
    <row r="290" customFormat="false" ht="15" hidden="false" customHeight="false" outlineLevel="0" collapsed="false">
      <c r="A290" s="17"/>
      <c r="B290" s="17"/>
      <c r="C290" s="17"/>
      <c r="D290" s="17"/>
      <c r="E290" s="42"/>
      <c r="F290" s="17"/>
      <c r="G290" s="17"/>
      <c r="H290" s="17"/>
      <c r="I290" s="49" t="str">
        <f aca="false">IF(H290="","",IFERROR(INDEX(Settings!$G$2:$G$4,MATCH(H290,Settings!$F$2:$F$4,0)),""))</f>
        <v/>
      </c>
      <c r="J290" s="40"/>
      <c r="K290" s="50"/>
      <c r="L290" s="17"/>
      <c r="M290" s="40"/>
      <c r="N290" s="40"/>
      <c r="O290" s="45" t="str">
        <f aca="false">IF(N290="","",WORKDAY(N290,Settings!$S$4))</f>
        <v/>
      </c>
      <c r="P290" s="17"/>
      <c r="Q290" s="44" t="str">
        <f aca="true">IF(C290="","",IF(P290="Backed out",IF(S290="Paid","Refunded – closed",IF(R290="","Refund – log reason first","Refund in progress")),IF(K290="","Awaiting payment",IF(N290="",IF(M290="","Schedule free video","Free video in production"),IF(P290="Approved","Active",IF(TODAY()&gt;O290,"Active – plan went ahead","Decision pending – "&amp;NETWORKDAYS(TODAY(),O290)&amp;" working day(s) left"))))))</f>
        <v/>
      </c>
      <c r="R290" s="17"/>
      <c r="S290" s="17"/>
      <c r="T290" s="50"/>
      <c r="U290" s="40"/>
      <c r="V290" s="40"/>
      <c r="W290" s="45" t="str">
        <f aca="false">IF(V290="","",EDATE(V290,Settings!$S$6))</f>
        <v/>
      </c>
      <c r="X290" s="17"/>
      <c r="Y290" s="17"/>
      <c r="Z290" s="17"/>
    </row>
    <row r="291" customFormat="false" ht="15" hidden="false" customHeight="false" outlineLevel="0" collapsed="false">
      <c r="A291" s="17"/>
      <c r="B291" s="17"/>
      <c r="C291" s="17"/>
      <c r="D291" s="17"/>
      <c r="E291" s="42"/>
      <c r="F291" s="17"/>
      <c r="G291" s="17"/>
      <c r="H291" s="17"/>
      <c r="I291" s="49" t="str">
        <f aca="false">IF(H291="","",IFERROR(INDEX(Settings!$G$2:$G$4,MATCH(H291,Settings!$F$2:$F$4,0)),""))</f>
        <v/>
      </c>
      <c r="J291" s="40"/>
      <c r="K291" s="50"/>
      <c r="L291" s="17"/>
      <c r="M291" s="40"/>
      <c r="N291" s="40"/>
      <c r="O291" s="45" t="str">
        <f aca="false">IF(N291="","",WORKDAY(N291,Settings!$S$4))</f>
        <v/>
      </c>
      <c r="P291" s="17"/>
      <c r="Q291" s="44" t="str">
        <f aca="true">IF(C291="","",IF(P291="Backed out",IF(S291="Paid","Refunded – closed",IF(R291="","Refund – log reason first","Refund in progress")),IF(K291="","Awaiting payment",IF(N291="",IF(M291="","Schedule free video","Free video in production"),IF(P291="Approved","Active",IF(TODAY()&gt;O291,"Active – plan went ahead","Decision pending – "&amp;NETWORKDAYS(TODAY(),O291)&amp;" working day(s) left"))))))</f>
        <v/>
      </c>
      <c r="R291" s="17"/>
      <c r="S291" s="17"/>
      <c r="T291" s="50"/>
      <c r="U291" s="40"/>
      <c r="V291" s="40"/>
      <c r="W291" s="45" t="str">
        <f aca="false">IF(V291="","",EDATE(V291,Settings!$S$6))</f>
        <v/>
      </c>
      <c r="X291" s="17"/>
      <c r="Y291" s="17"/>
      <c r="Z291" s="17"/>
    </row>
    <row r="292" customFormat="false" ht="15" hidden="false" customHeight="false" outlineLevel="0" collapsed="false">
      <c r="A292" s="17"/>
      <c r="B292" s="17"/>
      <c r="C292" s="17"/>
      <c r="D292" s="17"/>
      <c r="E292" s="42"/>
      <c r="F292" s="17"/>
      <c r="G292" s="17"/>
      <c r="H292" s="17"/>
      <c r="I292" s="49" t="str">
        <f aca="false">IF(H292="","",IFERROR(INDEX(Settings!$G$2:$G$4,MATCH(H292,Settings!$F$2:$F$4,0)),""))</f>
        <v/>
      </c>
      <c r="J292" s="40"/>
      <c r="K292" s="50"/>
      <c r="L292" s="17"/>
      <c r="M292" s="40"/>
      <c r="N292" s="40"/>
      <c r="O292" s="45" t="str">
        <f aca="false">IF(N292="","",WORKDAY(N292,Settings!$S$4))</f>
        <v/>
      </c>
      <c r="P292" s="17"/>
      <c r="Q292" s="44" t="str">
        <f aca="true">IF(C292="","",IF(P292="Backed out",IF(S292="Paid","Refunded – closed",IF(R292="","Refund – log reason first","Refund in progress")),IF(K292="","Awaiting payment",IF(N292="",IF(M292="","Schedule free video","Free video in production"),IF(P292="Approved","Active",IF(TODAY()&gt;O292,"Active – plan went ahead","Decision pending – "&amp;NETWORKDAYS(TODAY(),O292)&amp;" working day(s) left"))))))</f>
        <v/>
      </c>
      <c r="R292" s="17"/>
      <c r="S292" s="17"/>
      <c r="T292" s="50"/>
      <c r="U292" s="40"/>
      <c r="V292" s="40"/>
      <c r="W292" s="45" t="str">
        <f aca="false">IF(V292="","",EDATE(V292,Settings!$S$6))</f>
        <v/>
      </c>
      <c r="X292" s="17"/>
      <c r="Y292" s="17"/>
      <c r="Z292" s="17"/>
    </row>
    <row r="293" customFormat="false" ht="15" hidden="false" customHeight="false" outlineLevel="0" collapsed="false">
      <c r="A293" s="17"/>
      <c r="B293" s="17"/>
      <c r="C293" s="17"/>
      <c r="D293" s="17"/>
      <c r="E293" s="42"/>
      <c r="F293" s="17"/>
      <c r="G293" s="17"/>
      <c r="H293" s="17"/>
      <c r="I293" s="49" t="str">
        <f aca="false">IF(H293="","",IFERROR(INDEX(Settings!$G$2:$G$4,MATCH(H293,Settings!$F$2:$F$4,0)),""))</f>
        <v/>
      </c>
      <c r="J293" s="40"/>
      <c r="K293" s="50"/>
      <c r="L293" s="17"/>
      <c r="M293" s="40"/>
      <c r="N293" s="40"/>
      <c r="O293" s="45" t="str">
        <f aca="false">IF(N293="","",WORKDAY(N293,Settings!$S$4))</f>
        <v/>
      </c>
      <c r="P293" s="17"/>
      <c r="Q293" s="44" t="str">
        <f aca="true">IF(C293="","",IF(P293="Backed out",IF(S293="Paid","Refunded – closed",IF(R293="","Refund – log reason first","Refund in progress")),IF(K293="","Awaiting payment",IF(N293="",IF(M293="","Schedule free video","Free video in production"),IF(P293="Approved","Active",IF(TODAY()&gt;O293,"Active – plan went ahead","Decision pending – "&amp;NETWORKDAYS(TODAY(),O293)&amp;" working day(s) left"))))))</f>
        <v/>
      </c>
      <c r="R293" s="17"/>
      <c r="S293" s="17"/>
      <c r="T293" s="50"/>
      <c r="U293" s="40"/>
      <c r="V293" s="40"/>
      <c r="W293" s="45" t="str">
        <f aca="false">IF(V293="","",EDATE(V293,Settings!$S$6))</f>
        <v/>
      </c>
      <c r="X293" s="17"/>
      <c r="Y293" s="17"/>
      <c r="Z293" s="17"/>
    </row>
    <row r="294" customFormat="false" ht="15" hidden="false" customHeight="false" outlineLevel="0" collapsed="false">
      <c r="A294" s="17"/>
      <c r="B294" s="17"/>
      <c r="C294" s="17"/>
      <c r="D294" s="17"/>
      <c r="E294" s="42"/>
      <c r="F294" s="17"/>
      <c r="G294" s="17"/>
      <c r="H294" s="17"/>
      <c r="I294" s="49" t="str">
        <f aca="false">IF(H294="","",IFERROR(INDEX(Settings!$G$2:$G$4,MATCH(H294,Settings!$F$2:$F$4,0)),""))</f>
        <v/>
      </c>
      <c r="J294" s="40"/>
      <c r="K294" s="50"/>
      <c r="L294" s="17"/>
      <c r="M294" s="40"/>
      <c r="N294" s="40"/>
      <c r="O294" s="45" t="str">
        <f aca="false">IF(N294="","",WORKDAY(N294,Settings!$S$4))</f>
        <v/>
      </c>
      <c r="P294" s="17"/>
      <c r="Q294" s="44" t="str">
        <f aca="true">IF(C294="","",IF(P294="Backed out",IF(S294="Paid","Refunded – closed",IF(R294="","Refund – log reason first","Refund in progress")),IF(K294="","Awaiting payment",IF(N294="",IF(M294="","Schedule free video","Free video in production"),IF(P294="Approved","Active",IF(TODAY()&gt;O294,"Active – plan went ahead","Decision pending – "&amp;NETWORKDAYS(TODAY(),O294)&amp;" working day(s) left"))))))</f>
        <v/>
      </c>
      <c r="R294" s="17"/>
      <c r="S294" s="17"/>
      <c r="T294" s="50"/>
      <c r="U294" s="40"/>
      <c r="V294" s="40"/>
      <c r="W294" s="45" t="str">
        <f aca="false">IF(V294="","",EDATE(V294,Settings!$S$6))</f>
        <v/>
      </c>
      <c r="X294" s="17"/>
      <c r="Y294" s="17"/>
      <c r="Z294" s="17"/>
    </row>
    <row r="295" customFormat="false" ht="15" hidden="false" customHeight="false" outlineLevel="0" collapsed="false">
      <c r="A295" s="17"/>
      <c r="B295" s="17"/>
      <c r="C295" s="17"/>
      <c r="D295" s="17"/>
      <c r="E295" s="42"/>
      <c r="F295" s="17"/>
      <c r="G295" s="17"/>
      <c r="H295" s="17"/>
      <c r="I295" s="49" t="str">
        <f aca="false">IF(H295="","",IFERROR(INDEX(Settings!$G$2:$G$4,MATCH(H295,Settings!$F$2:$F$4,0)),""))</f>
        <v/>
      </c>
      <c r="J295" s="40"/>
      <c r="K295" s="50"/>
      <c r="L295" s="17"/>
      <c r="M295" s="40"/>
      <c r="N295" s="40"/>
      <c r="O295" s="45" t="str">
        <f aca="false">IF(N295="","",WORKDAY(N295,Settings!$S$4))</f>
        <v/>
      </c>
      <c r="P295" s="17"/>
      <c r="Q295" s="44" t="str">
        <f aca="true">IF(C295="","",IF(P295="Backed out",IF(S295="Paid","Refunded – closed",IF(R295="","Refund – log reason first","Refund in progress")),IF(K295="","Awaiting payment",IF(N295="",IF(M295="","Schedule free video","Free video in production"),IF(P295="Approved","Active",IF(TODAY()&gt;O295,"Active – plan went ahead","Decision pending – "&amp;NETWORKDAYS(TODAY(),O295)&amp;" working day(s) left"))))))</f>
        <v/>
      </c>
      <c r="R295" s="17"/>
      <c r="S295" s="17"/>
      <c r="T295" s="50"/>
      <c r="U295" s="40"/>
      <c r="V295" s="40"/>
      <c r="W295" s="45" t="str">
        <f aca="false">IF(V295="","",EDATE(V295,Settings!$S$6))</f>
        <v/>
      </c>
      <c r="X295" s="17"/>
      <c r="Y295" s="17"/>
      <c r="Z295" s="17"/>
    </row>
    <row r="296" customFormat="false" ht="15" hidden="false" customHeight="false" outlineLevel="0" collapsed="false">
      <c r="A296" s="17"/>
      <c r="B296" s="17"/>
      <c r="C296" s="17"/>
      <c r="D296" s="17"/>
      <c r="E296" s="42"/>
      <c r="F296" s="17"/>
      <c r="G296" s="17"/>
      <c r="H296" s="17"/>
      <c r="I296" s="49" t="str">
        <f aca="false">IF(H296="","",IFERROR(INDEX(Settings!$G$2:$G$4,MATCH(H296,Settings!$F$2:$F$4,0)),""))</f>
        <v/>
      </c>
      <c r="J296" s="40"/>
      <c r="K296" s="50"/>
      <c r="L296" s="17"/>
      <c r="M296" s="40"/>
      <c r="N296" s="40"/>
      <c r="O296" s="45" t="str">
        <f aca="false">IF(N296="","",WORKDAY(N296,Settings!$S$4))</f>
        <v/>
      </c>
      <c r="P296" s="17"/>
      <c r="Q296" s="44" t="str">
        <f aca="true">IF(C296="","",IF(P296="Backed out",IF(S296="Paid","Refunded – closed",IF(R296="","Refund – log reason first","Refund in progress")),IF(K296="","Awaiting payment",IF(N296="",IF(M296="","Schedule free video","Free video in production"),IF(P296="Approved","Active",IF(TODAY()&gt;O296,"Active – plan went ahead","Decision pending – "&amp;NETWORKDAYS(TODAY(),O296)&amp;" working day(s) left"))))))</f>
        <v/>
      </c>
      <c r="R296" s="17"/>
      <c r="S296" s="17"/>
      <c r="T296" s="50"/>
      <c r="U296" s="40"/>
      <c r="V296" s="40"/>
      <c r="W296" s="45" t="str">
        <f aca="false">IF(V296="","",EDATE(V296,Settings!$S$6))</f>
        <v/>
      </c>
      <c r="X296" s="17"/>
      <c r="Y296" s="17"/>
      <c r="Z296" s="17"/>
    </row>
    <row r="297" customFormat="false" ht="15" hidden="false" customHeight="false" outlineLevel="0" collapsed="false">
      <c r="A297" s="17"/>
      <c r="B297" s="17"/>
      <c r="C297" s="17"/>
      <c r="D297" s="17"/>
      <c r="E297" s="42"/>
      <c r="F297" s="17"/>
      <c r="G297" s="17"/>
      <c r="H297" s="17"/>
      <c r="I297" s="49" t="str">
        <f aca="false">IF(H297="","",IFERROR(INDEX(Settings!$G$2:$G$4,MATCH(H297,Settings!$F$2:$F$4,0)),""))</f>
        <v/>
      </c>
      <c r="J297" s="40"/>
      <c r="K297" s="50"/>
      <c r="L297" s="17"/>
      <c r="M297" s="40"/>
      <c r="N297" s="40"/>
      <c r="O297" s="45" t="str">
        <f aca="false">IF(N297="","",WORKDAY(N297,Settings!$S$4))</f>
        <v/>
      </c>
      <c r="P297" s="17"/>
      <c r="Q297" s="44" t="str">
        <f aca="true">IF(C297="","",IF(P297="Backed out",IF(S297="Paid","Refunded – closed",IF(R297="","Refund – log reason first","Refund in progress")),IF(K297="","Awaiting payment",IF(N297="",IF(M297="","Schedule free video","Free video in production"),IF(P297="Approved","Active",IF(TODAY()&gt;O297,"Active – plan went ahead","Decision pending – "&amp;NETWORKDAYS(TODAY(),O297)&amp;" working day(s) left"))))))</f>
        <v/>
      </c>
      <c r="R297" s="17"/>
      <c r="S297" s="17"/>
      <c r="T297" s="50"/>
      <c r="U297" s="40"/>
      <c r="V297" s="40"/>
      <c r="W297" s="45" t="str">
        <f aca="false">IF(V297="","",EDATE(V297,Settings!$S$6))</f>
        <v/>
      </c>
      <c r="X297" s="17"/>
      <c r="Y297" s="17"/>
      <c r="Z297" s="17"/>
    </row>
    <row r="298" customFormat="false" ht="15" hidden="false" customHeight="false" outlineLevel="0" collapsed="false">
      <c r="A298" s="17"/>
      <c r="B298" s="17"/>
      <c r="C298" s="17"/>
      <c r="D298" s="17"/>
      <c r="E298" s="42"/>
      <c r="F298" s="17"/>
      <c r="G298" s="17"/>
      <c r="H298" s="17"/>
      <c r="I298" s="49" t="str">
        <f aca="false">IF(H298="","",IFERROR(INDEX(Settings!$G$2:$G$4,MATCH(H298,Settings!$F$2:$F$4,0)),""))</f>
        <v/>
      </c>
      <c r="J298" s="40"/>
      <c r="K298" s="50"/>
      <c r="L298" s="17"/>
      <c r="M298" s="40"/>
      <c r="N298" s="40"/>
      <c r="O298" s="45" t="str">
        <f aca="false">IF(N298="","",WORKDAY(N298,Settings!$S$4))</f>
        <v/>
      </c>
      <c r="P298" s="17"/>
      <c r="Q298" s="44" t="str">
        <f aca="true">IF(C298="","",IF(P298="Backed out",IF(S298="Paid","Refunded – closed",IF(R298="","Refund – log reason first","Refund in progress")),IF(K298="","Awaiting payment",IF(N298="",IF(M298="","Schedule free video","Free video in production"),IF(P298="Approved","Active",IF(TODAY()&gt;O298,"Active – plan went ahead","Decision pending – "&amp;NETWORKDAYS(TODAY(),O298)&amp;" working day(s) left"))))))</f>
        <v/>
      </c>
      <c r="R298" s="17"/>
      <c r="S298" s="17"/>
      <c r="T298" s="50"/>
      <c r="U298" s="40"/>
      <c r="V298" s="40"/>
      <c r="W298" s="45" t="str">
        <f aca="false">IF(V298="","",EDATE(V298,Settings!$S$6))</f>
        <v/>
      </c>
      <c r="X298" s="17"/>
      <c r="Y298" s="17"/>
      <c r="Z298" s="17"/>
    </row>
    <row r="299" customFormat="false" ht="15" hidden="false" customHeight="false" outlineLevel="0" collapsed="false">
      <c r="A299" s="17"/>
      <c r="B299" s="17"/>
      <c r="C299" s="17"/>
      <c r="D299" s="17"/>
      <c r="E299" s="42"/>
      <c r="F299" s="17"/>
      <c r="G299" s="17"/>
      <c r="H299" s="17"/>
      <c r="I299" s="49" t="str">
        <f aca="false">IF(H299="","",IFERROR(INDEX(Settings!$G$2:$G$4,MATCH(H299,Settings!$F$2:$F$4,0)),""))</f>
        <v/>
      </c>
      <c r="J299" s="40"/>
      <c r="K299" s="50"/>
      <c r="L299" s="17"/>
      <c r="M299" s="40"/>
      <c r="N299" s="40"/>
      <c r="O299" s="45" t="str">
        <f aca="false">IF(N299="","",WORKDAY(N299,Settings!$S$4))</f>
        <v/>
      </c>
      <c r="P299" s="17"/>
      <c r="Q299" s="44" t="str">
        <f aca="true">IF(C299="","",IF(P299="Backed out",IF(S299="Paid","Refunded – closed",IF(R299="","Refund – log reason first","Refund in progress")),IF(K299="","Awaiting payment",IF(N299="",IF(M299="","Schedule free video","Free video in production"),IF(P299="Approved","Active",IF(TODAY()&gt;O299,"Active – plan went ahead","Decision pending – "&amp;NETWORKDAYS(TODAY(),O299)&amp;" working day(s) left"))))))</f>
        <v/>
      </c>
      <c r="R299" s="17"/>
      <c r="S299" s="17"/>
      <c r="T299" s="50"/>
      <c r="U299" s="40"/>
      <c r="V299" s="40"/>
      <c r="W299" s="45" t="str">
        <f aca="false">IF(V299="","",EDATE(V299,Settings!$S$6))</f>
        <v/>
      </c>
      <c r="X299" s="17"/>
      <c r="Y299" s="17"/>
      <c r="Z299" s="17"/>
    </row>
    <row r="300" customFormat="false" ht="15" hidden="false" customHeight="false" outlineLevel="0" collapsed="false">
      <c r="A300" s="17"/>
      <c r="B300" s="17"/>
      <c r="C300" s="17"/>
      <c r="D300" s="17"/>
      <c r="E300" s="42"/>
      <c r="F300" s="17"/>
      <c r="G300" s="17"/>
      <c r="H300" s="17"/>
      <c r="I300" s="49" t="str">
        <f aca="false">IF(H300="","",IFERROR(INDEX(Settings!$G$2:$G$4,MATCH(H300,Settings!$F$2:$F$4,0)),""))</f>
        <v/>
      </c>
      <c r="J300" s="40"/>
      <c r="K300" s="50"/>
      <c r="L300" s="17"/>
      <c r="M300" s="40"/>
      <c r="N300" s="40"/>
      <c r="O300" s="45" t="str">
        <f aca="false">IF(N300="","",WORKDAY(N300,Settings!$S$4))</f>
        <v/>
      </c>
      <c r="P300" s="17"/>
      <c r="Q300" s="44" t="str">
        <f aca="true">IF(C300="","",IF(P300="Backed out",IF(S300="Paid","Refunded – closed",IF(R300="","Refund – log reason first","Refund in progress")),IF(K300="","Awaiting payment",IF(N300="",IF(M300="","Schedule free video","Free video in production"),IF(P300="Approved","Active",IF(TODAY()&gt;O300,"Active – plan went ahead","Decision pending – "&amp;NETWORKDAYS(TODAY(),O300)&amp;" working day(s) left"))))))</f>
        <v/>
      </c>
      <c r="R300" s="17"/>
      <c r="S300" s="17"/>
      <c r="T300" s="50"/>
      <c r="U300" s="40"/>
      <c r="V300" s="40"/>
      <c r="W300" s="45" t="str">
        <f aca="false">IF(V300="","",EDATE(V300,Settings!$S$6))</f>
        <v/>
      </c>
      <c r="X300" s="17"/>
      <c r="Y300" s="17"/>
      <c r="Z300" s="17"/>
    </row>
    <row r="301" customFormat="false" ht="15" hidden="false" customHeight="false" outlineLevel="0" collapsed="false">
      <c r="A301" s="17"/>
      <c r="B301" s="17"/>
      <c r="C301" s="17"/>
      <c r="D301" s="17"/>
      <c r="E301" s="42"/>
      <c r="F301" s="17"/>
      <c r="G301" s="17"/>
      <c r="H301" s="17"/>
      <c r="I301" s="49" t="str">
        <f aca="false">IF(H301="","",IFERROR(INDEX(Settings!$G$2:$G$4,MATCH(H301,Settings!$F$2:$F$4,0)),""))</f>
        <v/>
      </c>
      <c r="J301" s="40"/>
      <c r="K301" s="50"/>
      <c r="L301" s="17"/>
      <c r="M301" s="40"/>
      <c r="N301" s="40"/>
      <c r="O301" s="45" t="str">
        <f aca="false">IF(N301="","",WORKDAY(N301,Settings!$S$4))</f>
        <v/>
      </c>
      <c r="P301" s="17"/>
      <c r="Q301" s="44" t="str">
        <f aca="true">IF(C301="","",IF(P301="Backed out",IF(S301="Paid","Refunded – closed",IF(R301="","Refund – log reason first","Refund in progress")),IF(K301="","Awaiting payment",IF(N301="",IF(M301="","Schedule free video","Free video in production"),IF(P301="Approved","Active",IF(TODAY()&gt;O301,"Active – plan went ahead","Decision pending – "&amp;NETWORKDAYS(TODAY(),O301)&amp;" working day(s) left"))))))</f>
        <v/>
      </c>
      <c r="R301" s="17"/>
      <c r="S301" s="17"/>
      <c r="T301" s="50"/>
      <c r="U301" s="40"/>
      <c r="V301" s="40"/>
      <c r="W301" s="45" t="str">
        <f aca="false">IF(V301="","",EDATE(V301,Settings!$S$6))</f>
        <v/>
      </c>
      <c r="X301" s="17"/>
      <c r="Y301" s="17"/>
      <c r="Z301" s="17"/>
    </row>
    <row r="302" customFormat="false" ht="15" hidden="false" customHeight="false" outlineLevel="0" collapsed="false">
      <c r="A302" s="17"/>
      <c r="B302" s="17"/>
      <c r="C302" s="17"/>
      <c r="D302" s="17"/>
      <c r="E302" s="42"/>
      <c r="F302" s="17"/>
      <c r="G302" s="17"/>
      <c r="H302" s="17"/>
      <c r="I302" s="49" t="str">
        <f aca="false">IF(H302="","",IFERROR(INDEX(Settings!$G$2:$G$4,MATCH(H302,Settings!$F$2:$F$4,0)),""))</f>
        <v/>
      </c>
      <c r="J302" s="40"/>
      <c r="K302" s="50"/>
      <c r="L302" s="17"/>
      <c r="M302" s="40"/>
      <c r="N302" s="40"/>
      <c r="O302" s="45" t="str">
        <f aca="false">IF(N302="","",WORKDAY(N302,Settings!$S$4))</f>
        <v/>
      </c>
      <c r="P302" s="17"/>
      <c r="Q302" s="44" t="str">
        <f aca="true">IF(C302="","",IF(P302="Backed out",IF(S302="Paid","Refunded – closed",IF(R302="","Refund – log reason first","Refund in progress")),IF(K302="","Awaiting payment",IF(N302="",IF(M302="","Schedule free video","Free video in production"),IF(P302="Approved","Active",IF(TODAY()&gt;O302,"Active – plan went ahead","Decision pending – "&amp;NETWORKDAYS(TODAY(),O302)&amp;" working day(s) left"))))))</f>
        <v/>
      </c>
      <c r="R302" s="17"/>
      <c r="S302" s="17"/>
      <c r="T302" s="50"/>
      <c r="U302" s="40"/>
      <c r="V302" s="40"/>
      <c r="W302" s="45" t="str">
        <f aca="false">IF(V302="","",EDATE(V302,Settings!$S$6))</f>
        <v/>
      </c>
      <c r="X302" s="17"/>
      <c r="Y302" s="17"/>
      <c r="Z302" s="17"/>
    </row>
    <row r="303" customFormat="false" ht="15" hidden="false" customHeight="false" outlineLevel="0" collapsed="false">
      <c r="A303" s="17"/>
      <c r="B303" s="17"/>
      <c r="C303" s="17"/>
      <c r="D303" s="17"/>
      <c r="E303" s="42"/>
      <c r="F303" s="17"/>
      <c r="G303" s="17"/>
      <c r="H303" s="17"/>
      <c r="I303" s="49" t="str">
        <f aca="false">IF(H303="","",IFERROR(INDEX(Settings!$G$2:$G$4,MATCH(H303,Settings!$F$2:$F$4,0)),""))</f>
        <v/>
      </c>
      <c r="J303" s="40"/>
      <c r="K303" s="50"/>
      <c r="L303" s="17"/>
      <c r="M303" s="40"/>
      <c r="N303" s="40"/>
      <c r="O303" s="45" t="str">
        <f aca="false">IF(N303="","",WORKDAY(N303,Settings!$S$4))</f>
        <v/>
      </c>
      <c r="P303" s="17"/>
      <c r="Q303" s="44" t="str">
        <f aca="true">IF(C303="","",IF(P303="Backed out",IF(S303="Paid","Refunded – closed",IF(R303="","Refund – log reason first","Refund in progress")),IF(K303="","Awaiting payment",IF(N303="",IF(M303="","Schedule free video","Free video in production"),IF(P303="Approved","Active",IF(TODAY()&gt;O303,"Active – plan went ahead","Decision pending – "&amp;NETWORKDAYS(TODAY(),O303)&amp;" working day(s) left"))))))</f>
        <v/>
      </c>
      <c r="R303" s="17"/>
      <c r="S303" s="17"/>
      <c r="T303" s="50"/>
      <c r="U303" s="40"/>
      <c r="V303" s="40"/>
      <c r="W303" s="45" t="str">
        <f aca="false">IF(V303="","",EDATE(V303,Settings!$S$6))</f>
        <v/>
      </c>
      <c r="X303" s="17"/>
      <c r="Y303" s="17"/>
      <c r="Z303" s="17"/>
    </row>
    <row r="304" customFormat="false" ht="15" hidden="false" customHeight="false" outlineLevel="0" collapsed="false">
      <c r="A304" s="17"/>
      <c r="B304" s="17"/>
      <c r="C304" s="17"/>
      <c r="D304" s="17"/>
      <c r="E304" s="42"/>
      <c r="F304" s="17"/>
      <c r="G304" s="17"/>
      <c r="H304" s="17"/>
      <c r="I304" s="49" t="str">
        <f aca="false">IF(H304="","",IFERROR(INDEX(Settings!$G$2:$G$4,MATCH(H304,Settings!$F$2:$F$4,0)),""))</f>
        <v/>
      </c>
      <c r="J304" s="40"/>
      <c r="K304" s="50"/>
      <c r="L304" s="17"/>
      <c r="M304" s="40"/>
      <c r="N304" s="40"/>
      <c r="O304" s="45" t="str">
        <f aca="false">IF(N304="","",WORKDAY(N304,Settings!$S$4))</f>
        <v/>
      </c>
      <c r="P304" s="17"/>
      <c r="Q304" s="44" t="str">
        <f aca="true">IF(C304="","",IF(P304="Backed out",IF(S304="Paid","Refunded – closed",IF(R304="","Refund – log reason first","Refund in progress")),IF(K304="","Awaiting payment",IF(N304="",IF(M304="","Schedule free video","Free video in production"),IF(P304="Approved","Active",IF(TODAY()&gt;O304,"Active – plan went ahead","Decision pending – "&amp;NETWORKDAYS(TODAY(),O304)&amp;" working day(s) left"))))))</f>
        <v/>
      </c>
      <c r="R304" s="17"/>
      <c r="S304" s="17"/>
      <c r="T304" s="50"/>
      <c r="U304" s="40"/>
      <c r="V304" s="40"/>
      <c r="W304" s="45" t="str">
        <f aca="false">IF(V304="","",EDATE(V304,Settings!$S$6))</f>
        <v/>
      </c>
      <c r="X304" s="17"/>
      <c r="Y304" s="17"/>
      <c r="Z304" s="17"/>
    </row>
    <row r="305" customFormat="false" ht="15" hidden="false" customHeight="false" outlineLevel="0" collapsed="false">
      <c r="A305" s="17"/>
      <c r="B305" s="17"/>
      <c r="C305" s="17"/>
      <c r="D305" s="17"/>
      <c r="E305" s="42"/>
      <c r="F305" s="17"/>
      <c r="G305" s="17"/>
      <c r="H305" s="17"/>
      <c r="I305" s="49" t="str">
        <f aca="false">IF(H305="","",IFERROR(INDEX(Settings!$G$2:$G$4,MATCH(H305,Settings!$F$2:$F$4,0)),""))</f>
        <v/>
      </c>
      <c r="J305" s="40"/>
      <c r="K305" s="50"/>
      <c r="L305" s="17"/>
      <c r="M305" s="40"/>
      <c r="N305" s="40"/>
      <c r="O305" s="45" t="str">
        <f aca="false">IF(N305="","",WORKDAY(N305,Settings!$S$4))</f>
        <v/>
      </c>
      <c r="P305" s="17"/>
      <c r="Q305" s="44" t="str">
        <f aca="true">IF(C305="","",IF(P305="Backed out",IF(S305="Paid","Refunded – closed",IF(R305="","Refund – log reason first","Refund in progress")),IF(K305="","Awaiting payment",IF(N305="",IF(M305="","Schedule free video","Free video in production"),IF(P305="Approved","Active",IF(TODAY()&gt;O305,"Active – plan went ahead","Decision pending – "&amp;NETWORKDAYS(TODAY(),O305)&amp;" working day(s) left"))))))</f>
        <v/>
      </c>
      <c r="R305" s="17"/>
      <c r="S305" s="17"/>
      <c r="T305" s="50"/>
      <c r="U305" s="40"/>
      <c r="V305" s="40"/>
      <c r="W305" s="45" t="str">
        <f aca="false">IF(V305="","",EDATE(V305,Settings!$S$6))</f>
        <v/>
      </c>
      <c r="X305" s="17"/>
      <c r="Y305" s="17"/>
      <c r="Z305" s="17"/>
    </row>
    <row r="306" customFormat="false" ht="15" hidden="false" customHeight="false" outlineLevel="0" collapsed="false">
      <c r="A306" s="17"/>
      <c r="B306" s="17"/>
      <c r="C306" s="17"/>
      <c r="D306" s="17"/>
      <c r="E306" s="42"/>
      <c r="F306" s="17"/>
      <c r="G306" s="17"/>
      <c r="H306" s="17"/>
      <c r="I306" s="49" t="str">
        <f aca="false">IF(H306="","",IFERROR(INDEX(Settings!$G$2:$G$4,MATCH(H306,Settings!$F$2:$F$4,0)),""))</f>
        <v/>
      </c>
      <c r="J306" s="40"/>
      <c r="K306" s="50"/>
      <c r="L306" s="17"/>
      <c r="M306" s="40"/>
      <c r="N306" s="40"/>
      <c r="O306" s="45" t="str">
        <f aca="false">IF(N306="","",WORKDAY(N306,Settings!$S$4))</f>
        <v/>
      </c>
      <c r="P306" s="17"/>
      <c r="Q306" s="44" t="str">
        <f aca="true">IF(C306="","",IF(P306="Backed out",IF(S306="Paid","Refunded – closed",IF(R306="","Refund – log reason first","Refund in progress")),IF(K306="","Awaiting payment",IF(N306="",IF(M306="","Schedule free video","Free video in production"),IF(P306="Approved","Active",IF(TODAY()&gt;O306,"Active – plan went ahead","Decision pending – "&amp;NETWORKDAYS(TODAY(),O306)&amp;" working day(s) left"))))))</f>
        <v/>
      </c>
      <c r="R306" s="17"/>
      <c r="S306" s="17"/>
      <c r="T306" s="50"/>
      <c r="U306" s="40"/>
      <c r="V306" s="40"/>
      <c r="W306" s="45" t="str">
        <f aca="false">IF(V306="","",EDATE(V306,Settings!$S$6))</f>
        <v/>
      </c>
      <c r="X306" s="17"/>
      <c r="Y306" s="17"/>
      <c r="Z306" s="17"/>
    </row>
    <row r="307" customFormat="false" ht="15" hidden="false" customHeight="false" outlineLevel="0" collapsed="false">
      <c r="A307" s="17"/>
      <c r="B307" s="17"/>
      <c r="C307" s="17"/>
      <c r="D307" s="17"/>
      <c r="E307" s="42"/>
      <c r="F307" s="17"/>
      <c r="G307" s="17"/>
      <c r="H307" s="17"/>
      <c r="I307" s="49" t="str">
        <f aca="false">IF(H307="","",IFERROR(INDEX(Settings!$G$2:$G$4,MATCH(H307,Settings!$F$2:$F$4,0)),""))</f>
        <v/>
      </c>
      <c r="J307" s="40"/>
      <c r="K307" s="50"/>
      <c r="L307" s="17"/>
      <c r="M307" s="40"/>
      <c r="N307" s="40"/>
      <c r="O307" s="45" t="str">
        <f aca="false">IF(N307="","",WORKDAY(N307,Settings!$S$4))</f>
        <v/>
      </c>
      <c r="P307" s="17"/>
      <c r="Q307" s="44" t="str">
        <f aca="true">IF(C307="","",IF(P307="Backed out",IF(S307="Paid","Refunded – closed",IF(R307="","Refund – log reason first","Refund in progress")),IF(K307="","Awaiting payment",IF(N307="",IF(M307="","Schedule free video","Free video in production"),IF(P307="Approved","Active",IF(TODAY()&gt;O307,"Active – plan went ahead","Decision pending – "&amp;NETWORKDAYS(TODAY(),O307)&amp;" working day(s) left"))))))</f>
        <v/>
      </c>
      <c r="R307" s="17"/>
      <c r="S307" s="17"/>
      <c r="T307" s="50"/>
      <c r="U307" s="40"/>
      <c r="V307" s="40"/>
      <c r="W307" s="45" t="str">
        <f aca="false">IF(V307="","",EDATE(V307,Settings!$S$6))</f>
        <v/>
      </c>
      <c r="X307" s="17"/>
      <c r="Y307" s="17"/>
      <c r="Z307" s="17"/>
    </row>
    <row r="308" customFormat="false" ht="15" hidden="false" customHeight="false" outlineLevel="0" collapsed="false">
      <c r="A308" s="17"/>
      <c r="B308" s="17"/>
      <c r="C308" s="17"/>
      <c r="D308" s="17"/>
      <c r="E308" s="42"/>
      <c r="F308" s="17"/>
      <c r="G308" s="17"/>
      <c r="H308" s="17"/>
      <c r="I308" s="49" t="str">
        <f aca="false">IF(H308="","",IFERROR(INDEX(Settings!$G$2:$G$4,MATCH(H308,Settings!$F$2:$F$4,0)),""))</f>
        <v/>
      </c>
      <c r="J308" s="40"/>
      <c r="K308" s="50"/>
      <c r="L308" s="17"/>
      <c r="M308" s="40"/>
      <c r="N308" s="40"/>
      <c r="O308" s="45" t="str">
        <f aca="false">IF(N308="","",WORKDAY(N308,Settings!$S$4))</f>
        <v/>
      </c>
      <c r="P308" s="17"/>
      <c r="Q308" s="44" t="str">
        <f aca="true">IF(C308="","",IF(P308="Backed out",IF(S308="Paid","Refunded – closed",IF(R308="","Refund – log reason first","Refund in progress")),IF(K308="","Awaiting payment",IF(N308="",IF(M308="","Schedule free video","Free video in production"),IF(P308="Approved","Active",IF(TODAY()&gt;O308,"Active – plan went ahead","Decision pending – "&amp;NETWORKDAYS(TODAY(),O308)&amp;" working day(s) left"))))))</f>
        <v/>
      </c>
      <c r="R308" s="17"/>
      <c r="S308" s="17"/>
      <c r="T308" s="50"/>
      <c r="U308" s="40"/>
      <c r="V308" s="40"/>
      <c r="W308" s="45" t="str">
        <f aca="false">IF(V308="","",EDATE(V308,Settings!$S$6))</f>
        <v/>
      </c>
      <c r="X308" s="17"/>
      <c r="Y308" s="17"/>
      <c r="Z308" s="17"/>
    </row>
    <row r="309" customFormat="false" ht="15" hidden="false" customHeight="false" outlineLevel="0" collapsed="false">
      <c r="A309" s="17"/>
      <c r="B309" s="17"/>
      <c r="C309" s="17"/>
      <c r="D309" s="17"/>
      <c r="E309" s="42"/>
      <c r="F309" s="17"/>
      <c r="G309" s="17"/>
      <c r="H309" s="17"/>
      <c r="I309" s="49" t="str">
        <f aca="false">IF(H309="","",IFERROR(INDEX(Settings!$G$2:$G$4,MATCH(H309,Settings!$F$2:$F$4,0)),""))</f>
        <v/>
      </c>
      <c r="J309" s="40"/>
      <c r="K309" s="50"/>
      <c r="L309" s="17"/>
      <c r="M309" s="40"/>
      <c r="N309" s="40"/>
      <c r="O309" s="45" t="str">
        <f aca="false">IF(N309="","",WORKDAY(N309,Settings!$S$4))</f>
        <v/>
      </c>
      <c r="P309" s="17"/>
      <c r="Q309" s="44" t="str">
        <f aca="true">IF(C309="","",IF(P309="Backed out",IF(S309="Paid","Refunded – closed",IF(R309="","Refund – log reason first","Refund in progress")),IF(K309="","Awaiting payment",IF(N309="",IF(M309="","Schedule free video","Free video in production"),IF(P309="Approved","Active",IF(TODAY()&gt;O309,"Active – plan went ahead","Decision pending – "&amp;NETWORKDAYS(TODAY(),O309)&amp;" working day(s) left"))))))</f>
        <v/>
      </c>
      <c r="R309" s="17"/>
      <c r="S309" s="17"/>
      <c r="T309" s="50"/>
      <c r="U309" s="40"/>
      <c r="V309" s="40"/>
      <c r="W309" s="45" t="str">
        <f aca="false">IF(V309="","",EDATE(V309,Settings!$S$6))</f>
        <v/>
      </c>
      <c r="X309" s="17"/>
      <c r="Y309" s="17"/>
      <c r="Z309" s="17"/>
    </row>
    <row r="310" customFormat="false" ht="15" hidden="false" customHeight="false" outlineLevel="0" collapsed="false">
      <c r="A310" s="17"/>
      <c r="B310" s="17"/>
      <c r="C310" s="17"/>
      <c r="D310" s="17"/>
      <c r="E310" s="42"/>
      <c r="F310" s="17"/>
      <c r="G310" s="17"/>
      <c r="H310" s="17"/>
      <c r="I310" s="49" t="str">
        <f aca="false">IF(H310="","",IFERROR(INDEX(Settings!$G$2:$G$4,MATCH(H310,Settings!$F$2:$F$4,0)),""))</f>
        <v/>
      </c>
      <c r="J310" s="40"/>
      <c r="K310" s="50"/>
      <c r="L310" s="17"/>
      <c r="M310" s="40"/>
      <c r="N310" s="40"/>
      <c r="O310" s="45" t="str">
        <f aca="false">IF(N310="","",WORKDAY(N310,Settings!$S$4))</f>
        <v/>
      </c>
      <c r="P310" s="17"/>
      <c r="Q310" s="44" t="str">
        <f aca="true">IF(C310="","",IF(P310="Backed out",IF(S310="Paid","Refunded – closed",IF(R310="","Refund – log reason first","Refund in progress")),IF(K310="","Awaiting payment",IF(N310="",IF(M310="","Schedule free video","Free video in production"),IF(P310="Approved","Active",IF(TODAY()&gt;O310,"Active – plan went ahead","Decision pending – "&amp;NETWORKDAYS(TODAY(),O310)&amp;" working day(s) left"))))))</f>
        <v/>
      </c>
      <c r="R310" s="17"/>
      <c r="S310" s="17"/>
      <c r="T310" s="50"/>
      <c r="U310" s="40"/>
      <c r="V310" s="40"/>
      <c r="W310" s="45" t="str">
        <f aca="false">IF(V310="","",EDATE(V310,Settings!$S$6))</f>
        <v/>
      </c>
      <c r="X310" s="17"/>
      <c r="Y310" s="17"/>
      <c r="Z310" s="17"/>
    </row>
    <row r="311" customFormat="false" ht="15" hidden="false" customHeight="false" outlineLevel="0" collapsed="false">
      <c r="A311" s="17"/>
      <c r="B311" s="17"/>
      <c r="C311" s="17"/>
      <c r="D311" s="17"/>
      <c r="E311" s="42"/>
      <c r="F311" s="17"/>
      <c r="G311" s="17"/>
      <c r="H311" s="17"/>
      <c r="I311" s="49" t="str">
        <f aca="false">IF(H311="","",IFERROR(INDEX(Settings!$G$2:$G$4,MATCH(H311,Settings!$F$2:$F$4,0)),""))</f>
        <v/>
      </c>
      <c r="J311" s="40"/>
      <c r="K311" s="50"/>
      <c r="L311" s="17"/>
      <c r="M311" s="40"/>
      <c r="N311" s="40"/>
      <c r="O311" s="45" t="str">
        <f aca="false">IF(N311="","",WORKDAY(N311,Settings!$S$4))</f>
        <v/>
      </c>
      <c r="P311" s="17"/>
      <c r="Q311" s="44" t="str">
        <f aca="true">IF(C311="","",IF(P311="Backed out",IF(S311="Paid","Refunded – closed",IF(R311="","Refund – log reason first","Refund in progress")),IF(K311="","Awaiting payment",IF(N311="",IF(M311="","Schedule free video","Free video in production"),IF(P311="Approved","Active",IF(TODAY()&gt;O311,"Active – plan went ahead","Decision pending – "&amp;NETWORKDAYS(TODAY(),O311)&amp;" working day(s) left"))))))</f>
        <v/>
      </c>
      <c r="R311" s="17"/>
      <c r="S311" s="17"/>
      <c r="T311" s="50"/>
      <c r="U311" s="40"/>
      <c r="V311" s="40"/>
      <c r="W311" s="45" t="str">
        <f aca="false">IF(V311="","",EDATE(V311,Settings!$S$6))</f>
        <v/>
      </c>
      <c r="X311" s="17"/>
      <c r="Y311" s="17"/>
      <c r="Z311" s="17"/>
    </row>
    <row r="312" customFormat="false" ht="15" hidden="false" customHeight="false" outlineLevel="0" collapsed="false">
      <c r="A312" s="17"/>
      <c r="B312" s="17"/>
      <c r="C312" s="17"/>
      <c r="D312" s="17"/>
      <c r="E312" s="42"/>
      <c r="F312" s="17"/>
      <c r="G312" s="17"/>
      <c r="H312" s="17"/>
      <c r="I312" s="49" t="str">
        <f aca="false">IF(H312="","",IFERROR(INDEX(Settings!$G$2:$G$4,MATCH(H312,Settings!$F$2:$F$4,0)),""))</f>
        <v/>
      </c>
      <c r="J312" s="40"/>
      <c r="K312" s="50"/>
      <c r="L312" s="17"/>
      <c r="M312" s="40"/>
      <c r="N312" s="40"/>
      <c r="O312" s="45" t="str">
        <f aca="false">IF(N312="","",WORKDAY(N312,Settings!$S$4))</f>
        <v/>
      </c>
      <c r="P312" s="17"/>
      <c r="Q312" s="44" t="str">
        <f aca="true">IF(C312="","",IF(P312="Backed out",IF(S312="Paid","Refunded – closed",IF(R312="","Refund – log reason first","Refund in progress")),IF(K312="","Awaiting payment",IF(N312="",IF(M312="","Schedule free video","Free video in production"),IF(P312="Approved","Active",IF(TODAY()&gt;O312,"Active – plan went ahead","Decision pending – "&amp;NETWORKDAYS(TODAY(),O312)&amp;" working day(s) left"))))))</f>
        <v/>
      </c>
      <c r="R312" s="17"/>
      <c r="S312" s="17"/>
      <c r="T312" s="50"/>
      <c r="U312" s="40"/>
      <c r="V312" s="40"/>
      <c r="W312" s="45" t="str">
        <f aca="false">IF(V312="","",EDATE(V312,Settings!$S$6))</f>
        <v/>
      </c>
      <c r="X312" s="17"/>
      <c r="Y312" s="17"/>
      <c r="Z312" s="17"/>
    </row>
    <row r="313" customFormat="false" ht="15" hidden="false" customHeight="false" outlineLevel="0" collapsed="false">
      <c r="A313" s="17"/>
      <c r="B313" s="17"/>
      <c r="C313" s="17"/>
      <c r="D313" s="17"/>
      <c r="E313" s="42"/>
      <c r="F313" s="17"/>
      <c r="G313" s="17"/>
      <c r="H313" s="17"/>
      <c r="I313" s="49" t="str">
        <f aca="false">IF(H313="","",IFERROR(INDEX(Settings!$G$2:$G$4,MATCH(H313,Settings!$F$2:$F$4,0)),""))</f>
        <v/>
      </c>
      <c r="J313" s="40"/>
      <c r="K313" s="50"/>
      <c r="L313" s="17"/>
      <c r="M313" s="40"/>
      <c r="N313" s="40"/>
      <c r="O313" s="45" t="str">
        <f aca="false">IF(N313="","",WORKDAY(N313,Settings!$S$4))</f>
        <v/>
      </c>
      <c r="P313" s="17"/>
      <c r="Q313" s="44" t="str">
        <f aca="true">IF(C313="","",IF(P313="Backed out",IF(S313="Paid","Refunded – closed",IF(R313="","Refund – log reason first","Refund in progress")),IF(K313="","Awaiting payment",IF(N313="",IF(M313="","Schedule free video","Free video in production"),IF(P313="Approved","Active",IF(TODAY()&gt;O313,"Active – plan went ahead","Decision pending – "&amp;NETWORKDAYS(TODAY(),O313)&amp;" working day(s) left"))))))</f>
        <v/>
      </c>
      <c r="R313" s="17"/>
      <c r="S313" s="17"/>
      <c r="T313" s="50"/>
      <c r="U313" s="40"/>
      <c r="V313" s="40"/>
      <c r="W313" s="45" t="str">
        <f aca="false">IF(V313="","",EDATE(V313,Settings!$S$6))</f>
        <v/>
      </c>
      <c r="X313" s="17"/>
      <c r="Y313" s="17"/>
      <c r="Z313" s="17"/>
    </row>
    <row r="314" customFormat="false" ht="15" hidden="false" customHeight="false" outlineLevel="0" collapsed="false">
      <c r="A314" s="17"/>
      <c r="B314" s="17"/>
      <c r="C314" s="17"/>
      <c r="D314" s="17"/>
      <c r="E314" s="42"/>
      <c r="F314" s="17"/>
      <c r="G314" s="17"/>
      <c r="H314" s="17"/>
      <c r="I314" s="49" t="str">
        <f aca="false">IF(H314="","",IFERROR(INDEX(Settings!$G$2:$G$4,MATCH(H314,Settings!$F$2:$F$4,0)),""))</f>
        <v/>
      </c>
      <c r="J314" s="40"/>
      <c r="K314" s="50"/>
      <c r="L314" s="17"/>
      <c r="M314" s="40"/>
      <c r="N314" s="40"/>
      <c r="O314" s="45" t="str">
        <f aca="false">IF(N314="","",WORKDAY(N314,Settings!$S$4))</f>
        <v/>
      </c>
      <c r="P314" s="17"/>
      <c r="Q314" s="44" t="str">
        <f aca="true">IF(C314="","",IF(P314="Backed out",IF(S314="Paid","Refunded – closed",IF(R314="","Refund – log reason first","Refund in progress")),IF(K314="","Awaiting payment",IF(N314="",IF(M314="","Schedule free video","Free video in production"),IF(P314="Approved","Active",IF(TODAY()&gt;O314,"Active – plan went ahead","Decision pending – "&amp;NETWORKDAYS(TODAY(),O314)&amp;" working day(s) left"))))))</f>
        <v/>
      </c>
      <c r="R314" s="17"/>
      <c r="S314" s="17"/>
      <c r="T314" s="50"/>
      <c r="U314" s="40"/>
      <c r="V314" s="40"/>
      <c r="W314" s="45" t="str">
        <f aca="false">IF(V314="","",EDATE(V314,Settings!$S$6))</f>
        <v/>
      </c>
      <c r="X314" s="17"/>
      <c r="Y314" s="17"/>
      <c r="Z314" s="17"/>
    </row>
    <row r="315" customFormat="false" ht="15" hidden="false" customHeight="false" outlineLevel="0" collapsed="false">
      <c r="A315" s="17"/>
      <c r="B315" s="17"/>
      <c r="C315" s="17"/>
      <c r="D315" s="17"/>
      <c r="E315" s="42"/>
      <c r="F315" s="17"/>
      <c r="G315" s="17"/>
      <c r="H315" s="17"/>
      <c r="I315" s="49" t="str">
        <f aca="false">IF(H315="","",IFERROR(INDEX(Settings!$G$2:$G$4,MATCH(H315,Settings!$F$2:$F$4,0)),""))</f>
        <v/>
      </c>
      <c r="J315" s="40"/>
      <c r="K315" s="50"/>
      <c r="L315" s="17"/>
      <c r="M315" s="40"/>
      <c r="N315" s="40"/>
      <c r="O315" s="45" t="str">
        <f aca="false">IF(N315="","",WORKDAY(N315,Settings!$S$4))</f>
        <v/>
      </c>
      <c r="P315" s="17"/>
      <c r="Q315" s="44" t="str">
        <f aca="true">IF(C315="","",IF(P315="Backed out",IF(S315="Paid","Refunded – closed",IF(R315="","Refund – log reason first","Refund in progress")),IF(K315="","Awaiting payment",IF(N315="",IF(M315="","Schedule free video","Free video in production"),IF(P315="Approved","Active",IF(TODAY()&gt;O315,"Active – plan went ahead","Decision pending – "&amp;NETWORKDAYS(TODAY(),O315)&amp;" working day(s) left"))))))</f>
        <v/>
      </c>
      <c r="R315" s="17"/>
      <c r="S315" s="17"/>
      <c r="T315" s="50"/>
      <c r="U315" s="40"/>
      <c r="V315" s="40"/>
      <c r="W315" s="45" t="str">
        <f aca="false">IF(V315="","",EDATE(V315,Settings!$S$6))</f>
        <v/>
      </c>
      <c r="X315" s="17"/>
      <c r="Y315" s="17"/>
      <c r="Z315" s="17"/>
    </row>
    <row r="316" customFormat="false" ht="15" hidden="false" customHeight="false" outlineLevel="0" collapsed="false">
      <c r="A316" s="17"/>
      <c r="B316" s="17"/>
      <c r="C316" s="17"/>
      <c r="D316" s="17"/>
      <c r="E316" s="42"/>
      <c r="F316" s="17"/>
      <c r="G316" s="17"/>
      <c r="H316" s="17"/>
      <c r="I316" s="49" t="str">
        <f aca="false">IF(H316="","",IFERROR(INDEX(Settings!$G$2:$G$4,MATCH(H316,Settings!$F$2:$F$4,0)),""))</f>
        <v/>
      </c>
      <c r="J316" s="40"/>
      <c r="K316" s="50"/>
      <c r="L316" s="17"/>
      <c r="M316" s="40"/>
      <c r="N316" s="40"/>
      <c r="O316" s="45" t="str">
        <f aca="false">IF(N316="","",WORKDAY(N316,Settings!$S$4))</f>
        <v/>
      </c>
      <c r="P316" s="17"/>
      <c r="Q316" s="44" t="str">
        <f aca="true">IF(C316="","",IF(P316="Backed out",IF(S316="Paid","Refunded – closed",IF(R316="","Refund – log reason first","Refund in progress")),IF(K316="","Awaiting payment",IF(N316="",IF(M316="","Schedule free video","Free video in production"),IF(P316="Approved","Active",IF(TODAY()&gt;O316,"Active – plan went ahead","Decision pending – "&amp;NETWORKDAYS(TODAY(),O316)&amp;" working day(s) left"))))))</f>
        <v/>
      </c>
      <c r="R316" s="17"/>
      <c r="S316" s="17"/>
      <c r="T316" s="50"/>
      <c r="U316" s="40"/>
      <c r="V316" s="40"/>
      <c r="W316" s="45" t="str">
        <f aca="false">IF(V316="","",EDATE(V316,Settings!$S$6))</f>
        <v/>
      </c>
      <c r="X316" s="17"/>
      <c r="Y316" s="17"/>
      <c r="Z316" s="17"/>
    </row>
    <row r="317" customFormat="false" ht="15" hidden="false" customHeight="false" outlineLevel="0" collapsed="false">
      <c r="A317" s="17"/>
      <c r="B317" s="17"/>
      <c r="C317" s="17"/>
      <c r="D317" s="17"/>
      <c r="E317" s="42"/>
      <c r="F317" s="17"/>
      <c r="G317" s="17"/>
      <c r="H317" s="17"/>
      <c r="I317" s="49" t="str">
        <f aca="false">IF(H317="","",IFERROR(INDEX(Settings!$G$2:$G$4,MATCH(H317,Settings!$F$2:$F$4,0)),""))</f>
        <v/>
      </c>
      <c r="J317" s="40"/>
      <c r="K317" s="50"/>
      <c r="L317" s="17"/>
      <c r="M317" s="40"/>
      <c r="N317" s="40"/>
      <c r="O317" s="45" t="str">
        <f aca="false">IF(N317="","",WORKDAY(N317,Settings!$S$4))</f>
        <v/>
      </c>
      <c r="P317" s="17"/>
      <c r="Q317" s="44" t="str">
        <f aca="true">IF(C317="","",IF(P317="Backed out",IF(S317="Paid","Refunded – closed",IF(R317="","Refund – log reason first","Refund in progress")),IF(K317="","Awaiting payment",IF(N317="",IF(M317="","Schedule free video","Free video in production"),IF(P317="Approved","Active",IF(TODAY()&gt;O317,"Active – plan went ahead","Decision pending – "&amp;NETWORKDAYS(TODAY(),O317)&amp;" working day(s) left"))))))</f>
        <v/>
      </c>
      <c r="R317" s="17"/>
      <c r="S317" s="17"/>
      <c r="T317" s="50"/>
      <c r="U317" s="40"/>
      <c r="V317" s="40"/>
      <c r="W317" s="45" t="str">
        <f aca="false">IF(V317="","",EDATE(V317,Settings!$S$6))</f>
        <v/>
      </c>
      <c r="X317" s="17"/>
      <c r="Y317" s="17"/>
      <c r="Z317" s="17"/>
    </row>
    <row r="318" customFormat="false" ht="15" hidden="false" customHeight="false" outlineLevel="0" collapsed="false">
      <c r="A318" s="17"/>
      <c r="B318" s="17"/>
      <c r="C318" s="17"/>
      <c r="D318" s="17"/>
      <c r="E318" s="42"/>
      <c r="F318" s="17"/>
      <c r="G318" s="17"/>
      <c r="H318" s="17"/>
      <c r="I318" s="49" t="str">
        <f aca="false">IF(H318="","",IFERROR(INDEX(Settings!$G$2:$G$4,MATCH(H318,Settings!$F$2:$F$4,0)),""))</f>
        <v/>
      </c>
      <c r="J318" s="40"/>
      <c r="K318" s="50"/>
      <c r="L318" s="17"/>
      <c r="M318" s="40"/>
      <c r="N318" s="40"/>
      <c r="O318" s="45" t="str">
        <f aca="false">IF(N318="","",WORKDAY(N318,Settings!$S$4))</f>
        <v/>
      </c>
      <c r="P318" s="17"/>
      <c r="Q318" s="44" t="str">
        <f aca="true">IF(C318="","",IF(P318="Backed out",IF(S318="Paid","Refunded – closed",IF(R318="","Refund – log reason first","Refund in progress")),IF(K318="","Awaiting payment",IF(N318="",IF(M318="","Schedule free video","Free video in production"),IF(P318="Approved","Active",IF(TODAY()&gt;O318,"Active – plan went ahead","Decision pending – "&amp;NETWORKDAYS(TODAY(),O318)&amp;" working day(s) left"))))))</f>
        <v/>
      </c>
      <c r="R318" s="17"/>
      <c r="S318" s="17"/>
      <c r="T318" s="50"/>
      <c r="U318" s="40"/>
      <c r="V318" s="40"/>
      <c r="W318" s="45" t="str">
        <f aca="false">IF(V318="","",EDATE(V318,Settings!$S$6))</f>
        <v/>
      </c>
      <c r="X318" s="17"/>
      <c r="Y318" s="17"/>
      <c r="Z318" s="17"/>
    </row>
    <row r="319" customFormat="false" ht="15" hidden="false" customHeight="false" outlineLevel="0" collapsed="false">
      <c r="A319" s="17"/>
      <c r="B319" s="17"/>
      <c r="C319" s="17"/>
      <c r="D319" s="17"/>
      <c r="E319" s="42"/>
      <c r="F319" s="17"/>
      <c r="G319" s="17"/>
      <c r="H319" s="17"/>
      <c r="I319" s="49" t="str">
        <f aca="false">IF(H319="","",IFERROR(INDEX(Settings!$G$2:$G$4,MATCH(H319,Settings!$F$2:$F$4,0)),""))</f>
        <v/>
      </c>
      <c r="J319" s="40"/>
      <c r="K319" s="50"/>
      <c r="L319" s="17"/>
      <c r="M319" s="40"/>
      <c r="N319" s="40"/>
      <c r="O319" s="45" t="str">
        <f aca="false">IF(N319="","",WORKDAY(N319,Settings!$S$4))</f>
        <v/>
      </c>
      <c r="P319" s="17"/>
      <c r="Q319" s="44" t="str">
        <f aca="true">IF(C319="","",IF(P319="Backed out",IF(S319="Paid","Refunded – closed",IF(R319="","Refund – log reason first","Refund in progress")),IF(K319="","Awaiting payment",IF(N319="",IF(M319="","Schedule free video","Free video in production"),IF(P319="Approved","Active",IF(TODAY()&gt;O319,"Active – plan went ahead","Decision pending – "&amp;NETWORKDAYS(TODAY(),O319)&amp;" working day(s) left"))))))</f>
        <v/>
      </c>
      <c r="R319" s="17"/>
      <c r="S319" s="17"/>
      <c r="T319" s="50"/>
      <c r="U319" s="40"/>
      <c r="V319" s="40"/>
      <c r="W319" s="45" t="str">
        <f aca="false">IF(V319="","",EDATE(V319,Settings!$S$6))</f>
        <v/>
      </c>
      <c r="X319" s="17"/>
      <c r="Y319" s="17"/>
      <c r="Z319" s="17"/>
    </row>
    <row r="320" customFormat="false" ht="15" hidden="false" customHeight="false" outlineLevel="0" collapsed="false">
      <c r="A320" s="17"/>
      <c r="B320" s="17"/>
      <c r="C320" s="17"/>
      <c r="D320" s="17"/>
      <c r="E320" s="42"/>
      <c r="F320" s="17"/>
      <c r="G320" s="17"/>
      <c r="H320" s="17"/>
      <c r="I320" s="49" t="str">
        <f aca="false">IF(H320="","",IFERROR(INDEX(Settings!$G$2:$G$4,MATCH(H320,Settings!$F$2:$F$4,0)),""))</f>
        <v/>
      </c>
      <c r="J320" s="40"/>
      <c r="K320" s="50"/>
      <c r="L320" s="17"/>
      <c r="M320" s="40"/>
      <c r="N320" s="40"/>
      <c r="O320" s="45" t="str">
        <f aca="false">IF(N320="","",WORKDAY(N320,Settings!$S$4))</f>
        <v/>
      </c>
      <c r="P320" s="17"/>
      <c r="Q320" s="44" t="str">
        <f aca="true">IF(C320="","",IF(P320="Backed out",IF(S320="Paid","Refunded – closed",IF(R320="","Refund – log reason first","Refund in progress")),IF(K320="","Awaiting payment",IF(N320="",IF(M320="","Schedule free video","Free video in production"),IF(P320="Approved","Active",IF(TODAY()&gt;O320,"Active – plan went ahead","Decision pending – "&amp;NETWORKDAYS(TODAY(),O320)&amp;" working day(s) left"))))))</f>
        <v/>
      </c>
      <c r="R320" s="17"/>
      <c r="S320" s="17"/>
      <c r="T320" s="50"/>
      <c r="U320" s="40"/>
      <c r="V320" s="40"/>
      <c r="W320" s="45" t="str">
        <f aca="false">IF(V320="","",EDATE(V320,Settings!$S$6))</f>
        <v/>
      </c>
      <c r="X320" s="17"/>
      <c r="Y320" s="17"/>
      <c r="Z320" s="17"/>
    </row>
    <row r="321" customFormat="false" ht="15" hidden="false" customHeight="false" outlineLevel="0" collapsed="false">
      <c r="A321" s="17"/>
      <c r="B321" s="17"/>
      <c r="C321" s="17"/>
      <c r="D321" s="17"/>
      <c r="E321" s="42"/>
      <c r="F321" s="17"/>
      <c r="G321" s="17"/>
      <c r="H321" s="17"/>
      <c r="I321" s="49" t="str">
        <f aca="false">IF(H321="","",IFERROR(INDEX(Settings!$G$2:$G$4,MATCH(H321,Settings!$F$2:$F$4,0)),""))</f>
        <v/>
      </c>
      <c r="J321" s="40"/>
      <c r="K321" s="50"/>
      <c r="L321" s="17"/>
      <c r="M321" s="40"/>
      <c r="N321" s="40"/>
      <c r="O321" s="45" t="str">
        <f aca="false">IF(N321="","",WORKDAY(N321,Settings!$S$4))</f>
        <v/>
      </c>
      <c r="P321" s="17"/>
      <c r="Q321" s="44" t="str">
        <f aca="true">IF(C321="","",IF(P321="Backed out",IF(S321="Paid","Refunded – closed",IF(R321="","Refund – log reason first","Refund in progress")),IF(K321="","Awaiting payment",IF(N321="",IF(M321="","Schedule free video","Free video in production"),IF(P321="Approved","Active",IF(TODAY()&gt;O321,"Active – plan went ahead","Decision pending – "&amp;NETWORKDAYS(TODAY(),O321)&amp;" working day(s) left"))))))</f>
        <v/>
      </c>
      <c r="R321" s="17"/>
      <c r="S321" s="17"/>
      <c r="T321" s="50"/>
      <c r="U321" s="40"/>
      <c r="V321" s="40"/>
      <c r="W321" s="45" t="str">
        <f aca="false">IF(V321="","",EDATE(V321,Settings!$S$6))</f>
        <v/>
      </c>
      <c r="X321" s="17"/>
      <c r="Y321" s="17"/>
      <c r="Z321" s="17"/>
    </row>
    <row r="322" customFormat="false" ht="15" hidden="false" customHeight="false" outlineLevel="0" collapsed="false">
      <c r="A322" s="17"/>
      <c r="B322" s="17"/>
      <c r="C322" s="17"/>
      <c r="D322" s="17"/>
      <c r="E322" s="42"/>
      <c r="F322" s="17"/>
      <c r="G322" s="17"/>
      <c r="H322" s="17"/>
      <c r="I322" s="49" t="str">
        <f aca="false">IF(H322="","",IFERROR(INDEX(Settings!$G$2:$G$4,MATCH(H322,Settings!$F$2:$F$4,0)),""))</f>
        <v/>
      </c>
      <c r="J322" s="40"/>
      <c r="K322" s="50"/>
      <c r="L322" s="17"/>
      <c r="M322" s="40"/>
      <c r="N322" s="40"/>
      <c r="O322" s="45" t="str">
        <f aca="false">IF(N322="","",WORKDAY(N322,Settings!$S$4))</f>
        <v/>
      </c>
      <c r="P322" s="17"/>
      <c r="Q322" s="44" t="str">
        <f aca="true">IF(C322="","",IF(P322="Backed out",IF(S322="Paid","Refunded – closed",IF(R322="","Refund – log reason first","Refund in progress")),IF(K322="","Awaiting payment",IF(N322="",IF(M322="","Schedule free video","Free video in production"),IF(P322="Approved","Active",IF(TODAY()&gt;O322,"Active – plan went ahead","Decision pending – "&amp;NETWORKDAYS(TODAY(),O322)&amp;" working day(s) left"))))))</f>
        <v/>
      </c>
      <c r="R322" s="17"/>
      <c r="S322" s="17"/>
      <c r="T322" s="50"/>
      <c r="U322" s="40"/>
      <c r="V322" s="40"/>
      <c r="W322" s="45" t="str">
        <f aca="false">IF(V322="","",EDATE(V322,Settings!$S$6))</f>
        <v/>
      </c>
      <c r="X322" s="17"/>
      <c r="Y322" s="17"/>
      <c r="Z322" s="17"/>
    </row>
    <row r="323" customFormat="false" ht="15" hidden="false" customHeight="false" outlineLevel="0" collapsed="false">
      <c r="A323" s="17"/>
      <c r="B323" s="17"/>
      <c r="C323" s="17"/>
      <c r="D323" s="17"/>
      <c r="E323" s="42"/>
      <c r="F323" s="17"/>
      <c r="G323" s="17"/>
      <c r="H323" s="17"/>
      <c r="I323" s="49" t="str">
        <f aca="false">IF(H323="","",IFERROR(INDEX(Settings!$G$2:$G$4,MATCH(H323,Settings!$F$2:$F$4,0)),""))</f>
        <v/>
      </c>
      <c r="J323" s="40"/>
      <c r="K323" s="50"/>
      <c r="L323" s="17"/>
      <c r="M323" s="40"/>
      <c r="N323" s="40"/>
      <c r="O323" s="45" t="str">
        <f aca="false">IF(N323="","",WORKDAY(N323,Settings!$S$4))</f>
        <v/>
      </c>
      <c r="P323" s="17"/>
      <c r="Q323" s="44" t="str">
        <f aca="true">IF(C323="","",IF(P323="Backed out",IF(S323="Paid","Refunded – closed",IF(R323="","Refund – log reason first","Refund in progress")),IF(K323="","Awaiting payment",IF(N323="",IF(M323="","Schedule free video","Free video in production"),IF(P323="Approved","Active",IF(TODAY()&gt;O323,"Active – plan went ahead","Decision pending – "&amp;NETWORKDAYS(TODAY(),O323)&amp;" working day(s) left"))))))</f>
        <v/>
      </c>
      <c r="R323" s="17"/>
      <c r="S323" s="17"/>
      <c r="T323" s="50"/>
      <c r="U323" s="40"/>
      <c r="V323" s="40"/>
      <c r="W323" s="45" t="str">
        <f aca="false">IF(V323="","",EDATE(V323,Settings!$S$6))</f>
        <v/>
      </c>
      <c r="X323" s="17"/>
      <c r="Y323" s="17"/>
      <c r="Z323" s="17"/>
    </row>
    <row r="324" customFormat="false" ht="15" hidden="false" customHeight="false" outlineLevel="0" collapsed="false">
      <c r="A324" s="17"/>
      <c r="B324" s="17"/>
      <c r="C324" s="17"/>
      <c r="D324" s="17"/>
      <c r="E324" s="42"/>
      <c r="F324" s="17"/>
      <c r="G324" s="17"/>
      <c r="H324" s="17"/>
      <c r="I324" s="49" t="str">
        <f aca="false">IF(H324="","",IFERROR(INDEX(Settings!$G$2:$G$4,MATCH(H324,Settings!$F$2:$F$4,0)),""))</f>
        <v/>
      </c>
      <c r="J324" s="40"/>
      <c r="K324" s="50"/>
      <c r="L324" s="17"/>
      <c r="M324" s="40"/>
      <c r="N324" s="40"/>
      <c r="O324" s="45" t="str">
        <f aca="false">IF(N324="","",WORKDAY(N324,Settings!$S$4))</f>
        <v/>
      </c>
      <c r="P324" s="17"/>
      <c r="Q324" s="44" t="str">
        <f aca="true">IF(C324="","",IF(P324="Backed out",IF(S324="Paid","Refunded – closed",IF(R324="","Refund – log reason first","Refund in progress")),IF(K324="","Awaiting payment",IF(N324="",IF(M324="","Schedule free video","Free video in production"),IF(P324="Approved","Active",IF(TODAY()&gt;O324,"Active – plan went ahead","Decision pending – "&amp;NETWORKDAYS(TODAY(),O324)&amp;" working day(s) left"))))))</f>
        <v/>
      </c>
      <c r="R324" s="17"/>
      <c r="S324" s="17"/>
      <c r="T324" s="50"/>
      <c r="U324" s="40"/>
      <c r="V324" s="40"/>
      <c r="W324" s="45" t="str">
        <f aca="false">IF(V324="","",EDATE(V324,Settings!$S$6))</f>
        <v/>
      </c>
      <c r="X324" s="17"/>
      <c r="Y324" s="17"/>
      <c r="Z324" s="17"/>
    </row>
    <row r="325" customFormat="false" ht="15" hidden="false" customHeight="false" outlineLevel="0" collapsed="false">
      <c r="A325" s="17"/>
      <c r="B325" s="17"/>
      <c r="C325" s="17"/>
      <c r="D325" s="17"/>
      <c r="E325" s="42"/>
      <c r="F325" s="17"/>
      <c r="G325" s="17"/>
      <c r="H325" s="17"/>
      <c r="I325" s="49" t="str">
        <f aca="false">IF(H325="","",IFERROR(INDEX(Settings!$G$2:$G$4,MATCH(H325,Settings!$F$2:$F$4,0)),""))</f>
        <v/>
      </c>
      <c r="J325" s="40"/>
      <c r="K325" s="50"/>
      <c r="L325" s="17"/>
      <c r="M325" s="40"/>
      <c r="N325" s="40"/>
      <c r="O325" s="45" t="str">
        <f aca="false">IF(N325="","",WORKDAY(N325,Settings!$S$4))</f>
        <v/>
      </c>
      <c r="P325" s="17"/>
      <c r="Q325" s="44" t="str">
        <f aca="true">IF(C325="","",IF(P325="Backed out",IF(S325="Paid","Refunded – closed",IF(R325="","Refund – log reason first","Refund in progress")),IF(K325="","Awaiting payment",IF(N325="",IF(M325="","Schedule free video","Free video in production"),IF(P325="Approved","Active",IF(TODAY()&gt;O325,"Active – plan went ahead","Decision pending – "&amp;NETWORKDAYS(TODAY(),O325)&amp;" working day(s) left"))))))</f>
        <v/>
      </c>
      <c r="R325" s="17"/>
      <c r="S325" s="17"/>
      <c r="T325" s="50"/>
      <c r="U325" s="40"/>
      <c r="V325" s="40"/>
      <c r="W325" s="45" t="str">
        <f aca="false">IF(V325="","",EDATE(V325,Settings!$S$6))</f>
        <v/>
      </c>
      <c r="X325" s="17"/>
      <c r="Y325" s="17"/>
      <c r="Z325" s="17"/>
    </row>
    <row r="326" customFormat="false" ht="15" hidden="false" customHeight="false" outlineLevel="0" collapsed="false">
      <c r="A326" s="17"/>
      <c r="B326" s="17"/>
      <c r="C326" s="17"/>
      <c r="D326" s="17"/>
      <c r="E326" s="42"/>
      <c r="F326" s="17"/>
      <c r="G326" s="17"/>
      <c r="H326" s="17"/>
      <c r="I326" s="49" t="str">
        <f aca="false">IF(H326="","",IFERROR(INDEX(Settings!$G$2:$G$4,MATCH(H326,Settings!$F$2:$F$4,0)),""))</f>
        <v/>
      </c>
      <c r="J326" s="40"/>
      <c r="K326" s="50"/>
      <c r="L326" s="17"/>
      <c r="M326" s="40"/>
      <c r="N326" s="40"/>
      <c r="O326" s="45" t="str">
        <f aca="false">IF(N326="","",WORKDAY(N326,Settings!$S$4))</f>
        <v/>
      </c>
      <c r="P326" s="17"/>
      <c r="Q326" s="44" t="str">
        <f aca="true">IF(C326="","",IF(P326="Backed out",IF(S326="Paid","Refunded – closed",IF(R326="","Refund – log reason first","Refund in progress")),IF(K326="","Awaiting payment",IF(N326="",IF(M326="","Schedule free video","Free video in production"),IF(P326="Approved","Active",IF(TODAY()&gt;O326,"Active – plan went ahead","Decision pending – "&amp;NETWORKDAYS(TODAY(),O326)&amp;" working day(s) left"))))))</f>
        <v/>
      </c>
      <c r="R326" s="17"/>
      <c r="S326" s="17"/>
      <c r="T326" s="50"/>
      <c r="U326" s="40"/>
      <c r="V326" s="40"/>
      <c r="W326" s="45" t="str">
        <f aca="false">IF(V326="","",EDATE(V326,Settings!$S$6))</f>
        <v/>
      </c>
      <c r="X326" s="17"/>
      <c r="Y326" s="17"/>
      <c r="Z326" s="17"/>
    </row>
    <row r="327" customFormat="false" ht="15" hidden="false" customHeight="false" outlineLevel="0" collapsed="false">
      <c r="A327" s="17"/>
      <c r="B327" s="17"/>
      <c r="C327" s="17"/>
      <c r="D327" s="17"/>
      <c r="E327" s="42"/>
      <c r="F327" s="17"/>
      <c r="G327" s="17"/>
      <c r="H327" s="17"/>
      <c r="I327" s="49" t="str">
        <f aca="false">IF(H327="","",IFERROR(INDEX(Settings!$G$2:$G$4,MATCH(H327,Settings!$F$2:$F$4,0)),""))</f>
        <v/>
      </c>
      <c r="J327" s="40"/>
      <c r="K327" s="50"/>
      <c r="L327" s="17"/>
      <c r="M327" s="40"/>
      <c r="N327" s="40"/>
      <c r="O327" s="45" t="str">
        <f aca="false">IF(N327="","",WORKDAY(N327,Settings!$S$4))</f>
        <v/>
      </c>
      <c r="P327" s="17"/>
      <c r="Q327" s="44" t="str">
        <f aca="true">IF(C327="","",IF(P327="Backed out",IF(S327="Paid","Refunded – closed",IF(R327="","Refund – log reason first","Refund in progress")),IF(K327="","Awaiting payment",IF(N327="",IF(M327="","Schedule free video","Free video in production"),IF(P327="Approved","Active",IF(TODAY()&gt;O327,"Active – plan went ahead","Decision pending – "&amp;NETWORKDAYS(TODAY(),O327)&amp;" working day(s) left"))))))</f>
        <v/>
      </c>
      <c r="R327" s="17"/>
      <c r="S327" s="17"/>
      <c r="T327" s="50"/>
      <c r="U327" s="40"/>
      <c r="V327" s="40"/>
      <c r="W327" s="45" t="str">
        <f aca="false">IF(V327="","",EDATE(V327,Settings!$S$6))</f>
        <v/>
      </c>
      <c r="X327" s="17"/>
      <c r="Y327" s="17"/>
      <c r="Z327" s="17"/>
    </row>
    <row r="328" customFormat="false" ht="15" hidden="false" customHeight="false" outlineLevel="0" collapsed="false">
      <c r="A328" s="17"/>
      <c r="B328" s="17"/>
      <c r="C328" s="17"/>
      <c r="D328" s="17"/>
      <c r="E328" s="42"/>
      <c r="F328" s="17"/>
      <c r="G328" s="17"/>
      <c r="H328" s="17"/>
      <c r="I328" s="49" t="str">
        <f aca="false">IF(H328="","",IFERROR(INDEX(Settings!$G$2:$G$4,MATCH(H328,Settings!$F$2:$F$4,0)),""))</f>
        <v/>
      </c>
      <c r="J328" s="40"/>
      <c r="K328" s="50"/>
      <c r="L328" s="17"/>
      <c r="M328" s="40"/>
      <c r="N328" s="40"/>
      <c r="O328" s="45" t="str">
        <f aca="false">IF(N328="","",WORKDAY(N328,Settings!$S$4))</f>
        <v/>
      </c>
      <c r="P328" s="17"/>
      <c r="Q328" s="44" t="str">
        <f aca="true">IF(C328="","",IF(P328="Backed out",IF(S328="Paid","Refunded – closed",IF(R328="","Refund – log reason first","Refund in progress")),IF(K328="","Awaiting payment",IF(N328="",IF(M328="","Schedule free video","Free video in production"),IF(P328="Approved","Active",IF(TODAY()&gt;O328,"Active – plan went ahead","Decision pending – "&amp;NETWORKDAYS(TODAY(),O328)&amp;" working day(s) left"))))))</f>
        <v/>
      </c>
      <c r="R328" s="17"/>
      <c r="S328" s="17"/>
      <c r="T328" s="50"/>
      <c r="U328" s="40"/>
      <c r="V328" s="40"/>
      <c r="W328" s="45" t="str">
        <f aca="false">IF(V328="","",EDATE(V328,Settings!$S$6))</f>
        <v/>
      </c>
      <c r="X328" s="17"/>
      <c r="Y328" s="17"/>
      <c r="Z328" s="17"/>
    </row>
    <row r="329" customFormat="false" ht="15" hidden="false" customHeight="false" outlineLevel="0" collapsed="false">
      <c r="A329" s="17"/>
      <c r="B329" s="17"/>
      <c r="C329" s="17"/>
      <c r="D329" s="17"/>
      <c r="E329" s="42"/>
      <c r="F329" s="17"/>
      <c r="G329" s="17"/>
      <c r="H329" s="17"/>
      <c r="I329" s="49" t="str">
        <f aca="false">IF(H329="","",IFERROR(INDEX(Settings!$G$2:$G$4,MATCH(H329,Settings!$F$2:$F$4,0)),""))</f>
        <v/>
      </c>
      <c r="J329" s="40"/>
      <c r="K329" s="50"/>
      <c r="L329" s="17"/>
      <c r="M329" s="40"/>
      <c r="N329" s="40"/>
      <c r="O329" s="45" t="str">
        <f aca="false">IF(N329="","",WORKDAY(N329,Settings!$S$4))</f>
        <v/>
      </c>
      <c r="P329" s="17"/>
      <c r="Q329" s="44" t="str">
        <f aca="true">IF(C329="","",IF(P329="Backed out",IF(S329="Paid","Refunded – closed",IF(R329="","Refund – log reason first","Refund in progress")),IF(K329="","Awaiting payment",IF(N329="",IF(M329="","Schedule free video","Free video in production"),IF(P329="Approved","Active",IF(TODAY()&gt;O329,"Active – plan went ahead","Decision pending – "&amp;NETWORKDAYS(TODAY(),O329)&amp;" working day(s) left"))))))</f>
        <v/>
      </c>
      <c r="R329" s="17"/>
      <c r="S329" s="17"/>
      <c r="T329" s="50"/>
      <c r="U329" s="40"/>
      <c r="V329" s="40"/>
      <c r="W329" s="45" t="str">
        <f aca="false">IF(V329="","",EDATE(V329,Settings!$S$6))</f>
        <v/>
      </c>
      <c r="X329" s="17"/>
      <c r="Y329" s="17"/>
      <c r="Z329" s="17"/>
    </row>
    <row r="330" customFormat="false" ht="15" hidden="false" customHeight="false" outlineLevel="0" collapsed="false">
      <c r="A330" s="17"/>
      <c r="B330" s="17"/>
      <c r="C330" s="17"/>
      <c r="D330" s="17"/>
      <c r="E330" s="42"/>
      <c r="F330" s="17"/>
      <c r="G330" s="17"/>
      <c r="H330" s="17"/>
      <c r="I330" s="49" t="str">
        <f aca="false">IF(H330="","",IFERROR(INDEX(Settings!$G$2:$G$4,MATCH(H330,Settings!$F$2:$F$4,0)),""))</f>
        <v/>
      </c>
      <c r="J330" s="40"/>
      <c r="K330" s="50"/>
      <c r="L330" s="17"/>
      <c r="M330" s="40"/>
      <c r="N330" s="40"/>
      <c r="O330" s="45" t="str">
        <f aca="false">IF(N330="","",WORKDAY(N330,Settings!$S$4))</f>
        <v/>
      </c>
      <c r="P330" s="17"/>
      <c r="Q330" s="44" t="str">
        <f aca="true">IF(C330="","",IF(P330="Backed out",IF(S330="Paid","Refunded – closed",IF(R330="","Refund – log reason first","Refund in progress")),IF(K330="","Awaiting payment",IF(N330="",IF(M330="","Schedule free video","Free video in production"),IF(P330="Approved","Active",IF(TODAY()&gt;O330,"Active – plan went ahead","Decision pending – "&amp;NETWORKDAYS(TODAY(),O330)&amp;" working day(s) left"))))))</f>
        <v/>
      </c>
      <c r="R330" s="17"/>
      <c r="S330" s="17"/>
      <c r="T330" s="50"/>
      <c r="U330" s="40"/>
      <c r="V330" s="40"/>
      <c r="W330" s="45" t="str">
        <f aca="false">IF(V330="","",EDATE(V330,Settings!$S$6))</f>
        <v/>
      </c>
      <c r="X330" s="17"/>
      <c r="Y330" s="17"/>
      <c r="Z330" s="17"/>
    </row>
    <row r="331" customFormat="false" ht="15" hidden="false" customHeight="false" outlineLevel="0" collapsed="false">
      <c r="A331" s="17"/>
      <c r="B331" s="17"/>
      <c r="C331" s="17"/>
      <c r="D331" s="17"/>
      <c r="E331" s="42"/>
      <c r="F331" s="17"/>
      <c r="G331" s="17"/>
      <c r="H331" s="17"/>
      <c r="I331" s="49" t="str">
        <f aca="false">IF(H331="","",IFERROR(INDEX(Settings!$G$2:$G$4,MATCH(H331,Settings!$F$2:$F$4,0)),""))</f>
        <v/>
      </c>
      <c r="J331" s="40"/>
      <c r="K331" s="50"/>
      <c r="L331" s="17"/>
      <c r="M331" s="40"/>
      <c r="N331" s="40"/>
      <c r="O331" s="45" t="str">
        <f aca="false">IF(N331="","",WORKDAY(N331,Settings!$S$4))</f>
        <v/>
      </c>
      <c r="P331" s="17"/>
      <c r="Q331" s="44" t="str">
        <f aca="true">IF(C331="","",IF(P331="Backed out",IF(S331="Paid","Refunded – closed",IF(R331="","Refund – log reason first","Refund in progress")),IF(K331="","Awaiting payment",IF(N331="",IF(M331="","Schedule free video","Free video in production"),IF(P331="Approved","Active",IF(TODAY()&gt;O331,"Active – plan went ahead","Decision pending – "&amp;NETWORKDAYS(TODAY(),O331)&amp;" working day(s) left"))))))</f>
        <v/>
      </c>
      <c r="R331" s="17"/>
      <c r="S331" s="17"/>
      <c r="T331" s="50"/>
      <c r="U331" s="40"/>
      <c r="V331" s="40"/>
      <c r="W331" s="45" t="str">
        <f aca="false">IF(V331="","",EDATE(V331,Settings!$S$6))</f>
        <v/>
      </c>
      <c r="X331" s="17"/>
      <c r="Y331" s="17"/>
      <c r="Z331" s="17"/>
    </row>
    <row r="332" customFormat="false" ht="15" hidden="false" customHeight="false" outlineLevel="0" collapsed="false">
      <c r="A332" s="17"/>
      <c r="B332" s="17"/>
      <c r="C332" s="17"/>
      <c r="D332" s="17"/>
      <c r="E332" s="42"/>
      <c r="F332" s="17"/>
      <c r="G332" s="17"/>
      <c r="H332" s="17"/>
      <c r="I332" s="49" t="str">
        <f aca="false">IF(H332="","",IFERROR(INDEX(Settings!$G$2:$G$4,MATCH(H332,Settings!$F$2:$F$4,0)),""))</f>
        <v/>
      </c>
      <c r="J332" s="40"/>
      <c r="K332" s="50"/>
      <c r="L332" s="17"/>
      <c r="M332" s="40"/>
      <c r="N332" s="40"/>
      <c r="O332" s="45" t="str">
        <f aca="false">IF(N332="","",WORKDAY(N332,Settings!$S$4))</f>
        <v/>
      </c>
      <c r="P332" s="17"/>
      <c r="Q332" s="44" t="str">
        <f aca="true">IF(C332="","",IF(P332="Backed out",IF(S332="Paid","Refunded – closed",IF(R332="","Refund – log reason first","Refund in progress")),IF(K332="","Awaiting payment",IF(N332="",IF(M332="","Schedule free video","Free video in production"),IF(P332="Approved","Active",IF(TODAY()&gt;O332,"Active – plan went ahead","Decision pending – "&amp;NETWORKDAYS(TODAY(),O332)&amp;" working day(s) left"))))))</f>
        <v/>
      </c>
      <c r="R332" s="17"/>
      <c r="S332" s="17"/>
      <c r="T332" s="50"/>
      <c r="U332" s="40"/>
      <c r="V332" s="40"/>
      <c r="W332" s="45" t="str">
        <f aca="false">IF(V332="","",EDATE(V332,Settings!$S$6))</f>
        <v/>
      </c>
      <c r="X332" s="17"/>
      <c r="Y332" s="17"/>
      <c r="Z332" s="17"/>
    </row>
    <row r="333" customFormat="false" ht="15" hidden="false" customHeight="false" outlineLevel="0" collapsed="false">
      <c r="A333" s="17"/>
      <c r="B333" s="17"/>
      <c r="C333" s="17"/>
      <c r="D333" s="17"/>
      <c r="E333" s="42"/>
      <c r="F333" s="17"/>
      <c r="G333" s="17"/>
      <c r="H333" s="17"/>
      <c r="I333" s="49" t="str">
        <f aca="false">IF(H333="","",IFERROR(INDEX(Settings!$G$2:$G$4,MATCH(H333,Settings!$F$2:$F$4,0)),""))</f>
        <v/>
      </c>
      <c r="J333" s="40"/>
      <c r="K333" s="50"/>
      <c r="L333" s="17"/>
      <c r="M333" s="40"/>
      <c r="N333" s="40"/>
      <c r="O333" s="45" t="str">
        <f aca="false">IF(N333="","",WORKDAY(N333,Settings!$S$4))</f>
        <v/>
      </c>
      <c r="P333" s="17"/>
      <c r="Q333" s="44" t="str">
        <f aca="true">IF(C333="","",IF(P333="Backed out",IF(S333="Paid","Refunded – closed",IF(R333="","Refund – log reason first","Refund in progress")),IF(K333="","Awaiting payment",IF(N333="",IF(M333="","Schedule free video","Free video in production"),IF(P333="Approved","Active",IF(TODAY()&gt;O333,"Active – plan went ahead","Decision pending – "&amp;NETWORKDAYS(TODAY(),O333)&amp;" working day(s) left"))))))</f>
        <v/>
      </c>
      <c r="R333" s="17"/>
      <c r="S333" s="17"/>
      <c r="T333" s="50"/>
      <c r="U333" s="40"/>
      <c r="V333" s="40"/>
      <c r="W333" s="45" t="str">
        <f aca="false">IF(V333="","",EDATE(V333,Settings!$S$6))</f>
        <v/>
      </c>
      <c r="X333" s="17"/>
      <c r="Y333" s="17"/>
      <c r="Z333" s="17"/>
    </row>
    <row r="334" customFormat="false" ht="15" hidden="false" customHeight="false" outlineLevel="0" collapsed="false">
      <c r="A334" s="17"/>
      <c r="B334" s="17"/>
      <c r="C334" s="17"/>
      <c r="D334" s="17"/>
      <c r="E334" s="42"/>
      <c r="F334" s="17"/>
      <c r="G334" s="17"/>
      <c r="H334" s="17"/>
      <c r="I334" s="49" t="str">
        <f aca="false">IF(H334="","",IFERROR(INDEX(Settings!$G$2:$G$4,MATCH(H334,Settings!$F$2:$F$4,0)),""))</f>
        <v/>
      </c>
      <c r="J334" s="40"/>
      <c r="K334" s="50"/>
      <c r="L334" s="17"/>
      <c r="M334" s="40"/>
      <c r="N334" s="40"/>
      <c r="O334" s="45" t="str">
        <f aca="false">IF(N334="","",WORKDAY(N334,Settings!$S$4))</f>
        <v/>
      </c>
      <c r="P334" s="17"/>
      <c r="Q334" s="44" t="str">
        <f aca="true">IF(C334="","",IF(P334="Backed out",IF(S334="Paid","Refunded – closed",IF(R334="","Refund – log reason first","Refund in progress")),IF(K334="","Awaiting payment",IF(N334="",IF(M334="","Schedule free video","Free video in production"),IF(P334="Approved","Active",IF(TODAY()&gt;O334,"Active – plan went ahead","Decision pending – "&amp;NETWORKDAYS(TODAY(),O334)&amp;" working day(s) left"))))))</f>
        <v/>
      </c>
      <c r="R334" s="17"/>
      <c r="S334" s="17"/>
      <c r="T334" s="50"/>
      <c r="U334" s="40"/>
      <c r="V334" s="40"/>
      <c r="W334" s="45" t="str">
        <f aca="false">IF(V334="","",EDATE(V334,Settings!$S$6))</f>
        <v/>
      </c>
      <c r="X334" s="17"/>
      <c r="Y334" s="17"/>
      <c r="Z334" s="17"/>
    </row>
    <row r="335" customFormat="false" ht="15" hidden="false" customHeight="false" outlineLevel="0" collapsed="false">
      <c r="A335" s="17"/>
      <c r="B335" s="17"/>
      <c r="C335" s="17"/>
      <c r="D335" s="17"/>
      <c r="E335" s="42"/>
      <c r="F335" s="17"/>
      <c r="G335" s="17"/>
      <c r="H335" s="17"/>
      <c r="I335" s="49" t="str">
        <f aca="false">IF(H335="","",IFERROR(INDEX(Settings!$G$2:$G$4,MATCH(H335,Settings!$F$2:$F$4,0)),""))</f>
        <v/>
      </c>
      <c r="J335" s="40"/>
      <c r="K335" s="50"/>
      <c r="L335" s="17"/>
      <c r="M335" s="40"/>
      <c r="N335" s="40"/>
      <c r="O335" s="45" t="str">
        <f aca="false">IF(N335="","",WORKDAY(N335,Settings!$S$4))</f>
        <v/>
      </c>
      <c r="P335" s="17"/>
      <c r="Q335" s="44" t="str">
        <f aca="true">IF(C335="","",IF(P335="Backed out",IF(S335="Paid","Refunded – closed",IF(R335="","Refund – log reason first","Refund in progress")),IF(K335="","Awaiting payment",IF(N335="",IF(M335="","Schedule free video","Free video in production"),IF(P335="Approved","Active",IF(TODAY()&gt;O335,"Active – plan went ahead","Decision pending – "&amp;NETWORKDAYS(TODAY(),O335)&amp;" working day(s) left"))))))</f>
        <v/>
      </c>
      <c r="R335" s="17"/>
      <c r="S335" s="17"/>
      <c r="T335" s="50"/>
      <c r="U335" s="40"/>
      <c r="V335" s="40"/>
      <c r="W335" s="45" t="str">
        <f aca="false">IF(V335="","",EDATE(V335,Settings!$S$6))</f>
        <v/>
      </c>
      <c r="X335" s="17"/>
      <c r="Y335" s="17"/>
      <c r="Z335" s="17"/>
    </row>
    <row r="336" customFormat="false" ht="15" hidden="false" customHeight="false" outlineLevel="0" collapsed="false">
      <c r="A336" s="17"/>
      <c r="B336" s="17"/>
      <c r="C336" s="17"/>
      <c r="D336" s="17"/>
      <c r="E336" s="42"/>
      <c r="F336" s="17"/>
      <c r="G336" s="17"/>
      <c r="H336" s="17"/>
      <c r="I336" s="49" t="str">
        <f aca="false">IF(H336="","",IFERROR(INDEX(Settings!$G$2:$G$4,MATCH(H336,Settings!$F$2:$F$4,0)),""))</f>
        <v/>
      </c>
      <c r="J336" s="40"/>
      <c r="K336" s="50"/>
      <c r="L336" s="17"/>
      <c r="M336" s="40"/>
      <c r="N336" s="40"/>
      <c r="O336" s="45" t="str">
        <f aca="false">IF(N336="","",WORKDAY(N336,Settings!$S$4))</f>
        <v/>
      </c>
      <c r="P336" s="17"/>
      <c r="Q336" s="44" t="str">
        <f aca="true">IF(C336="","",IF(P336="Backed out",IF(S336="Paid","Refunded – closed",IF(R336="","Refund – log reason first","Refund in progress")),IF(K336="","Awaiting payment",IF(N336="",IF(M336="","Schedule free video","Free video in production"),IF(P336="Approved","Active",IF(TODAY()&gt;O336,"Active – plan went ahead","Decision pending – "&amp;NETWORKDAYS(TODAY(),O336)&amp;" working day(s) left"))))))</f>
        <v/>
      </c>
      <c r="R336" s="17"/>
      <c r="S336" s="17"/>
      <c r="T336" s="50"/>
      <c r="U336" s="40"/>
      <c r="V336" s="40"/>
      <c r="W336" s="45" t="str">
        <f aca="false">IF(V336="","",EDATE(V336,Settings!$S$6))</f>
        <v/>
      </c>
      <c r="X336" s="17"/>
      <c r="Y336" s="17"/>
      <c r="Z336" s="17"/>
    </row>
    <row r="337" customFormat="false" ht="15" hidden="false" customHeight="false" outlineLevel="0" collapsed="false">
      <c r="A337" s="17"/>
      <c r="B337" s="17"/>
      <c r="C337" s="17"/>
      <c r="D337" s="17"/>
      <c r="E337" s="42"/>
      <c r="F337" s="17"/>
      <c r="G337" s="17"/>
      <c r="H337" s="17"/>
      <c r="I337" s="49" t="str">
        <f aca="false">IF(H337="","",IFERROR(INDEX(Settings!$G$2:$G$4,MATCH(H337,Settings!$F$2:$F$4,0)),""))</f>
        <v/>
      </c>
      <c r="J337" s="40"/>
      <c r="K337" s="50"/>
      <c r="L337" s="17"/>
      <c r="M337" s="40"/>
      <c r="N337" s="40"/>
      <c r="O337" s="45" t="str">
        <f aca="false">IF(N337="","",WORKDAY(N337,Settings!$S$4))</f>
        <v/>
      </c>
      <c r="P337" s="17"/>
      <c r="Q337" s="44" t="str">
        <f aca="true">IF(C337="","",IF(P337="Backed out",IF(S337="Paid","Refunded – closed",IF(R337="","Refund – log reason first","Refund in progress")),IF(K337="","Awaiting payment",IF(N337="",IF(M337="","Schedule free video","Free video in production"),IF(P337="Approved","Active",IF(TODAY()&gt;O337,"Active – plan went ahead","Decision pending – "&amp;NETWORKDAYS(TODAY(),O337)&amp;" working day(s) left"))))))</f>
        <v/>
      </c>
      <c r="R337" s="17"/>
      <c r="S337" s="17"/>
      <c r="T337" s="50"/>
      <c r="U337" s="40"/>
      <c r="V337" s="40"/>
      <c r="W337" s="45" t="str">
        <f aca="false">IF(V337="","",EDATE(V337,Settings!$S$6))</f>
        <v/>
      </c>
      <c r="X337" s="17"/>
      <c r="Y337" s="17"/>
      <c r="Z337" s="17"/>
    </row>
    <row r="338" customFormat="false" ht="15" hidden="false" customHeight="false" outlineLevel="0" collapsed="false">
      <c r="A338" s="17"/>
      <c r="B338" s="17"/>
      <c r="C338" s="17"/>
      <c r="D338" s="17"/>
      <c r="E338" s="42"/>
      <c r="F338" s="17"/>
      <c r="G338" s="17"/>
      <c r="H338" s="17"/>
      <c r="I338" s="49" t="str">
        <f aca="false">IF(H338="","",IFERROR(INDEX(Settings!$G$2:$G$4,MATCH(H338,Settings!$F$2:$F$4,0)),""))</f>
        <v/>
      </c>
      <c r="J338" s="40"/>
      <c r="K338" s="50"/>
      <c r="L338" s="17"/>
      <c r="M338" s="40"/>
      <c r="N338" s="40"/>
      <c r="O338" s="45" t="str">
        <f aca="false">IF(N338="","",WORKDAY(N338,Settings!$S$4))</f>
        <v/>
      </c>
      <c r="P338" s="17"/>
      <c r="Q338" s="44" t="str">
        <f aca="true">IF(C338="","",IF(P338="Backed out",IF(S338="Paid","Refunded – closed",IF(R338="","Refund – log reason first","Refund in progress")),IF(K338="","Awaiting payment",IF(N338="",IF(M338="","Schedule free video","Free video in production"),IF(P338="Approved","Active",IF(TODAY()&gt;O338,"Active – plan went ahead","Decision pending – "&amp;NETWORKDAYS(TODAY(),O338)&amp;" working day(s) left"))))))</f>
        <v/>
      </c>
      <c r="R338" s="17"/>
      <c r="S338" s="17"/>
      <c r="T338" s="50"/>
      <c r="U338" s="40"/>
      <c r="V338" s="40"/>
      <c r="W338" s="45" t="str">
        <f aca="false">IF(V338="","",EDATE(V338,Settings!$S$6))</f>
        <v/>
      </c>
      <c r="X338" s="17"/>
      <c r="Y338" s="17"/>
      <c r="Z338" s="17"/>
    </row>
    <row r="339" customFormat="false" ht="15" hidden="false" customHeight="false" outlineLevel="0" collapsed="false">
      <c r="A339" s="17"/>
      <c r="B339" s="17"/>
      <c r="C339" s="17"/>
      <c r="D339" s="17"/>
      <c r="E339" s="42"/>
      <c r="F339" s="17"/>
      <c r="G339" s="17"/>
      <c r="H339" s="17"/>
      <c r="I339" s="49" t="str">
        <f aca="false">IF(H339="","",IFERROR(INDEX(Settings!$G$2:$G$4,MATCH(H339,Settings!$F$2:$F$4,0)),""))</f>
        <v/>
      </c>
      <c r="J339" s="40"/>
      <c r="K339" s="50"/>
      <c r="L339" s="17"/>
      <c r="M339" s="40"/>
      <c r="N339" s="40"/>
      <c r="O339" s="45" t="str">
        <f aca="false">IF(N339="","",WORKDAY(N339,Settings!$S$4))</f>
        <v/>
      </c>
      <c r="P339" s="17"/>
      <c r="Q339" s="44" t="str">
        <f aca="true">IF(C339="","",IF(P339="Backed out",IF(S339="Paid","Refunded – closed",IF(R339="","Refund – log reason first","Refund in progress")),IF(K339="","Awaiting payment",IF(N339="",IF(M339="","Schedule free video","Free video in production"),IF(P339="Approved","Active",IF(TODAY()&gt;O339,"Active – plan went ahead","Decision pending – "&amp;NETWORKDAYS(TODAY(),O339)&amp;" working day(s) left"))))))</f>
        <v/>
      </c>
      <c r="R339" s="17"/>
      <c r="S339" s="17"/>
      <c r="T339" s="50"/>
      <c r="U339" s="40"/>
      <c r="V339" s="40"/>
      <c r="W339" s="45" t="str">
        <f aca="false">IF(V339="","",EDATE(V339,Settings!$S$6))</f>
        <v/>
      </c>
      <c r="X339" s="17"/>
      <c r="Y339" s="17"/>
      <c r="Z339" s="17"/>
    </row>
    <row r="340" customFormat="false" ht="15" hidden="false" customHeight="false" outlineLevel="0" collapsed="false">
      <c r="A340" s="17"/>
      <c r="B340" s="17"/>
      <c r="C340" s="17"/>
      <c r="D340" s="17"/>
      <c r="E340" s="42"/>
      <c r="F340" s="17"/>
      <c r="G340" s="17"/>
      <c r="H340" s="17"/>
      <c r="I340" s="49" t="str">
        <f aca="false">IF(H340="","",IFERROR(INDEX(Settings!$G$2:$G$4,MATCH(H340,Settings!$F$2:$F$4,0)),""))</f>
        <v/>
      </c>
      <c r="J340" s="40"/>
      <c r="K340" s="50"/>
      <c r="L340" s="17"/>
      <c r="M340" s="40"/>
      <c r="N340" s="40"/>
      <c r="O340" s="45" t="str">
        <f aca="false">IF(N340="","",WORKDAY(N340,Settings!$S$4))</f>
        <v/>
      </c>
      <c r="P340" s="17"/>
      <c r="Q340" s="44" t="str">
        <f aca="true">IF(C340="","",IF(P340="Backed out",IF(S340="Paid","Refunded – closed",IF(R340="","Refund – log reason first","Refund in progress")),IF(K340="","Awaiting payment",IF(N340="",IF(M340="","Schedule free video","Free video in production"),IF(P340="Approved","Active",IF(TODAY()&gt;O340,"Active – plan went ahead","Decision pending – "&amp;NETWORKDAYS(TODAY(),O340)&amp;" working day(s) left"))))))</f>
        <v/>
      </c>
      <c r="R340" s="17"/>
      <c r="S340" s="17"/>
      <c r="T340" s="50"/>
      <c r="U340" s="40"/>
      <c r="V340" s="40"/>
      <c r="W340" s="45" t="str">
        <f aca="false">IF(V340="","",EDATE(V340,Settings!$S$6))</f>
        <v/>
      </c>
      <c r="X340" s="17"/>
      <c r="Y340" s="17"/>
      <c r="Z340" s="17"/>
    </row>
    <row r="341" customFormat="false" ht="15" hidden="false" customHeight="false" outlineLevel="0" collapsed="false">
      <c r="A341" s="17"/>
      <c r="B341" s="17"/>
      <c r="C341" s="17"/>
      <c r="D341" s="17"/>
      <c r="E341" s="42"/>
      <c r="F341" s="17"/>
      <c r="G341" s="17"/>
      <c r="H341" s="17"/>
      <c r="I341" s="49" t="str">
        <f aca="false">IF(H341="","",IFERROR(INDEX(Settings!$G$2:$G$4,MATCH(H341,Settings!$F$2:$F$4,0)),""))</f>
        <v/>
      </c>
      <c r="J341" s="40"/>
      <c r="K341" s="50"/>
      <c r="L341" s="17"/>
      <c r="M341" s="40"/>
      <c r="N341" s="40"/>
      <c r="O341" s="45" t="str">
        <f aca="false">IF(N341="","",WORKDAY(N341,Settings!$S$4))</f>
        <v/>
      </c>
      <c r="P341" s="17"/>
      <c r="Q341" s="44" t="str">
        <f aca="true">IF(C341="","",IF(P341="Backed out",IF(S341="Paid","Refunded – closed",IF(R341="","Refund – log reason first","Refund in progress")),IF(K341="","Awaiting payment",IF(N341="",IF(M341="","Schedule free video","Free video in production"),IF(P341="Approved","Active",IF(TODAY()&gt;O341,"Active – plan went ahead","Decision pending – "&amp;NETWORKDAYS(TODAY(),O341)&amp;" working day(s) left"))))))</f>
        <v/>
      </c>
      <c r="R341" s="17"/>
      <c r="S341" s="17"/>
      <c r="T341" s="50"/>
      <c r="U341" s="40"/>
      <c r="V341" s="40"/>
      <c r="W341" s="45" t="str">
        <f aca="false">IF(V341="","",EDATE(V341,Settings!$S$6))</f>
        <v/>
      </c>
      <c r="X341" s="17"/>
      <c r="Y341" s="17"/>
      <c r="Z341" s="17"/>
    </row>
    <row r="342" customFormat="false" ht="15" hidden="false" customHeight="false" outlineLevel="0" collapsed="false">
      <c r="A342" s="17"/>
      <c r="B342" s="17"/>
      <c r="C342" s="17"/>
      <c r="D342" s="17"/>
      <c r="E342" s="42"/>
      <c r="F342" s="17"/>
      <c r="G342" s="17"/>
      <c r="H342" s="17"/>
      <c r="I342" s="49" t="str">
        <f aca="false">IF(H342="","",IFERROR(INDEX(Settings!$G$2:$G$4,MATCH(H342,Settings!$F$2:$F$4,0)),""))</f>
        <v/>
      </c>
      <c r="J342" s="40"/>
      <c r="K342" s="50"/>
      <c r="L342" s="17"/>
      <c r="M342" s="40"/>
      <c r="N342" s="40"/>
      <c r="O342" s="45" t="str">
        <f aca="false">IF(N342="","",WORKDAY(N342,Settings!$S$4))</f>
        <v/>
      </c>
      <c r="P342" s="17"/>
      <c r="Q342" s="44" t="str">
        <f aca="true">IF(C342="","",IF(P342="Backed out",IF(S342="Paid","Refunded – closed",IF(R342="","Refund – log reason first","Refund in progress")),IF(K342="","Awaiting payment",IF(N342="",IF(M342="","Schedule free video","Free video in production"),IF(P342="Approved","Active",IF(TODAY()&gt;O342,"Active – plan went ahead","Decision pending – "&amp;NETWORKDAYS(TODAY(),O342)&amp;" working day(s) left"))))))</f>
        <v/>
      </c>
      <c r="R342" s="17"/>
      <c r="S342" s="17"/>
      <c r="T342" s="50"/>
      <c r="U342" s="40"/>
      <c r="V342" s="40"/>
      <c r="W342" s="45" t="str">
        <f aca="false">IF(V342="","",EDATE(V342,Settings!$S$6))</f>
        <v/>
      </c>
      <c r="X342" s="17"/>
      <c r="Y342" s="17"/>
      <c r="Z342" s="17"/>
    </row>
    <row r="343" customFormat="false" ht="15" hidden="false" customHeight="false" outlineLevel="0" collapsed="false">
      <c r="A343" s="17"/>
      <c r="B343" s="17"/>
      <c r="C343" s="17"/>
      <c r="D343" s="17"/>
      <c r="E343" s="42"/>
      <c r="F343" s="17"/>
      <c r="G343" s="17"/>
      <c r="H343" s="17"/>
      <c r="I343" s="49" t="str">
        <f aca="false">IF(H343="","",IFERROR(INDEX(Settings!$G$2:$G$4,MATCH(H343,Settings!$F$2:$F$4,0)),""))</f>
        <v/>
      </c>
      <c r="J343" s="40"/>
      <c r="K343" s="50"/>
      <c r="L343" s="17"/>
      <c r="M343" s="40"/>
      <c r="N343" s="40"/>
      <c r="O343" s="45" t="str">
        <f aca="false">IF(N343="","",WORKDAY(N343,Settings!$S$4))</f>
        <v/>
      </c>
      <c r="P343" s="17"/>
      <c r="Q343" s="44" t="str">
        <f aca="true">IF(C343="","",IF(P343="Backed out",IF(S343="Paid","Refunded – closed",IF(R343="","Refund – log reason first","Refund in progress")),IF(K343="","Awaiting payment",IF(N343="",IF(M343="","Schedule free video","Free video in production"),IF(P343="Approved","Active",IF(TODAY()&gt;O343,"Active – plan went ahead","Decision pending – "&amp;NETWORKDAYS(TODAY(),O343)&amp;" working day(s) left"))))))</f>
        <v/>
      </c>
      <c r="R343" s="17"/>
      <c r="S343" s="17"/>
      <c r="T343" s="50"/>
      <c r="U343" s="40"/>
      <c r="V343" s="40"/>
      <c r="W343" s="45" t="str">
        <f aca="false">IF(V343="","",EDATE(V343,Settings!$S$6))</f>
        <v/>
      </c>
      <c r="X343" s="17"/>
      <c r="Y343" s="17"/>
      <c r="Z343" s="17"/>
    </row>
    <row r="344" customFormat="false" ht="15" hidden="false" customHeight="false" outlineLevel="0" collapsed="false">
      <c r="A344" s="17"/>
      <c r="B344" s="17"/>
      <c r="C344" s="17"/>
      <c r="D344" s="17"/>
      <c r="E344" s="42"/>
      <c r="F344" s="17"/>
      <c r="G344" s="17"/>
      <c r="H344" s="17"/>
      <c r="I344" s="49" t="str">
        <f aca="false">IF(H344="","",IFERROR(INDEX(Settings!$G$2:$G$4,MATCH(H344,Settings!$F$2:$F$4,0)),""))</f>
        <v/>
      </c>
      <c r="J344" s="40"/>
      <c r="K344" s="50"/>
      <c r="L344" s="17"/>
      <c r="M344" s="40"/>
      <c r="N344" s="40"/>
      <c r="O344" s="45" t="str">
        <f aca="false">IF(N344="","",WORKDAY(N344,Settings!$S$4))</f>
        <v/>
      </c>
      <c r="P344" s="17"/>
      <c r="Q344" s="44" t="str">
        <f aca="true">IF(C344="","",IF(P344="Backed out",IF(S344="Paid","Refunded – closed",IF(R344="","Refund – log reason first","Refund in progress")),IF(K344="","Awaiting payment",IF(N344="",IF(M344="","Schedule free video","Free video in production"),IF(P344="Approved","Active",IF(TODAY()&gt;O344,"Active – plan went ahead","Decision pending – "&amp;NETWORKDAYS(TODAY(),O344)&amp;" working day(s) left"))))))</f>
        <v/>
      </c>
      <c r="R344" s="17"/>
      <c r="S344" s="17"/>
      <c r="T344" s="50"/>
      <c r="U344" s="40"/>
      <c r="V344" s="40"/>
      <c r="W344" s="45" t="str">
        <f aca="false">IF(V344="","",EDATE(V344,Settings!$S$6))</f>
        <v/>
      </c>
      <c r="X344" s="17"/>
      <c r="Y344" s="17"/>
      <c r="Z344" s="17"/>
    </row>
    <row r="345" customFormat="false" ht="15" hidden="false" customHeight="false" outlineLevel="0" collapsed="false">
      <c r="A345" s="17"/>
      <c r="B345" s="17"/>
      <c r="C345" s="17"/>
      <c r="D345" s="17"/>
      <c r="E345" s="42"/>
      <c r="F345" s="17"/>
      <c r="G345" s="17"/>
      <c r="H345" s="17"/>
      <c r="I345" s="49" t="str">
        <f aca="false">IF(H345="","",IFERROR(INDEX(Settings!$G$2:$G$4,MATCH(H345,Settings!$F$2:$F$4,0)),""))</f>
        <v/>
      </c>
      <c r="J345" s="40"/>
      <c r="K345" s="50"/>
      <c r="L345" s="17"/>
      <c r="M345" s="40"/>
      <c r="N345" s="40"/>
      <c r="O345" s="45" t="str">
        <f aca="false">IF(N345="","",WORKDAY(N345,Settings!$S$4))</f>
        <v/>
      </c>
      <c r="P345" s="17"/>
      <c r="Q345" s="44" t="str">
        <f aca="true">IF(C345="","",IF(P345="Backed out",IF(S345="Paid","Refunded – closed",IF(R345="","Refund – log reason first","Refund in progress")),IF(K345="","Awaiting payment",IF(N345="",IF(M345="","Schedule free video","Free video in production"),IF(P345="Approved","Active",IF(TODAY()&gt;O345,"Active – plan went ahead","Decision pending – "&amp;NETWORKDAYS(TODAY(),O345)&amp;" working day(s) left"))))))</f>
        <v/>
      </c>
      <c r="R345" s="17"/>
      <c r="S345" s="17"/>
      <c r="T345" s="50"/>
      <c r="U345" s="40"/>
      <c r="V345" s="40"/>
      <c r="W345" s="45" t="str">
        <f aca="false">IF(V345="","",EDATE(V345,Settings!$S$6))</f>
        <v/>
      </c>
      <c r="X345" s="17"/>
      <c r="Y345" s="17"/>
      <c r="Z345" s="17"/>
    </row>
    <row r="346" customFormat="false" ht="15" hidden="false" customHeight="false" outlineLevel="0" collapsed="false">
      <c r="A346" s="17"/>
      <c r="B346" s="17"/>
      <c r="C346" s="17"/>
      <c r="D346" s="17"/>
      <c r="E346" s="42"/>
      <c r="F346" s="17"/>
      <c r="G346" s="17"/>
      <c r="H346" s="17"/>
      <c r="I346" s="49" t="str">
        <f aca="false">IF(H346="","",IFERROR(INDEX(Settings!$G$2:$G$4,MATCH(H346,Settings!$F$2:$F$4,0)),""))</f>
        <v/>
      </c>
      <c r="J346" s="40"/>
      <c r="K346" s="50"/>
      <c r="L346" s="17"/>
      <c r="M346" s="40"/>
      <c r="N346" s="40"/>
      <c r="O346" s="45" t="str">
        <f aca="false">IF(N346="","",WORKDAY(N346,Settings!$S$4))</f>
        <v/>
      </c>
      <c r="P346" s="17"/>
      <c r="Q346" s="44" t="str">
        <f aca="true">IF(C346="","",IF(P346="Backed out",IF(S346="Paid","Refunded – closed",IF(R346="","Refund – log reason first","Refund in progress")),IF(K346="","Awaiting payment",IF(N346="",IF(M346="","Schedule free video","Free video in production"),IF(P346="Approved","Active",IF(TODAY()&gt;O346,"Active – plan went ahead","Decision pending – "&amp;NETWORKDAYS(TODAY(),O346)&amp;" working day(s) left"))))))</f>
        <v/>
      </c>
      <c r="R346" s="17"/>
      <c r="S346" s="17"/>
      <c r="T346" s="50"/>
      <c r="U346" s="40"/>
      <c r="V346" s="40"/>
      <c r="W346" s="45" t="str">
        <f aca="false">IF(V346="","",EDATE(V346,Settings!$S$6))</f>
        <v/>
      </c>
      <c r="X346" s="17"/>
      <c r="Y346" s="17"/>
      <c r="Z346" s="17"/>
    </row>
    <row r="347" customFormat="false" ht="15" hidden="false" customHeight="false" outlineLevel="0" collapsed="false">
      <c r="A347" s="17"/>
      <c r="B347" s="17"/>
      <c r="C347" s="17"/>
      <c r="D347" s="17"/>
      <c r="E347" s="42"/>
      <c r="F347" s="17"/>
      <c r="G347" s="17"/>
      <c r="H347" s="17"/>
      <c r="I347" s="49" t="str">
        <f aca="false">IF(H347="","",IFERROR(INDEX(Settings!$G$2:$G$4,MATCH(H347,Settings!$F$2:$F$4,0)),""))</f>
        <v/>
      </c>
      <c r="J347" s="40"/>
      <c r="K347" s="50"/>
      <c r="L347" s="17"/>
      <c r="M347" s="40"/>
      <c r="N347" s="40"/>
      <c r="O347" s="45" t="str">
        <f aca="false">IF(N347="","",WORKDAY(N347,Settings!$S$4))</f>
        <v/>
      </c>
      <c r="P347" s="17"/>
      <c r="Q347" s="44" t="str">
        <f aca="true">IF(C347="","",IF(P347="Backed out",IF(S347="Paid","Refunded – closed",IF(R347="","Refund – log reason first","Refund in progress")),IF(K347="","Awaiting payment",IF(N347="",IF(M347="","Schedule free video","Free video in production"),IF(P347="Approved","Active",IF(TODAY()&gt;O347,"Active – plan went ahead","Decision pending – "&amp;NETWORKDAYS(TODAY(),O347)&amp;" working day(s) left"))))))</f>
        <v/>
      </c>
      <c r="R347" s="17"/>
      <c r="S347" s="17"/>
      <c r="T347" s="50"/>
      <c r="U347" s="40"/>
      <c r="V347" s="40"/>
      <c r="W347" s="45" t="str">
        <f aca="false">IF(V347="","",EDATE(V347,Settings!$S$6))</f>
        <v/>
      </c>
      <c r="X347" s="17"/>
      <c r="Y347" s="17"/>
      <c r="Z347" s="17"/>
    </row>
    <row r="348" customFormat="false" ht="15" hidden="false" customHeight="false" outlineLevel="0" collapsed="false">
      <c r="A348" s="17"/>
      <c r="B348" s="17"/>
      <c r="C348" s="17"/>
      <c r="D348" s="17"/>
      <c r="E348" s="42"/>
      <c r="F348" s="17"/>
      <c r="G348" s="17"/>
      <c r="H348" s="17"/>
      <c r="I348" s="49" t="str">
        <f aca="false">IF(H348="","",IFERROR(INDEX(Settings!$G$2:$G$4,MATCH(H348,Settings!$F$2:$F$4,0)),""))</f>
        <v/>
      </c>
      <c r="J348" s="40"/>
      <c r="K348" s="50"/>
      <c r="L348" s="17"/>
      <c r="M348" s="40"/>
      <c r="N348" s="40"/>
      <c r="O348" s="45" t="str">
        <f aca="false">IF(N348="","",WORKDAY(N348,Settings!$S$4))</f>
        <v/>
      </c>
      <c r="P348" s="17"/>
      <c r="Q348" s="44" t="str">
        <f aca="true">IF(C348="","",IF(P348="Backed out",IF(S348="Paid","Refunded – closed",IF(R348="","Refund – log reason first","Refund in progress")),IF(K348="","Awaiting payment",IF(N348="",IF(M348="","Schedule free video","Free video in production"),IF(P348="Approved","Active",IF(TODAY()&gt;O348,"Active – plan went ahead","Decision pending – "&amp;NETWORKDAYS(TODAY(),O348)&amp;" working day(s) left"))))))</f>
        <v/>
      </c>
      <c r="R348" s="17"/>
      <c r="S348" s="17"/>
      <c r="T348" s="50"/>
      <c r="U348" s="40"/>
      <c r="V348" s="40"/>
      <c r="W348" s="45" t="str">
        <f aca="false">IF(V348="","",EDATE(V348,Settings!$S$6))</f>
        <v/>
      </c>
      <c r="X348" s="17"/>
      <c r="Y348" s="17"/>
      <c r="Z348" s="17"/>
    </row>
    <row r="349" customFormat="false" ht="15" hidden="false" customHeight="false" outlineLevel="0" collapsed="false">
      <c r="A349" s="17"/>
      <c r="B349" s="17"/>
      <c r="C349" s="17"/>
      <c r="D349" s="17"/>
      <c r="E349" s="42"/>
      <c r="F349" s="17"/>
      <c r="G349" s="17"/>
      <c r="H349" s="17"/>
      <c r="I349" s="49" t="str">
        <f aca="false">IF(H349="","",IFERROR(INDEX(Settings!$G$2:$G$4,MATCH(H349,Settings!$F$2:$F$4,0)),""))</f>
        <v/>
      </c>
      <c r="J349" s="40"/>
      <c r="K349" s="50"/>
      <c r="L349" s="17"/>
      <c r="M349" s="40"/>
      <c r="N349" s="40"/>
      <c r="O349" s="45" t="str">
        <f aca="false">IF(N349="","",WORKDAY(N349,Settings!$S$4))</f>
        <v/>
      </c>
      <c r="P349" s="17"/>
      <c r="Q349" s="44" t="str">
        <f aca="true">IF(C349="","",IF(P349="Backed out",IF(S349="Paid","Refunded – closed",IF(R349="","Refund – log reason first","Refund in progress")),IF(K349="","Awaiting payment",IF(N349="",IF(M349="","Schedule free video","Free video in production"),IF(P349="Approved","Active",IF(TODAY()&gt;O349,"Active – plan went ahead","Decision pending – "&amp;NETWORKDAYS(TODAY(),O349)&amp;" working day(s) left"))))))</f>
        <v/>
      </c>
      <c r="R349" s="17"/>
      <c r="S349" s="17"/>
      <c r="T349" s="50"/>
      <c r="U349" s="40"/>
      <c r="V349" s="40"/>
      <c r="W349" s="45" t="str">
        <f aca="false">IF(V349="","",EDATE(V349,Settings!$S$6))</f>
        <v/>
      </c>
      <c r="X349" s="17"/>
      <c r="Y349" s="17"/>
      <c r="Z349" s="17"/>
    </row>
    <row r="350" customFormat="false" ht="15" hidden="false" customHeight="false" outlineLevel="0" collapsed="false">
      <c r="A350" s="17"/>
      <c r="B350" s="17"/>
      <c r="C350" s="17"/>
      <c r="D350" s="17"/>
      <c r="E350" s="42"/>
      <c r="F350" s="17"/>
      <c r="G350" s="17"/>
      <c r="H350" s="17"/>
      <c r="I350" s="49" t="str">
        <f aca="false">IF(H350="","",IFERROR(INDEX(Settings!$G$2:$G$4,MATCH(H350,Settings!$F$2:$F$4,0)),""))</f>
        <v/>
      </c>
      <c r="J350" s="40"/>
      <c r="K350" s="50"/>
      <c r="L350" s="17"/>
      <c r="M350" s="40"/>
      <c r="N350" s="40"/>
      <c r="O350" s="45" t="str">
        <f aca="false">IF(N350="","",WORKDAY(N350,Settings!$S$4))</f>
        <v/>
      </c>
      <c r="P350" s="17"/>
      <c r="Q350" s="44" t="str">
        <f aca="true">IF(C350="","",IF(P350="Backed out",IF(S350="Paid","Refunded – closed",IF(R350="","Refund – log reason first","Refund in progress")),IF(K350="","Awaiting payment",IF(N350="",IF(M350="","Schedule free video","Free video in production"),IF(P350="Approved","Active",IF(TODAY()&gt;O350,"Active – plan went ahead","Decision pending – "&amp;NETWORKDAYS(TODAY(),O350)&amp;" working day(s) left"))))))</f>
        <v/>
      </c>
      <c r="R350" s="17"/>
      <c r="S350" s="17"/>
      <c r="T350" s="50"/>
      <c r="U350" s="40"/>
      <c r="V350" s="40"/>
      <c r="W350" s="45" t="str">
        <f aca="false">IF(V350="","",EDATE(V350,Settings!$S$6))</f>
        <v/>
      </c>
      <c r="X350" s="17"/>
      <c r="Y350" s="17"/>
      <c r="Z350" s="17"/>
    </row>
    <row r="351" customFormat="false" ht="15" hidden="false" customHeight="false" outlineLevel="0" collapsed="false">
      <c r="A351" s="17"/>
      <c r="B351" s="17"/>
      <c r="C351" s="17"/>
      <c r="D351" s="17"/>
      <c r="E351" s="42"/>
      <c r="F351" s="17"/>
      <c r="G351" s="17"/>
      <c r="H351" s="17"/>
      <c r="I351" s="49" t="str">
        <f aca="false">IF(H351="","",IFERROR(INDEX(Settings!$G$2:$G$4,MATCH(H351,Settings!$F$2:$F$4,0)),""))</f>
        <v/>
      </c>
      <c r="J351" s="40"/>
      <c r="K351" s="50"/>
      <c r="L351" s="17"/>
      <c r="M351" s="40"/>
      <c r="N351" s="40"/>
      <c r="O351" s="45" t="str">
        <f aca="false">IF(N351="","",WORKDAY(N351,Settings!$S$4))</f>
        <v/>
      </c>
      <c r="P351" s="17"/>
      <c r="Q351" s="44" t="str">
        <f aca="true">IF(C351="","",IF(P351="Backed out",IF(S351="Paid","Refunded – closed",IF(R351="","Refund – log reason first","Refund in progress")),IF(K351="","Awaiting payment",IF(N351="",IF(M351="","Schedule free video","Free video in production"),IF(P351="Approved","Active",IF(TODAY()&gt;O351,"Active – plan went ahead","Decision pending – "&amp;NETWORKDAYS(TODAY(),O351)&amp;" working day(s) left"))))))</f>
        <v/>
      </c>
      <c r="R351" s="17"/>
      <c r="S351" s="17"/>
      <c r="T351" s="50"/>
      <c r="U351" s="40"/>
      <c r="V351" s="40"/>
      <c r="W351" s="45" t="str">
        <f aca="false">IF(V351="","",EDATE(V351,Settings!$S$6))</f>
        <v/>
      </c>
      <c r="X351" s="17"/>
      <c r="Y351" s="17"/>
      <c r="Z351" s="17"/>
    </row>
    <row r="352" customFormat="false" ht="15" hidden="false" customHeight="false" outlineLevel="0" collapsed="false">
      <c r="A352" s="17"/>
      <c r="B352" s="17"/>
      <c r="C352" s="17"/>
      <c r="D352" s="17"/>
      <c r="E352" s="42"/>
      <c r="F352" s="17"/>
      <c r="G352" s="17"/>
      <c r="H352" s="17"/>
      <c r="I352" s="49" t="str">
        <f aca="false">IF(H352="","",IFERROR(INDEX(Settings!$G$2:$G$4,MATCH(H352,Settings!$F$2:$F$4,0)),""))</f>
        <v/>
      </c>
      <c r="J352" s="40"/>
      <c r="K352" s="50"/>
      <c r="L352" s="17"/>
      <c r="M352" s="40"/>
      <c r="N352" s="40"/>
      <c r="O352" s="45" t="str">
        <f aca="false">IF(N352="","",WORKDAY(N352,Settings!$S$4))</f>
        <v/>
      </c>
      <c r="P352" s="17"/>
      <c r="Q352" s="44" t="str">
        <f aca="true">IF(C352="","",IF(P352="Backed out",IF(S352="Paid","Refunded – closed",IF(R352="","Refund – log reason first","Refund in progress")),IF(K352="","Awaiting payment",IF(N352="",IF(M352="","Schedule free video","Free video in production"),IF(P352="Approved","Active",IF(TODAY()&gt;O352,"Active – plan went ahead","Decision pending – "&amp;NETWORKDAYS(TODAY(),O352)&amp;" working day(s) left"))))))</f>
        <v/>
      </c>
      <c r="R352" s="17"/>
      <c r="S352" s="17"/>
      <c r="T352" s="50"/>
      <c r="U352" s="40"/>
      <c r="V352" s="40"/>
      <c r="W352" s="45" t="str">
        <f aca="false">IF(V352="","",EDATE(V352,Settings!$S$6))</f>
        <v/>
      </c>
      <c r="X352" s="17"/>
      <c r="Y352" s="17"/>
      <c r="Z352" s="17"/>
    </row>
    <row r="353" customFormat="false" ht="15" hidden="false" customHeight="false" outlineLevel="0" collapsed="false">
      <c r="A353" s="17"/>
      <c r="B353" s="17"/>
      <c r="C353" s="17"/>
      <c r="D353" s="17"/>
      <c r="E353" s="42"/>
      <c r="F353" s="17"/>
      <c r="G353" s="17"/>
      <c r="H353" s="17"/>
      <c r="I353" s="49" t="str">
        <f aca="false">IF(H353="","",IFERROR(INDEX(Settings!$G$2:$G$4,MATCH(H353,Settings!$F$2:$F$4,0)),""))</f>
        <v/>
      </c>
      <c r="J353" s="40"/>
      <c r="K353" s="50"/>
      <c r="L353" s="17"/>
      <c r="M353" s="40"/>
      <c r="N353" s="40"/>
      <c r="O353" s="45" t="str">
        <f aca="false">IF(N353="","",WORKDAY(N353,Settings!$S$4))</f>
        <v/>
      </c>
      <c r="P353" s="17"/>
      <c r="Q353" s="44" t="str">
        <f aca="true">IF(C353="","",IF(P353="Backed out",IF(S353="Paid","Refunded – closed",IF(R353="","Refund – log reason first","Refund in progress")),IF(K353="","Awaiting payment",IF(N353="",IF(M353="","Schedule free video","Free video in production"),IF(P353="Approved","Active",IF(TODAY()&gt;O353,"Active – plan went ahead","Decision pending – "&amp;NETWORKDAYS(TODAY(),O353)&amp;" working day(s) left"))))))</f>
        <v/>
      </c>
      <c r="R353" s="17"/>
      <c r="S353" s="17"/>
      <c r="T353" s="50"/>
      <c r="U353" s="40"/>
      <c r="V353" s="40"/>
      <c r="W353" s="45" t="str">
        <f aca="false">IF(V353="","",EDATE(V353,Settings!$S$6))</f>
        <v/>
      </c>
      <c r="X353" s="17"/>
      <c r="Y353" s="17"/>
      <c r="Z353" s="17"/>
    </row>
    <row r="354" customFormat="false" ht="15" hidden="false" customHeight="false" outlineLevel="0" collapsed="false">
      <c r="A354" s="17"/>
      <c r="B354" s="17"/>
      <c r="C354" s="17"/>
      <c r="D354" s="17"/>
      <c r="E354" s="42"/>
      <c r="F354" s="17"/>
      <c r="G354" s="17"/>
      <c r="H354" s="17"/>
      <c r="I354" s="49" t="str">
        <f aca="false">IF(H354="","",IFERROR(INDEX(Settings!$G$2:$G$4,MATCH(H354,Settings!$F$2:$F$4,0)),""))</f>
        <v/>
      </c>
      <c r="J354" s="40"/>
      <c r="K354" s="50"/>
      <c r="L354" s="17"/>
      <c r="M354" s="40"/>
      <c r="N354" s="40"/>
      <c r="O354" s="45" t="str">
        <f aca="false">IF(N354="","",WORKDAY(N354,Settings!$S$4))</f>
        <v/>
      </c>
      <c r="P354" s="17"/>
      <c r="Q354" s="44" t="str">
        <f aca="true">IF(C354="","",IF(P354="Backed out",IF(S354="Paid","Refunded – closed",IF(R354="","Refund – log reason first","Refund in progress")),IF(K354="","Awaiting payment",IF(N354="",IF(M354="","Schedule free video","Free video in production"),IF(P354="Approved","Active",IF(TODAY()&gt;O354,"Active – plan went ahead","Decision pending – "&amp;NETWORKDAYS(TODAY(),O354)&amp;" working day(s) left"))))))</f>
        <v/>
      </c>
      <c r="R354" s="17"/>
      <c r="S354" s="17"/>
      <c r="T354" s="50"/>
      <c r="U354" s="40"/>
      <c r="V354" s="40"/>
      <c r="W354" s="45" t="str">
        <f aca="false">IF(V354="","",EDATE(V354,Settings!$S$6))</f>
        <v/>
      </c>
      <c r="X354" s="17"/>
      <c r="Y354" s="17"/>
      <c r="Z354" s="17"/>
    </row>
    <row r="355" customFormat="false" ht="15" hidden="false" customHeight="false" outlineLevel="0" collapsed="false">
      <c r="A355" s="17"/>
      <c r="B355" s="17"/>
      <c r="C355" s="17"/>
      <c r="D355" s="17"/>
      <c r="E355" s="42"/>
      <c r="F355" s="17"/>
      <c r="G355" s="17"/>
      <c r="H355" s="17"/>
      <c r="I355" s="49" t="str">
        <f aca="false">IF(H355="","",IFERROR(INDEX(Settings!$G$2:$G$4,MATCH(H355,Settings!$F$2:$F$4,0)),""))</f>
        <v/>
      </c>
      <c r="J355" s="40"/>
      <c r="K355" s="50"/>
      <c r="L355" s="17"/>
      <c r="M355" s="40"/>
      <c r="N355" s="40"/>
      <c r="O355" s="45" t="str">
        <f aca="false">IF(N355="","",WORKDAY(N355,Settings!$S$4))</f>
        <v/>
      </c>
      <c r="P355" s="17"/>
      <c r="Q355" s="44" t="str">
        <f aca="true">IF(C355="","",IF(P355="Backed out",IF(S355="Paid","Refunded – closed",IF(R355="","Refund – log reason first","Refund in progress")),IF(K355="","Awaiting payment",IF(N355="",IF(M355="","Schedule free video","Free video in production"),IF(P355="Approved","Active",IF(TODAY()&gt;O355,"Active – plan went ahead","Decision pending – "&amp;NETWORKDAYS(TODAY(),O355)&amp;" working day(s) left"))))))</f>
        <v/>
      </c>
      <c r="R355" s="17"/>
      <c r="S355" s="17"/>
      <c r="T355" s="50"/>
      <c r="U355" s="40"/>
      <c r="V355" s="40"/>
      <c r="W355" s="45" t="str">
        <f aca="false">IF(V355="","",EDATE(V355,Settings!$S$6))</f>
        <v/>
      </c>
      <c r="X355" s="17"/>
      <c r="Y355" s="17"/>
      <c r="Z355" s="17"/>
    </row>
    <row r="356" customFormat="false" ht="15" hidden="false" customHeight="false" outlineLevel="0" collapsed="false">
      <c r="A356" s="17"/>
      <c r="B356" s="17"/>
      <c r="C356" s="17"/>
      <c r="D356" s="17"/>
      <c r="E356" s="42"/>
      <c r="F356" s="17"/>
      <c r="G356" s="17"/>
      <c r="H356" s="17"/>
      <c r="I356" s="49" t="str">
        <f aca="false">IF(H356="","",IFERROR(INDEX(Settings!$G$2:$G$4,MATCH(H356,Settings!$F$2:$F$4,0)),""))</f>
        <v/>
      </c>
      <c r="J356" s="40"/>
      <c r="K356" s="50"/>
      <c r="L356" s="17"/>
      <c r="M356" s="40"/>
      <c r="N356" s="40"/>
      <c r="O356" s="45" t="str">
        <f aca="false">IF(N356="","",WORKDAY(N356,Settings!$S$4))</f>
        <v/>
      </c>
      <c r="P356" s="17"/>
      <c r="Q356" s="44" t="str">
        <f aca="true">IF(C356="","",IF(P356="Backed out",IF(S356="Paid","Refunded – closed",IF(R356="","Refund – log reason first","Refund in progress")),IF(K356="","Awaiting payment",IF(N356="",IF(M356="","Schedule free video","Free video in production"),IF(P356="Approved","Active",IF(TODAY()&gt;O356,"Active – plan went ahead","Decision pending – "&amp;NETWORKDAYS(TODAY(),O356)&amp;" working day(s) left"))))))</f>
        <v/>
      </c>
      <c r="R356" s="17"/>
      <c r="S356" s="17"/>
      <c r="T356" s="50"/>
      <c r="U356" s="40"/>
      <c r="V356" s="40"/>
      <c r="W356" s="45" t="str">
        <f aca="false">IF(V356="","",EDATE(V356,Settings!$S$6))</f>
        <v/>
      </c>
      <c r="X356" s="17"/>
      <c r="Y356" s="17"/>
      <c r="Z356" s="17"/>
    </row>
    <row r="357" customFormat="false" ht="15" hidden="false" customHeight="false" outlineLevel="0" collapsed="false">
      <c r="A357" s="17"/>
      <c r="B357" s="17"/>
      <c r="C357" s="17"/>
      <c r="D357" s="17"/>
      <c r="E357" s="42"/>
      <c r="F357" s="17"/>
      <c r="G357" s="17"/>
      <c r="H357" s="17"/>
      <c r="I357" s="49" t="str">
        <f aca="false">IF(H357="","",IFERROR(INDEX(Settings!$G$2:$G$4,MATCH(H357,Settings!$F$2:$F$4,0)),""))</f>
        <v/>
      </c>
      <c r="J357" s="40"/>
      <c r="K357" s="50"/>
      <c r="L357" s="17"/>
      <c r="M357" s="40"/>
      <c r="N357" s="40"/>
      <c r="O357" s="45" t="str">
        <f aca="false">IF(N357="","",WORKDAY(N357,Settings!$S$4))</f>
        <v/>
      </c>
      <c r="P357" s="17"/>
      <c r="Q357" s="44" t="str">
        <f aca="true">IF(C357="","",IF(P357="Backed out",IF(S357="Paid","Refunded – closed",IF(R357="","Refund – log reason first","Refund in progress")),IF(K357="","Awaiting payment",IF(N357="",IF(M357="","Schedule free video","Free video in production"),IF(P357="Approved","Active",IF(TODAY()&gt;O357,"Active – plan went ahead","Decision pending – "&amp;NETWORKDAYS(TODAY(),O357)&amp;" working day(s) left"))))))</f>
        <v/>
      </c>
      <c r="R357" s="17"/>
      <c r="S357" s="17"/>
      <c r="T357" s="50"/>
      <c r="U357" s="40"/>
      <c r="V357" s="40"/>
      <c r="W357" s="45" t="str">
        <f aca="false">IF(V357="","",EDATE(V357,Settings!$S$6))</f>
        <v/>
      </c>
      <c r="X357" s="17"/>
      <c r="Y357" s="17"/>
      <c r="Z357" s="17"/>
    </row>
    <row r="358" customFormat="false" ht="15" hidden="false" customHeight="false" outlineLevel="0" collapsed="false">
      <c r="A358" s="17"/>
      <c r="B358" s="17"/>
      <c r="C358" s="17"/>
      <c r="D358" s="17"/>
      <c r="E358" s="42"/>
      <c r="F358" s="17"/>
      <c r="G358" s="17"/>
      <c r="H358" s="17"/>
      <c r="I358" s="49" t="str">
        <f aca="false">IF(H358="","",IFERROR(INDEX(Settings!$G$2:$G$4,MATCH(H358,Settings!$F$2:$F$4,0)),""))</f>
        <v/>
      </c>
      <c r="J358" s="40"/>
      <c r="K358" s="50"/>
      <c r="L358" s="17"/>
      <c r="M358" s="40"/>
      <c r="N358" s="40"/>
      <c r="O358" s="45" t="str">
        <f aca="false">IF(N358="","",WORKDAY(N358,Settings!$S$4))</f>
        <v/>
      </c>
      <c r="P358" s="17"/>
      <c r="Q358" s="44" t="str">
        <f aca="true">IF(C358="","",IF(P358="Backed out",IF(S358="Paid","Refunded – closed",IF(R358="","Refund – log reason first","Refund in progress")),IF(K358="","Awaiting payment",IF(N358="",IF(M358="","Schedule free video","Free video in production"),IF(P358="Approved","Active",IF(TODAY()&gt;O358,"Active – plan went ahead","Decision pending – "&amp;NETWORKDAYS(TODAY(),O358)&amp;" working day(s) left"))))))</f>
        <v/>
      </c>
      <c r="R358" s="17"/>
      <c r="S358" s="17"/>
      <c r="T358" s="50"/>
      <c r="U358" s="40"/>
      <c r="V358" s="40"/>
      <c r="W358" s="45" t="str">
        <f aca="false">IF(V358="","",EDATE(V358,Settings!$S$6))</f>
        <v/>
      </c>
      <c r="X358" s="17"/>
      <c r="Y358" s="17"/>
      <c r="Z358" s="17"/>
    </row>
    <row r="359" customFormat="false" ht="15" hidden="false" customHeight="false" outlineLevel="0" collapsed="false">
      <c r="A359" s="17"/>
      <c r="B359" s="17"/>
      <c r="C359" s="17"/>
      <c r="D359" s="17"/>
      <c r="E359" s="42"/>
      <c r="F359" s="17"/>
      <c r="G359" s="17"/>
      <c r="H359" s="17"/>
      <c r="I359" s="49" t="str">
        <f aca="false">IF(H359="","",IFERROR(INDEX(Settings!$G$2:$G$4,MATCH(H359,Settings!$F$2:$F$4,0)),""))</f>
        <v/>
      </c>
      <c r="J359" s="40"/>
      <c r="K359" s="50"/>
      <c r="L359" s="17"/>
      <c r="M359" s="40"/>
      <c r="N359" s="40"/>
      <c r="O359" s="45" t="str">
        <f aca="false">IF(N359="","",WORKDAY(N359,Settings!$S$4))</f>
        <v/>
      </c>
      <c r="P359" s="17"/>
      <c r="Q359" s="44" t="str">
        <f aca="true">IF(C359="","",IF(P359="Backed out",IF(S359="Paid","Refunded – closed",IF(R359="","Refund – log reason first","Refund in progress")),IF(K359="","Awaiting payment",IF(N359="",IF(M359="","Schedule free video","Free video in production"),IF(P359="Approved","Active",IF(TODAY()&gt;O359,"Active – plan went ahead","Decision pending – "&amp;NETWORKDAYS(TODAY(),O359)&amp;" working day(s) left"))))))</f>
        <v/>
      </c>
      <c r="R359" s="17"/>
      <c r="S359" s="17"/>
      <c r="T359" s="50"/>
      <c r="U359" s="40"/>
      <c r="V359" s="40"/>
      <c r="W359" s="45" t="str">
        <f aca="false">IF(V359="","",EDATE(V359,Settings!$S$6))</f>
        <v/>
      </c>
      <c r="X359" s="17"/>
      <c r="Y359" s="17"/>
      <c r="Z359" s="17"/>
    </row>
    <row r="360" customFormat="false" ht="15" hidden="false" customHeight="false" outlineLevel="0" collapsed="false">
      <c r="A360" s="17"/>
      <c r="B360" s="17"/>
      <c r="C360" s="17"/>
      <c r="D360" s="17"/>
      <c r="E360" s="42"/>
      <c r="F360" s="17"/>
      <c r="G360" s="17"/>
      <c r="H360" s="17"/>
      <c r="I360" s="49" t="str">
        <f aca="false">IF(H360="","",IFERROR(INDEX(Settings!$G$2:$G$4,MATCH(H360,Settings!$F$2:$F$4,0)),""))</f>
        <v/>
      </c>
      <c r="J360" s="40"/>
      <c r="K360" s="50"/>
      <c r="L360" s="17"/>
      <c r="M360" s="40"/>
      <c r="N360" s="40"/>
      <c r="O360" s="45" t="str">
        <f aca="false">IF(N360="","",WORKDAY(N360,Settings!$S$4))</f>
        <v/>
      </c>
      <c r="P360" s="17"/>
      <c r="Q360" s="44" t="str">
        <f aca="true">IF(C360="","",IF(P360="Backed out",IF(S360="Paid","Refunded – closed",IF(R360="","Refund – log reason first","Refund in progress")),IF(K360="","Awaiting payment",IF(N360="",IF(M360="","Schedule free video","Free video in production"),IF(P360="Approved","Active",IF(TODAY()&gt;O360,"Active – plan went ahead","Decision pending – "&amp;NETWORKDAYS(TODAY(),O360)&amp;" working day(s) left"))))))</f>
        <v/>
      </c>
      <c r="R360" s="17"/>
      <c r="S360" s="17"/>
      <c r="T360" s="50"/>
      <c r="U360" s="40"/>
      <c r="V360" s="40"/>
      <c r="W360" s="45" t="str">
        <f aca="false">IF(V360="","",EDATE(V360,Settings!$S$6))</f>
        <v/>
      </c>
      <c r="X360" s="17"/>
      <c r="Y360" s="17"/>
      <c r="Z360" s="17"/>
    </row>
    <row r="361" customFormat="false" ht="15" hidden="false" customHeight="false" outlineLevel="0" collapsed="false">
      <c r="A361" s="17"/>
      <c r="B361" s="17"/>
      <c r="C361" s="17"/>
      <c r="D361" s="17"/>
      <c r="E361" s="42"/>
      <c r="F361" s="17"/>
      <c r="G361" s="17"/>
      <c r="H361" s="17"/>
      <c r="I361" s="49" t="str">
        <f aca="false">IF(H361="","",IFERROR(INDEX(Settings!$G$2:$G$4,MATCH(H361,Settings!$F$2:$F$4,0)),""))</f>
        <v/>
      </c>
      <c r="J361" s="40"/>
      <c r="K361" s="50"/>
      <c r="L361" s="17"/>
      <c r="M361" s="40"/>
      <c r="N361" s="40"/>
      <c r="O361" s="45" t="str">
        <f aca="false">IF(N361="","",WORKDAY(N361,Settings!$S$4))</f>
        <v/>
      </c>
      <c r="P361" s="17"/>
      <c r="Q361" s="44" t="str">
        <f aca="true">IF(C361="","",IF(P361="Backed out",IF(S361="Paid","Refunded – closed",IF(R361="","Refund – log reason first","Refund in progress")),IF(K361="","Awaiting payment",IF(N361="",IF(M361="","Schedule free video","Free video in production"),IF(P361="Approved","Active",IF(TODAY()&gt;O361,"Active – plan went ahead","Decision pending – "&amp;NETWORKDAYS(TODAY(),O361)&amp;" working day(s) left"))))))</f>
        <v/>
      </c>
      <c r="R361" s="17"/>
      <c r="S361" s="17"/>
      <c r="T361" s="50"/>
      <c r="U361" s="40"/>
      <c r="V361" s="40"/>
      <c r="W361" s="45" t="str">
        <f aca="false">IF(V361="","",EDATE(V361,Settings!$S$6))</f>
        <v/>
      </c>
      <c r="X361" s="17"/>
      <c r="Y361" s="17"/>
      <c r="Z361" s="17"/>
    </row>
    <row r="362" customFormat="false" ht="15" hidden="false" customHeight="false" outlineLevel="0" collapsed="false">
      <c r="A362" s="17"/>
      <c r="B362" s="17"/>
      <c r="C362" s="17"/>
      <c r="D362" s="17"/>
      <c r="E362" s="42"/>
      <c r="F362" s="17"/>
      <c r="G362" s="17"/>
      <c r="H362" s="17"/>
      <c r="I362" s="49" t="str">
        <f aca="false">IF(H362="","",IFERROR(INDEX(Settings!$G$2:$G$4,MATCH(H362,Settings!$F$2:$F$4,0)),""))</f>
        <v/>
      </c>
      <c r="J362" s="40"/>
      <c r="K362" s="50"/>
      <c r="L362" s="17"/>
      <c r="M362" s="40"/>
      <c r="N362" s="40"/>
      <c r="O362" s="45" t="str">
        <f aca="false">IF(N362="","",WORKDAY(N362,Settings!$S$4))</f>
        <v/>
      </c>
      <c r="P362" s="17"/>
      <c r="Q362" s="44" t="str">
        <f aca="true">IF(C362="","",IF(P362="Backed out",IF(S362="Paid","Refunded – closed",IF(R362="","Refund – log reason first","Refund in progress")),IF(K362="","Awaiting payment",IF(N362="",IF(M362="","Schedule free video","Free video in production"),IF(P362="Approved","Active",IF(TODAY()&gt;O362,"Active – plan went ahead","Decision pending – "&amp;NETWORKDAYS(TODAY(),O362)&amp;" working day(s) left"))))))</f>
        <v/>
      </c>
      <c r="R362" s="17"/>
      <c r="S362" s="17"/>
      <c r="T362" s="50"/>
      <c r="U362" s="40"/>
      <c r="V362" s="40"/>
      <c r="W362" s="45" t="str">
        <f aca="false">IF(V362="","",EDATE(V362,Settings!$S$6))</f>
        <v/>
      </c>
      <c r="X362" s="17"/>
      <c r="Y362" s="17"/>
      <c r="Z362" s="17"/>
    </row>
    <row r="363" customFormat="false" ht="15" hidden="false" customHeight="false" outlineLevel="0" collapsed="false">
      <c r="A363" s="17"/>
      <c r="B363" s="17"/>
      <c r="C363" s="17"/>
      <c r="D363" s="17"/>
      <c r="E363" s="42"/>
      <c r="F363" s="17"/>
      <c r="G363" s="17"/>
      <c r="H363" s="17"/>
      <c r="I363" s="49" t="str">
        <f aca="false">IF(H363="","",IFERROR(INDEX(Settings!$G$2:$G$4,MATCH(H363,Settings!$F$2:$F$4,0)),""))</f>
        <v/>
      </c>
      <c r="J363" s="40"/>
      <c r="K363" s="50"/>
      <c r="L363" s="17"/>
      <c r="M363" s="40"/>
      <c r="N363" s="40"/>
      <c r="O363" s="45" t="str">
        <f aca="false">IF(N363="","",WORKDAY(N363,Settings!$S$4))</f>
        <v/>
      </c>
      <c r="P363" s="17"/>
      <c r="Q363" s="44" t="str">
        <f aca="true">IF(C363="","",IF(P363="Backed out",IF(S363="Paid","Refunded – closed",IF(R363="","Refund – log reason first","Refund in progress")),IF(K363="","Awaiting payment",IF(N363="",IF(M363="","Schedule free video","Free video in production"),IF(P363="Approved","Active",IF(TODAY()&gt;O363,"Active – plan went ahead","Decision pending – "&amp;NETWORKDAYS(TODAY(),O363)&amp;" working day(s) left"))))))</f>
        <v/>
      </c>
      <c r="R363" s="17"/>
      <c r="S363" s="17"/>
      <c r="T363" s="50"/>
      <c r="U363" s="40"/>
      <c r="V363" s="40"/>
      <c r="W363" s="45" t="str">
        <f aca="false">IF(V363="","",EDATE(V363,Settings!$S$6))</f>
        <v/>
      </c>
      <c r="X363" s="17"/>
      <c r="Y363" s="17"/>
      <c r="Z363" s="17"/>
    </row>
    <row r="364" customFormat="false" ht="15" hidden="false" customHeight="false" outlineLevel="0" collapsed="false">
      <c r="A364" s="17"/>
      <c r="B364" s="17"/>
      <c r="C364" s="17"/>
      <c r="D364" s="17"/>
      <c r="E364" s="42"/>
      <c r="F364" s="17"/>
      <c r="G364" s="17"/>
      <c r="H364" s="17"/>
      <c r="I364" s="49" t="str">
        <f aca="false">IF(H364="","",IFERROR(INDEX(Settings!$G$2:$G$4,MATCH(H364,Settings!$F$2:$F$4,0)),""))</f>
        <v/>
      </c>
      <c r="J364" s="40"/>
      <c r="K364" s="50"/>
      <c r="L364" s="17"/>
      <c r="M364" s="40"/>
      <c r="N364" s="40"/>
      <c r="O364" s="45" t="str">
        <f aca="false">IF(N364="","",WORKDAY(N364,Settings!$S$4))</f>
        <v/>
      </c>
      <c r="P364" s="17"/>
      <c r="Q364" s="44" t="str">
        <f aca="true">IF(C364="","",IF(P364="Backed out",IF(S364="Paid","Refunded – closed",IF(R364="","Refund – log reason first","Refund in progress")),IF(K364="","Awaiting payment",IF(N364="",IF(M364="","Schedule free video","Free video in production"),IF(P364="Approved","Active",IF(TODAY()&gt;O364,"Active – plan went ahead","Decision pending – "&amp;NETWORKDAYS(TODAY(),O364)&amp;" working day(s) left"))))))</f>
        <v/>
      </c>
      <c r="R364" s="17"/>
      <c r="S364" s="17"/>
      <c r="T364" s="50"/>
      <c r="U364" s="40"/>
      <c r="V364" s="40"/>
      <c r="W364" s="45" t="str">
        <f aca="false">IF(V364="","",EDATE(V364,Settings!$S$6))</f>
        <v/>
      </c>
      <c r="X364" s="17"/>
      <c r="Y364" s="17"/>
      <c r="Z364" s="17"/>
    </row>
    <row r="365" customFormat="false" ht="15" hidden="false" customHeight="false" outlineLevel="0" collapsed="false">
      <c r="A365" s="17"/>
      <c r="B365" s="17"/>
      <c r="C365" s="17"/>
      <c r="D365" s="17"/>
      <c r="E365" s="42"/>
      <c r="F365" s="17"/>
      <c r="G365" s="17"/>
      <c r="H365" s="17"/>
      <c r="I365" s="49" t="str">
        <f aca="false">IF(H365="","",IFERROR(INDEX(Settings!$G$2:$G$4,MATCH(H365,Settings!$F$2:$F$4,0)),""))</f>
        <v/>
      </c>
      <c r="J365" s="40"/>
      <c r="K365" s="50"/>
      <c r="L365" s="17"/>
      <c r="M365" s="40"/>
      <c r="N365" s="40"/>
      <c r="O365" s="45" t="str">
        <f aca="false">IF(N365="","",WORKDAY(N365,Settings!$S$4))</f>
        <v/>
      </c>
      <c r="P365" s="17"/>
      <c r="Q365" s="44" t="str">
        <f aca="true">IF(C365="","",IF(P365="Backed out",IF(S365="Paid","Refunded – closed",IF(R365="","Refund – log reason first","Refund in progress")),IF(K365="","Awaiting payment",IF(N365="",IF(M365="","Schedule free video","Free video in production"),IF(P365="Approved","Active",IF(TODAY()&gt;O365,"Active – plan went ahead","Decision pending – "&amp;NETWORKDAYS(TODAY(),O365)&amp;" working day(s) left"))))))</f>
        <v/>
      </c>
      <c r="R365" s="17"/>
      <c r="S365" s="17"/>
      <c r="T365" s="50"/>
      <c r="U365" s="40"/>
      <c r="V365" s="40"/>
      <c r="W365" s="45" t="str">
        <f aca="false">IF(V365="","",EDATE(V365,Settings!$S$6))</f>
        <v/>
      </c>
      <c r="X365" s="17"/>
      <c r="Y365" s="17"/>
      <c r="Z365" s="17"/>
    </row>
    <row r="366" customFormat="false" ht="15" hidden="false" customHeight="false" outlineLevel="0" collapsed="false">
      <c r="A366" s="17"/>
      <c r="B366" s="17"/>
      <c r="C366" s="17"/>
      <c r="D366" s="17"/>
      <c r="E366" s="42"/>
      <c r="F366" s="17"/>
      <c r="G366" s="17"/>
      <c r="H366" s="17"/>
      <c r="I366" s="49" t="str">
        <f aca="false">IF(H366="","",IFERROR(INDEX(Settings!$G$2:$G$4,MATCH(H366,Settings!$F$2:$F$4,0)),""))</f>
        <v/>
      </c>
      <c r="J366" s="40"/>
      <c r="K366" s="50"/>
      <c r="L366" s="17"/>
      <c r="M366" s="40"/>
      <c r="N366" s="40"/>
      <c r="O366" s="45" t="str">
        <f aca="false">IF(N366="","",WORKDAY(N366,Settings!$S$4))</f>
        <v/>
      </c>
      <c r="P366" s="17"/>
      <c r="Q366" s="44" t="str">
        <f aca="true">IF(C366="","",IF(P366="Backed out",IF(S366="Paid","Refunded – closed",IF(R366="","Refund – log reason first","Refund in progress")),IF(K366="","Awaiting payment",IF(N366="",IF(M366="","Schedule free video","Free video in production"),IF(P366="Approved","Active",IF(TODAY()&gt;O366,"Active – plan went ahead","Decision pending – "&amp;NETWORKDAYS(TODAY(),O366)&amp;" working day(s) left"))))))</f>
        <v/>
      </c>
      <c r="R366" s="17"/>
      <c r="S366" s="17"/>
      <c r="T366" s="50"/>
      <c r="U366" s="40"/>
      <c r="V366" s="40"/>
      <c r="W366" s="45" t="str">
        <f aca="false">IF(V366="","",EDATE(V366,Settings!$S$6))</f>
        <v/>
      </c>
      <c r="X366" s="17"/>
      <c r="Y366" s="17"/>
      <c r="Z366" s="17"/>
    </row>
    <row r="367" customFormat="false" ht="15" hidden="false" customHeight="false" outlineLevel="0" collapsed="false">
      <c r="A367" s="17"/>
      <c r="B367" s="17"/>
      <c r="C367" s="17"/>
      <c r="D367" s="17"/>
      <c r="E367" s="42"/>
      <c r="F367" s="17"/>
      <c r="G367" s="17"/>
      <c r="H367" s="17"/>
      <c r="I367" s="49" t="str">
        <f aca="false">IF(H367="","",IFERROR(INDEX(Settings!$G$2:$G$4,MATCH(H367,Settings!$F$2:$F$4,0)),""))</f>
        <v/>
      </c>
      <c r="J367" s="40"/>
      <c r="K367" s="50"/>
      <c r="L367" s="17"/>
      <c r="M367" s="40"/>
      <c r="N367" s="40"/>
      <c r="O367" s="45" t="str">
        <f aca="false">IF(N367="","",WORKDAY(N367,Settings!$S$4))</f>
        <v/>
      </c>
      <c r="P367" s="17"/>
      <c r="Q367" s="44" t="str">
        <f aca="true">IF(C367="","",IF(P367="Backed out",IF(S367="Paid","Refunded – closed",IF(R367="","Refund – log reason first","Refund in progress")),IF(K367="","Awaiting payment",IF(N367="",IF(M367="","Schedule free video","Free video in production"),IF(P367="Approved","Active",IF(TODAY()&gt;O367,"Active – plan went ahead","Decision pending – "&amp;NETWORKDAYS(TODAY(),O367)&amp;" working day(s) left"))))))</f>
        <v/>
      </c>
      <c r="R367" s="17"/>
      <c r="S367" s="17"/>
      <c r="T367" s="50"/>
      <c r="U367" s="40"/>
      <c r="V367" s="40"/>
      <c r="W367" s="45" t="str">
        <f aca="false">IF(V367="","",EDATE(V367,Settings!$S$6))</f>
        <v/>
      </c>
      <c r="X367" s="17"/>
      <c r="Y367" s="17"/>
      <c r="Z367" s="17"/>
    </row>
    <row r="368" customFormat="false" ht="15" hidden="false" customHeight="false" outlineLevel="0" collapsed="false">
      <c r="A368" s="17"/>
      <c r="B368" s="17"/>
      <c r="C368" s="17"/>
      <c r="D368" s="17"/>
      <c r="E368" s="42"/>
      <c r="F368" s="17"/>
      <c r="G368" s="17"/>
      <c r="H368" s="17"/>
      <c r="I368" s="49" t="str">
        <f aca="false">IF(H368="","",IFERROR(INDEX(Settings!$G$2:$G$4,MATCH(H368,Settings!$F$2:$F$4,0)),""))</f>
        <v/>
      </c>
      <c r="J368" s="40"/>
      <c r="K368" s="50"/>
      <c r="L368" s="17"/>
      <c r="M368" s="40"/>
      <c r="N368" s="40"/>
      <c r="O368" s="45" t="str">
        <f aca="false">IF(N368="","",WORKDAY(N368,Settings!$S$4))</f>
        <v/>
      </c>
      <c r="P368" s="17"/>
      <c r="Q368" s="44" t="str">
        <f aca="true">IF(C368="","",IF(P368="Backed out",IF(S368="Paid","Refunded – closed",IF(R368="","Refund – log reason first","Refund in progress")),IF(K368="","Awaiting payment",IF(N368="",IF(M368="","Schedule free video","Free video in production"),IF(P368="Approved","Active",IF(TODAY()&gt;O368,"Active – plan went ahead","Decision pending – "&amp;NETWORKDAYS(TODAY(),O368)&amp;" working day(s) left"))))))</f>
        <v/>
      </c>
      <c r="R368" s="17"/>
      <c r="S368" s="17"/>
      <c r="T368" s="50"/>
      <c r="U368" s="40"/>
      <c r="V368" s="40"/>
      <c r="W368" s="45" t="str">
        <f aca="false">IF(V368="","",EDATE(V368,Settings!$S$6))</f>
        <v/>
      </c>
      <c r="X368" s="17"/>
      <c r="Y368" s="17"/>
      <c r="Z368" s="17"/>
    </row>
    <row r="369" customFormat="false" ht="15" hidden="false" customHeight="false" outlineLevel="0" collapsed="false">
      <c r="A369" s="17"/>
      <c r="B369" s="17"/>
      <c r="C369" s="17"/>
      <c r="D369" s="17"/>
      <c r="E369" s="42"/>
      <c r="F369" s="17"/>
      <c r="G369" s="17"/>
      <c r="H369" s="17"/>
      <c r="I369" s="49" t="str">
        <f aca="false">IF(H369="","",IFERROR(INDEX(Settings!$G$2:$G$4,MATCH(H369,Settings!$F$2:$F$4,0)),""))</f>
        <v/>
      </c>
      <c r="J369" s="40"/>
      <c r="K369" s="50"/>
      <c r="L369" s="17"/>
      <c r="M369" s="40"/>
      <c r="N369" s="40"/>
      <c r="O369" s="45" t="str">
        <f aca="false">IF(N369="","",WORKDAY(N369,Settings!$S$4))</f>
        <v/>
      </c>
      <c r="P369" s="17"/>
      <c r="Q369" s="44" t="str">
        <f aca="true">IF(C369="","",IF(P369="Backed out",IF(S369="Paid","Refunded – closed",IF(R369="","Refund – log reason first","Refund in progress")),IF(K369="","Awaiting payment",IF(N369="",IF(M369="","Schedule free video","Free video in production"),IF(P369="Approved","Active",IF(TODAY()&gt;O369,"Active – plan went ahead","Decision pending – "&amp;NETWORKDAYS(TODAY(),O369)&amp;" working day(s) left"))))))</f>
        <v/>
      </c>
      <c r="R369" s="17"/>
      <c r="S369" s="17"/>
      <c r="T369" s="50"/>
      <c r="U369" s="40"/>
      <c r="V369" s="40"/>
      <c r="W369" s="45" t="str">
        <f aca="false">IF(V369="","",EDATE(V369,Settings!$S$6))</f>
        <v/>
      </c>
      <c r="X369" s="17"/>
      <c r="Y369" s="17"/>
      <c r="Z369" s="17"/>
    </row>
    <row r="370" customFormat="false" ht="15" hidden="false" customHeight="false" outlineLevel="0" collapsed="false">
      <c r="A370" s="17"/>
      <c r="B370" s="17"/>
      <c r="C370" s="17"/>
      <c r="D370" s="17"/>
      <c r="E370" s="42"/>
      <c r="F370" s="17"/>
      <c r="G370" s="17"/>
      <c r="H370" s="17"/>
      <c r="I370" s="49" t="str">
        <f aca="false">IF(H370="","",IFERROR(INDEX(Settings!$G$2:$G$4,MATCH(H370,Settings!$F$2:$F$4,0)),""))</f>
        <v/>
      </c>
      <c r="J370" s="40"/>
      <c r="K370" s="50"/>
      <c r="L370" s="17"/>
      <c r="M370" s="40"/>
      <c r="N370" s="40"/>
      <c r="O370" s="45" t="str">
        <f aca="false">IF(N370="","",WORKDAY(N370,Settings!$S$4))</f>
        <v/>
      </c>
      <c r="P370" s="17"/>
      <c r="Q370" s="44" t="str">
        <f aca="true">IF(C370="","",IF(P370="Backed out",IF(S370="Paid","Refunded – closed",IF(R370="","Refund – log reason first","Refund in progress")),IF(K370="","Awaiting payment",IF(N370="",IF(M370="","Schedule free video","Free video in production"),IF(P370="Approved","Active",IF(TODAY()&gt;O370,"Active – plan went ahead","Decision pending – "&amp;NETWORKDAYS(TODAY(),O370)&amp;" working day(s) left"))))))</f>
        <v/>
      </c>
      <c r="R370" s="17"/>
      <c r="S370" s="17"/>
      <c r="T370" s="50"/>
      <c r="U370" s="40"/>
      <c r="V370" s="40"/>
      <c r="W370" s="45" t="str">
        <f aca="false">IF(V370="","",EDATE(V370,Settings!$S$6))</f>
        <v/>
      </c>
      <c r="X370" s="17"/>
      <c r="Y370" s="17"/>
      <c r="Z370" s="17"/>
    </row>
    <row r="371" customFormat="false" ht="15" hidden="false" customHeight="false" outlineLevel="0" collapsed="false">
      <c r="A371" s="17"/>
      <c r="B371" s="17"/>
      <c r="C371" s="17"/>
      <c r="D371" s="17"/>
      <c r="E371" s="42"/>
      <c r="F371" s="17"/>
      <c r="G371" s="17"/>
      <c r="H371" s="17"/>
      <c r="I371" s="49" t="str">
        <f aca="false">IF(H371="","",IFERROR(INDEX(Settings!$G$2:$G$4,MATCH(H371,Settings!$F$2:$F$4,0)),""))</f>
        <v/>
      </c>
      <c r="J371" s="40"/>
      <c r="K371" s="50"/>
      <c r="L371" s="17"/>
      <c r="M371" s="40"/>
      <c r="N371" s="40"/>
      <c r="O371" s="45" t="str">
        <f aca="false">IF(N371="","",WORKDAY(N371,Settings!$S$4))</f>
        <v/>
      </c>
      <c r="P371" s="17"/>
      <c r="Q371" s="44" t="str">
        <f aca="true">IF(C371="","",IF(P371="Backed out",IF(S371="Paid","Refunded – closed",IF(R371="","Refund – log reason first","Refund in progress")),IF(K371="","Awaiting payment",IF(N371="",IF(M371="","Schedule free video","Free video in production"),IF(P371="Approved","Active",IF(TODAY()&gt;O371,"Active – plan went ahead","Decision pending – "&amp;NETWORKDAYS(TODAY(),O371)&amp;" working day(s) left"))))))</f>
        <v/>
      </c>
      <c r="R371" s="17"/>
      <c r="S371" s="17"/>
      <c r="T371" s="50"/>
      <c r="U371" s="40"/>
      <c r="V371" s="40"/>
      <c r="W371" s="45" t="str">
        <f aca="false">IF(V371="","",EDATE(V371,Settings!$S$6))</f>
        <v/>
      </c>
      <c r="X371" s="17"/>
      <c r="Y371" s="17"/>
      <c r="Z371" s="17"/>
    </row>
    <row r="372" customFormat="false" ht="15" hidden="false" customHeight="false" outlineLevel="0" collapsed="false">
      <c r="A372" s="17"/>
      <c r="B372" s="17"/>
      <c r="C372" s="17"/>
      <c r="D372" s="17"/>
      <c r="E372" s="42"/>
      <c r="F372" s="17"/>
      <c r="G372" s="17"/>
      <c r="H372" s="17"/>
      <c r="I372" s="49" t="str">
        <f aca="false">IF(H372="","",IFERROR(INDEX(Settings!$G$2:$G$4,MATCH(H372,Settings!$F$2:$F$4,0)),""))</f>
        <v/>
      </c>
      <c r="J372" s="40"/>
      <c r="K372" s="50"/>
      <c r="L372" s="17"/>
      <c r="M372" s="40"/>
      <c r="N372" s="40"/>
      <c r="O372" s="45" t="str">
        <f aca="false">IF(N372="","",WORKDAY(N372,Settings!$S$4))</f>
        <v/>
      </c>
      <c r="P372" s="17"/>
      <c r="Q372" s="44" t="str">
        <f aca="true">IF(C372="","",IF(P372="Backed out",IF(S372="Paid","Refunded – closed",IF(R372="","Refund – log reason first","Refund in progress")),IF(K372="","Awaiting payment",IF(N372="",IF(M372="","Schedule free video","Free video in production"),IF(P372="Approved","Active",IF(TODAY()&gt;O372,"Active – plan went ahead","Decision pending – "&amp;NETWORKDAYS(TODAY(),O372)&amp;" working day(s) left"))))))</f>
        <v/>
      </c>
      <c r="R372" s="17"/>
      <c r="S372" s="17"/>
      <c r="T372" s="50"/>
      <c r="U372" s="40"/>
      <c r="V372" s="40"/>
      <c r="W372" s="45" t="str">
        <f aca="false">IF(V372="","",EDATE(V372,Settings!$S$6))</f>
        <v/>
      </c>
      <c r="X372" s="17"/>
      <c r="Y372" s="17"/>
      <c r="Z372" s="17"/>
    </row>
    <row r="373" customFormat="false" ht="15" hidden="false" customHeight="false" outlineLevel="0" collapsed="false">
      <c r="A373" s="17"/>
      <c r="B373" s="17"/>
      <c r="C373" s="17"/>
      <c r="D373" s="17"/>
      <c r="E373" s="42"/>
      <c r="F373" s="17"/>
      <c r="G373" s="17"/>
      <c r="H373" s="17"/>
      <c r="I373" s="49" t="str">
        <f aca="false">IF(H373="","",IFERROR(INDEX(Settings!$G$2:$G$4,MATCH(H373,Settings!$F$2:$F$4,0)),""))</f>
        <v/>
      </c>
      <c r="J373" s="40"/>
      <c r="K373" s="50"/>
      <c r="L373" s="17"/>
      <c r="M373" s="40"/>
      <c r="N373" s="40"/>
      <c r="O373" s="45" t="str">
        <f aca="false">IF(N373="","",WORKDAY(N373,Settings!$S$4))</f>
        <v/>
      </c>
      <c r="P373" s="17"/>
      <c r="Q373" s="44" t="str">
        <f aca="true">IF(C373="","",IF(P373="Backed out",IF(S373="Paid","Refunded – closed",IF(R373="","Refund – log reason first","Refund in progress")),IF(K373="","Awaiting payment",IF(N373="",IF(M373="","Schedule free video","Free video in production"),IF(P373="Approved","Active",IF(TODAY()&gt;O373,"Active – plan went ahead","Decision pending – "&amp;NETWORKDAYS(TODAY(),O373)&amp;" working day(s) left"))))))</f>
        <v/>
      </c>
      <c r="R373" s="17"/>
      <c r="S373" s="17"/>
      <c r="T373" s="50"/>
      <c r="U373" s="40"/>
      <c r="V373" s="40"/>
      <c r="W373" s="45" t="str">
        <f aca="false">IF(V373="","",EDATE(V373,Settings!$S$6))</f>
        <v/>
      </c>
      <c r="X373" s="17"/>
      <c r="Y373" s="17"/>
      <c r="Z373" s="17"/>
    </row>
    <row r="374" customFormat="false" ht="15" hidden="false" customHeight="false" outlineLevel="0" collapsed="false">
      <c r="A374" s="17"/>
      <c r="B374" s="17"/>
      <c r="C374" s="17"/>
      <c r="D374" s="17"/>
      <c r="E374" s="42"/>
      <c r="F374" s="17"/>
      <c r="G374" s="17"/>
      <c r="H374" s="17"/>
      <c r="I374" s="49" t="str">
        <f aca="false">IF(H374="","",IFERROR(INDEX(Settings!$G$2:$G$4,MATCH(H374,Settings!$F$2:$F$4,0)),""))</f>
        <v/>
      </c>
      <c r="J374" s="40"/>
      <c r="K374" s="50"/>
      <c r="L374" s="17"/>
      <c r="M374" s="40"/>
      <c r="N374" s="40"/>
      <c r="O374" s="45" t="str">
        <f aca="false">IF(N374="","",WORKDAY(N374,Settings!$S$4))</f>
        <v/>
      </c>
      <c r="P374" s="17"/>
      <c r="Q374" s="44" t="str">
        <f aca="true">IF(C374="","",IF(P374="Backed out",IF(S374="Paid","Refunded – closed",IF(R374="","Refund – log reason first","Refund in progress")),IF(K374="","Awaiting payment",IF(N374="",IF(M374="","Schedule free video","Free video in production"),IF(P374="Approved","Active",IF(TODAY()&gt;O374,"Active – plan went ahead","Decision pending – "&amp;NETWORKDAYS(TODAY(),O374)&amp;" working day(s) left"))))))</f>
        <v/>
      </c>
      <c r="R374" s="17"/>
      <c r="S374" s="17"/>
      <c r="T374" s="50"/>
      <c r="U374" s="40"/>
      <c r="V374" s="40"/>
      <c r="W374" s="45" t="str">
        <f aca="false">IF(V374="","",EDATE(V374,Settings!$S$6))</f>
        <v/>
      </c>
      <c r="X374" s="17"/>
      <c r="Y374" s="17"/>
      <c r="Z374" s="17"/>
    </row>
    <row r="375" customFormat="false" ht="15" hidden="false" customHeight="false" outlineLevel="0" collapsed="false">
      <c r="A375" s="17"/>
      <c r="B375" s="17"/>
      <c r="C375" s="17"/>
      <c r="D375" s="17"/>
      <c r="E375" s="42"/>
      <c r="F375" s="17"/>
      <c r="G375" s="17"/>
      <c r="H375" s="17"/>
      <c r="I375" s="49" t="str">
        <f aca="false">IF(H375="","",IFERROR(INDEX(Settings!$G$2:$G$4,MATCH(H375,Settings!$F$2:$F$4,0)),""))</f>
        <v/>
      </c>
      <c r="J375" s="40"/>
      <c r="K375" s="50"/>
      <c r="L375" s="17"/>
      <c r="M375" s="40"/>
      <c r="N375" s="40"/>
      <c r="O375" s="45" t="str">
        <f aca="false">IF(N375="","",WORKDAY(N375,Settings!$S$4))</f>
        <v/>
      </c>
      <c r="P375" s="17"/>
      <c r="Q375" s="44" t="str">
        <f aca="true">IF(C375="","",IF(P375="Backed out",IF(S375="Paid","Refunded – closed",IF(R375="","Refund – log reason first","Refund in progress")),IF(K375="","Awaiting payment",IF(N375="",IF(M375="","Schedule free video","Free video in production"),IF(P375="Approved","Active",IF(TODAY()&gt;O375,"Active – plan went ahead","Decision pending – "&amp;NETWORKDAYS(TODAY(),O375)&amp;" working day(s) left"))))))</f>
        <v/>
      </c>
      <c r="R375" s="17"/>
      <c r="S375" s="17"/>
      <c r="T375" s="50"/>
      <c r="U375" s="40"/>
      <c r="V375" s="40"/>
      <c r="W375" s="45" t="str">
        <f aca="false">IF(V375="","",EDATE(V375,Settings!$S$6))</f>
        <v/>
      </c>
      <c r="X375" s="17"/>
      <c r="Y375" s="17"/>
      <c r="Z375" s="17"/>
    </row>
    <row r="376" customFormat="false" ht="15" hidden="false" customHeight="false" outlineLevel="0" collapsed="false">
      <c r="A376" s="17"/>
      <c r="B376" s="17"/>
      <c r="C376" s="17"/>
      <c r="D376" s="17"/>
      <c r="E376" s="42"/>
      <c r="F376" s="17"/>
      <c r="G376" s="17"/>
      <c r="H376" s="17"/>
      <c r="I376" s="49" t="str">
        <f aca="false">IF(H376="","",IFERROR(INDEX(Settings!$G$2:$G$4,MATCH(H376,Settings!$F$2:$F$4,0)),""))</f>
        <v/>
      </c>
      <c r="J376" s="40"/>
      <c r="K376" s="50"/>
      <c r="L376" s="17"/>
      <c r="M376" s="40"/>
      <c r="N376" s="40"/>
      <c r="O376" s="45" t="str">
        <f aca="false">IF(N376="","",WORKDAY(N376,Settings!$S$4))</f>
        <v/>
      </c>
      <c r="P376" s="17"/>
      <c r="Q376" s="44" t="str">
        <f aca="true">IF(C376="","",IF(P376="Backed out",IF(S376="Paid","Refunded – closed",IF(R376="","Refund – log reason first","Refund in progress")),IF(K376="","Awaiting payment",IF(N376="",IF(M376="","Schedule free video","Free video in production"),IF(P376="Approved","Active",IF(TODAY()&gt;O376,"Active – plan went ahead","Decision pending – "&amp;NETWORKDAYS(TODAY(),O376)&amp;" working day(s) left"))))))</f>
        <v/>
      </c>
      <c r="R376" s="17"/>
      <c r="S376" s="17"/>
      <c r="T376" s="50"/>
      <c r="U376" s="40"/>
      <c r="V376" s="40"/>
      <c r="W376" s="45" t="str">
        <f aca="false">IF(V376="","",EDATE(V376,Settings!$S$6))</f>
        <v/>
      </c>
      <c r="X376" s="17"/>
      <c r="Y376" s="17"/>
      <c r="Z376" s="17"/>
    </row>
    <row r="377" customFormat="false" ht="15" hidden="false" customHeight="false" outlineLevel="0" collapsed="false">
      <c r="A377" s="17"/>
      <c r="B377" s="17"/>
      <c r="C377" s="17"/>
      <c r="D377" s="17"/>
      <c r="E377" s="42"/>
      <c r="F377" s="17"/>
      <c r="G377" s="17"/>
      <c r="H377" s="17"/>
      <c r="I377" s="49" t="str">
        <f aca="false">IF(H377="","",IFERROR(INDEX(Settings!$G$2:$G$4,MATCH(H377,Settings!$F$2:$F$4,0)),""))</f>
        <v/>
      </c>
      <c r="J377" s="40"/>
      <c r="K377" s="50"/>
      <c r="L377" s="17"/>
      <c r="M377" s="40"/>
      <c r="N377" s="40"/>
      <c r="O377" s="45" t="str">
        <f aca="false">IF(N377="","",WORKDAY(N377,Settings!$S$4))</f>
        <v/>
      </c>
      <c r="P377" s="17"/>
      <c r="Q377" s="44" t="str">
        <f aca="true">IF(C377="","",IF(P377="Backed out",IF(S377="Paid","Refunded – closed",IF(R377="","Refund – log reason first","Refund in progress")),IF(K377="","Awaiting payment",IF(N377="",IF(M377="","Schedule free video","Free video in production"),IF(P377="Approved","Active",IF(TODAY()&gt;O377,"Active – plan went ahead","Decision pending – "&amp;NETWORKDAYS(TODAY(),O377)&amp;" working day(s) left"))))))</f>
        <v/>
      </c>
      <c r="R377" s="17"/>
      <c r="S377" s="17"/>
      <c r="T377" s="50"/>
      <c r="U377" s="40"/>
      <c r="V377" s="40"/>
      <c r="W377" s="45" t="str">
        <f aca="false">IF(V377="","",EDATE(V377,Settings!$S$6))</f>
        <v/>
      </c>
      <c r="X377" s="17"/>
      <c r="Y377" s="17"/>
      <c r="Z377" s="17"/>
    </row>
    <row r="378" customFormat="false" ht="15" hidden="false" customHeight="false" outlineLevel="0" collapsed="false">
      <c r="A378" s="17"/>
      <c r="B378" s="17"/>
      <c r="C378" s="17"/>
      <c r="D378" s="17"/>
      <c r="E378" s="42"/>
      <c r="F378" s="17"/>
      <c r="G378" s="17"/>
      <c r="H378" s="17"/>
      <c r="I378" s="49" t="str">
        <f aca="false">IF(H378="","",IFERROR(INDEX(Settings!$G$2:$G$4,MATCH(H378,Settings!$F$2:$F$4,0)),""))</f>
        <v/>
      </c>
      <c r="J378" s="40"/>
      <c r="K378" s="50"/>
      <c r="L378" s="17"/>
      <c r="M378" s="40"/>
      <c r="N378" s="40"/>
      <c r="O378" s="45" t="str">
        <f aca="false">IF(N378="","",WORKDAY(N378,Settings!$S$4))</f>
        <v/>
      </c>
      <c r="P378" s="17"/>
      <c r="Q378" s="44" t="str">
        <f aca="true">IF(C378="","",IF(P378="Backed out",IF(S378="Paid","Refunded – closed",IF(R378="","Refund – log reason first","Refund in progress")),IF(K378="","Awaiting payment",IF(N378="",IF(M378="","Schedule free video","Free video in production"),IF(P378="Approved","Active",IF(TODAY()&gt;O378,"Active – plan went ahead","Decision pending – "&amp;NETWORKDAYS(TODAY(),O378)&amp;" working day(s) left"))))))</f>
        <v/>
      </c>
      <c r="R378" s="17"/>
      <c r="S378" s="17"/>
      <c r="T378" s="50"/>
      <c r="U378" s="40"/>
      <c r="V378" s="40"/>
      <c r="W378" s="45" t="str">
        <f aca="false">IF(V378="","",EDATE(V378,Settings!$S$6))</f>
        <v/>
      </c>
      <c r="X378" s="17"/>
      <c r="Y378" s="17"/>
      <c r="Z378" s="17"/>
    </row>
    <row r="379" customFormat="false" ht="15" hidden="false" customHeight="false" outlineLevel="0" collapsed="false">
      <c r="A379" s="17"/>
      <c r="B379" s="17"/>
      <c r="C379" s="17"/>
      <c r="D379" s="17"/>
      <c r="E379" s="42"/>
      <c r="F379" s="17"/>
      <c r="G379" s="17"/>
      <c r="H379" s="17"/>
      <c r="I379" s="49" t="str">
        <f aca="false">IF(H379="","",IFERROR(INDEX(Settings!$G$2:$G$4,MATCH(H379,Settings!$F$2:$F$4,0)),""))</f>
        <v/>
      </c>
      <c r="J379" s="40"/>
      <c r="K379" s="50"/>
      <c r="L379" s="17"/>
      <c r="M379" s="40"/>
      <c r="N379" s="40"/>
      <c r="O379" s="45" t="str">
        <f aca="false">IF(N379="","",WORKDAY(N379,Settings!$S$4))</f>
        <v/>
      </c>
      <c r="P379" s="17"/>
      <c r="Q379" s="44" t="str">
        <f aca="true">IF(C379="","",IF(P379="Backed out",IF(S379="Paid","Refunded – closed",IF(R379="","Refund – log reason first","Refund in progress")),IF(K379="","Awaiting payment",IF(N379="",IF(M379="","Schedule free video","Free video in production"),IF(P379="Approved","Active",IF(TODAY()&gt;O379,"Active – plan went ahead","Decision pending – "&amp;NETWORKDAYS(TODAY(),O379)&amp;" working day(s) left"))))))</f>
        <v/>
      </c>
      <c r="R379" s="17"/>
      <c r="S379" s="17"/>
      <c r="T379" s="50"/>
      <c r="U379" s="40"/>
      <c r="V379" s="40"/>
      <c r="W379" s="45" t="str">
        <f aca="false">IF(V379="","",EDATE(V379,Settings!$S$6))</f>
        <v/>
      </c>
      <c r="X379" s="17"/>
      <c r="Y379" s="17"/>
      <c r="Z379" s="17"/>
    </row>
    <row r="380" customFormat="false" ht="15" hidden="false" customHeight="false" outlineLevel="0" collapsed="false">
      <c r="A380" s="17"/>
      <c r="B380" s="17"/>
      <c r="C380" s="17"/>
      <c r="D380" s="17"/>
      <c r="E380" s="42"/>
      <c r="F380" s="17"/>
      <c r="G380" s="17"/>
      <c r="H380" s="17"/>
      <c r="I380" s="49" t="str">
        <f aca="false">IF(H380="","",IFERROR(INDEX(Settings!$G$2:$G$4,MATCH(H380,Settings!$F$2:$F$4,0)),""))</f>
        <v/>
      </c>
      <c r="J380" s="40"/>
      <c r="K380" s="50"/>
      <c r="L380" s="17"/>
      <c r="M380" s="40"/>
      <c r="N380" s="40"/>
      <c r="O380" s="45" t="str">
        <f aca="false">IF(N380="","",WORKDAY(N380,Settings!$S$4))</f>
        <v/>
      </c>
      <c r="P380" s="17"/>
      <c r="Q380" s="44" t="str">
        <f aca="true">IF(C380="","",IF(P380="Backed out",IF(S380="Paid","Refunded – closed",IF(R380="","Refund – log reason first","Refund in progress")),IF(K380="","Awaiting payment",IF(N380="",IF(M380="","Schedule free video","Free video in production"),IF(P380="Approved","Active",IF(TODAY()&gt;O380,"Active – plan went ahead","Decision pending – "&amp;NETWORKDAYS(TODAY(),O380)&amp;" working day(s) left"))))))</f>
        <v/>
      </c>
      <c r="R380" s="17"/>
      <c r="S380" s="17"/>
      <c r="T380" s="50"/>
      <c r="U380" s="40"/>
      <c r="V380" s="40"/>
      <c r="W380" s="45" t="str">
        <f aca="false">IF(V380="","",EDATE(V380,Settings!$S$6))</f>
        <v/>
      </c>
      <c r="X380" s="17"/>
      <c r="Y380" s="17"/>
      <c r="Z380" s="17"/>
    </row>
    <row r="381" customFormat="false" ht="15" hidden="false" customHeight="false" outlineLevel="0" collapsed="false">
      <c r="A381" s="17"/>
      <c r="B381" s="17"/>
      <c r="C381" s="17"/>
      <c r="D381" s="17"/>
      <c r="E381" s="42"/>
      <c r="F381" s="17"/>
      <c r="G381" s="17"/>
      <c r="H381" s="17"/>
      <c r="I381" s="49" t="str">
        <f aca="false">IF(H381="","",IFERROR(INDEX(Settings!$G$2:$G$4,MATCH(H381,Settings!$F$2:$F$4,0)),""))</f>
        <v/>
      </c>
      <c r="J381" s="40"/>
      <c r="K381" s="50"/>
      <c r="L381" s="17"/>
      <c r="M381" s="40"/>
      <c r="N381" s="40"/>
      <c r="O381" s="45" t="str">
        <f aca="false">IF(N381="","",WORKDAY(N381,Settings!$S$4))</f>
        <v/>
      </c>
      <c r="P381" s="17"/>
      <c r="Q381" s="44" t="str">
        <f aca="true">IF(C381="","",IF(P381="Backed out",IF(S381="Paid","Refunded – closed",IF(R381="","Refund – log reason first","Refund in progress")),IF(K381="","Awaiting payment",IF(N381="",IF(M381="","Schedule free video","Free video in production"),IF(P381="Approved","Active",IF(TODAY()&gt;O381,"Active – plan went ahead","Decision pending – "&amp;NETWORKDAYS(TODAY(),O381)&amp;" working day(s) left"))))))</f>
        <v/>
      </c>
      <c r="R381" s="17"/>
      <c r="S381" s="17"/>
      <c r="T381" s="50"/>
      <c r="U381" s="40"/>
      <c r="V381" s="40"/>
      <c r="W381" s="45" t="str">
        <f aca="false">IF(V381="","",EDATE(V381,Settings!$S$6))</f>
        <v/>
      </c>
      <c r="X381" s="17"/>
      <c r="Y381" s="17"/>
      <c r="Z381" s="17"/>
    </row>
    <row r="382" customFormat="false" ht="15" hidden="false" customHeight="false" outlineLevel="0" collapsed="false">
      <c r="A382" s="17"/>
      <c r="B382" s="17"/>
      <c r="C382" s="17"/>
      <c r="D382" s="17"/>
      <c r="E382" s="42"/>
      <c r="F382" s="17"/>
      <c r="G382" s="17"/>
      <c r="H382" s="17"/>
      <c r="I382" s="49" t="str">
        <f aca="false">IF(H382="","",IFERROR(INDEX(Settings!$G$2:$G$4,MATCH(H382,Settings!$F$2:$F$4,0)),""))</f>
        <v/>
      </c>
      <c r="J382" s="40"/>
      <c r="K382" s="50"/>
      <c r="L382" s="17"/>
      <c r="M382" s="40"/>
      <c r="N382" s="40"/>
      <c r="O382" s="45" t="str">
        <f aca="false">IF(N382="","",WORKDAY(N382,Settings!$S$4))</f>
        <v/>
      </c>
      <c r="P382" s="17"/>
      <c r="Q382" s="44" t="str">
        <f aca="true">IF(C382="","",IF(P382="Backed out",IF(S382="Paid","Refunded – closed",IF(R382="","Refund – log reason first","Refund in progress")),IF(K382="","Awaiting payment",IF(N382="",IF(M382="","Schedule free video","Free video in production"),IF(P382="Approved","Active",IF(TODAY()&gt;O382,"Active – plan went ahead","Decision pending – "&amp;NETWORKDAYS(TODAY(),O382)&amp;" working day(s) left"))))))</f>
        <v/>
      </c>
      <c r="R382" s="17"/>
      <c r="S382" s="17"/>
      <c r="T382" s="50"/>
      <c r="U382" s="40"/>
      <c r="V382" s="40"/>
      <c r="W382" s="45" t="str">
        <f aca="false">IF(V382="","",EDATE(V382,Settings!$S$6))</f>
        <v/>
      </c>
      <c r="X382" s="17"/>
      <c r="Y382" s="17"/>
      <c r="Z382" s="17"/>
    </row>
    <row r="383" customFormat="false" ht="15" hidden="false" customHeight="false" outlineLevel="0" collapsed="false">
      <c r="A383" s="17"/>
      <c r="B383" s="17"/>
      <c r="C383" s="17"/>
      <c r="D383" s="17"/>
      <c r="E383" s="42"/>
      <c r="F383" s="17"/>
      <c r="G383" s="17"/>
      <c r="H383" s="17"/>
      <c r="I383" s="49" t="str">
        <f aca="false">IF(H383="","",IFERROR(INDEX(Settings!$G$2:$G$4,MATCH(H383,Settings!$F$2:$F$4,0)),""))</f>
        <v/>
      </c>
      <c r="J383" s="40"/>
      <c r="K383" s="50"/>
      <c r="L383" s="17"/>
      <c r="M383" s="40"/>
      <c r="N383" s="40"/>
      <c r="O383" s="45" t="str">
        <f aca="false">IF(N383="","",WORKDAY(N383,Settings!$S$4))</f>
        <v/>
      </c>
      <c r="P383" s="17"/>
      <c r="Q383" s="44" t="str">
        <f aca="true">IF(C383="","",IF(P383="Backed out",IF(S383="Paid","Refunded – closed",IF(R383="","Refund – log reason first","Refund in progress")),IF(K383="","Awaiting payment",IF(N383="",IF(M383="","Schedule free video","Free video in production"),IF(P383="Approved","Active",IF(TODAY()&gt;O383,"Active – plan went ahead","Decision pending – "&amp;NETWORKDAYS(TODAY(),O383)&amp;" working day(s) left"))))))</f>
        <v/>
      </c>
      <c r="R383" s="17"/>
      <c r="S383" s="17"/>
      <c r="T383" s="50"/>
      <c r="U383" s="40"/>
      <c r="V383" s="40"/>
      <c r="W383" s="45" t="str">
        <f aca="false">IF(V383="","",EDATE(V383,Settings!$S$6))</f>
        <v/>
      </c>
      <c r="X383" s="17"/>
      <c r="Y383" s="17"/>
      <c r="Z383" s="17"/>
    </row>
    <row r="384" customFormat="false" ht="15" hidden="false" customHeight="false" outlineLevel="0" collapsed="false">
      <c r="A384" s="17"/>
      <c r="B384" s="17"/>
      <c r="C384" s="17"/>
      <c r="D384" s="17"/>
      <c r="E384" s="42"/>
      <c r="F384" s="17"/>
      <c r="G384" s="17"/>
      <c r="H384" s="17"/>
      <c r="I384" s="49" t="str">
        <f aca="false">IF(H384="","",IFERROR(INDEX(Settings!$G$2:$G$4,MATCH(H384,Settings!$F$2:$F$4,0)),""))</f>
        <v/>
      </c>
      <c r="J384" s="40"/>
      <c r="K384" s="50"/>
      <c r="L384" s="17"/>
      <c r="M384" s="40"/>
      <c r="N384" s="40"/>
      <c r="O384" s="45" t="str">
        <f aca="false">IF(N384="","",WORKDAY(N384,Settings!$S$4))</f>
        <v/>
      </c>
      <c r="P384" s="17"/>
      <c r="Q384" s="44" t="str">
        <f aca="true">IF(C384="","",IF(P384="Backed out",IF(S384="Paid","Refunded – closed",IF(R384="","Refund – log reason first","Refund in progress")),IF(K384="","Awaiting payment",IF(N384="",IF(M384="","Schedule free video","Free video in production"),IF(P384="Approved","Active",IF(TODAY()&gt;O384,"Active – plan went ahead","Decision pending – "&amp;NETWORKDAYS(TODAY(),O384)&amp;" working day(s) left"))))))</f>
        <v/>
      </c>
      <c r="R384" s="17"/>
      <c r="S384" s="17"/>
      <c r="T384" s="50"/>
      <c r="U384" s="40"/>
      <c r="V384" s="40"/>
      <c r="W384" s="45" t="str">
        <f aca="false">IF(V384="","",EDATE(V384,Settings!$S$6))</f>
        <v/>
      </c>
      <c r="X384" s="17"/>
      <c r="Y384" s="17"/>
      <c r="Z384" s="17"/>
    </row>
    <row r="385" customFormat="false" ht="15" hidden="false" customHeight="false" outlineLevel="0" collapsed="false">
      <c r="A385" s="17"/>
      <c r="B385" s="17"/>
      <c r="C385" s="17"/>
      <c r="D385" s="17"/>
      <c r="E385" s="42"/>
      <c r="F385" s="17"/>
      <c r="G385" s="17"/>
      <c r="H385" s="17"/>
      <c r="I385" s="49" t="str">
        <f aca="false">IF(H385="","",IFERROR(INDEX(Settings!$G$2:$G$4,MATCH(H385,Settings!$F$2:$F$4,0)),""))</f>
        <v/>
      </c>
      <c r="J385" s="40"/>
      <c r="K385" s="50"/>
      <c r="L385" s="17"/>
      <c r="M385" s="40"/>
      <c r="N385" s="40"/>
      <c r="O385" s="45" t="str">
        <f aca="false">IF(N385="","",WORKDAY(N385,Settings!$S$4))</f>
        <v/>
      </c>
      <c r="P385" s="17"/>
      <c r="Q385" s="44" t="str">
        <f aca="true">IF(C385="","",IF(P385="Backed out",IF(S385="Paid","Refunded – closed",IF(R385="","Refund – log reason first","Refund in progress")),IF(K385="","Awaiting payment",IF(N385="",IF(M385="","Schedule free video","Free video in production"),IF(P385="Approved","Active",IF(TODAY()&gt;O385,"Active – plan went ahead","Decision pending – "&amp;NETWORKDAYS(TODAY(),O385)&amp;" working day(s) left"))))))</f>
        <v/>
      </c>
      <c r="R385" s="17"/>
      <c r="S385" s="17"/>
      <c r="T385" s="50"/>
      <c r="U385" s="40"/>
      <c r="V385" s="40"/>
      <c r="W385" s="45" t="str">
        <f aca="false">IF(V385="","",EDATE(V385,Settings!$S$6))</f>
        <v/>
      </c>
      <c r="X385" s="17"/>
      <c r="Y385" s="17"/>
      <c r="Z385" s="17"/>
    </row>
    <row r="386" customFormat="false" ht="15" hidden="false" customHeight="false" outlineLevel="0" collapsed="false">
      <c r="A386" s="17"/>
      <c r="B386" s="17"/>
      <c r="C386" s="17"/>
      <c r="D386" s="17"/>
      <c r="E386" s="42"/>
      <c r="F386" s="17"/>
      <c r="G386" s="17"/>
      <c r="H386" s="17"/>
      <c r="I386" s="49" t="str">
        <f aca="false">IF(H386="","",IFERROR(INDEX(Settings!$G$2:$G$4,MATCH(H386,Settings!$F$2:$F$4,0)),""))</f>
        <v/>
      </c>
      <c r="J386" s="40"/>
      <c r="K386" s="50"/>
      <c r="L386" s="17"/>
      <c r="M386" s="40"/>
      <c r="N386" s="40"/>
      <c r="O386" s="45" t="str">
        <f aca="false">IF(N386="","",WORKDAY(N386,Settings!$S$4))</f>
        <v/>
      </c>
      <c r="P386" s="17"/>
      <c r="Q386" s="44" t="str">
        <f aca="true">IF(C386="","",IF(P386="Backed out",IF(S386="Paid","Refunded – closed",IF(R386="","Refund – log reason first","Refund in progress")),IF(K386="","Awaiting payment",IF(N386="",IF(M386="","Schedule free video","Free video in production"),IF(P386="Approved","Active",IF(TODAY()&gt;O386,"Active – plan went ahead","Decision pending – "&amp;NETWORKDAYS(TODAY(),O386)&amp;" working day(s) left"))))))</f>
        <v/>
      </c>
      <c r="R386" s="17"/>
      <c r="S386" s="17"/>
      <c r="T386" s="50"/>
      <c r="U386" s="40"/>
      <c r="V386" s="40"/>
      <c r="W386" s="45" t="str">
        <f aca="false">IF(V386="","",EDATE(V386,Settings!$S$6))</f>
        <v/>
      </c>
      <c r="X386" s="17"/>
      <c r="Y386" s="17"/>
      <c r="Z386" s="17"/>
    </row>
    <row r="387" customFormat="false" ht="15" hidden="false" customHeight="false" outlineLevel="0" collapsed="false">
      <c r="A387" s="17"/>
      <c r="B387" s="17"/>
      <c r="C387" s="17"/>
      <c r="D387" s="17"/>
      <c r="E387" s="42"/>
      <c r="F387" s="17"/>
      <c r="G387" s="17"/>
      <c r="H387" s="17"/>
      <c r="I387" s="49" t="str">
        <f aca="false">IF(H387="","",IFERROR(INDEX(Settings!$G$2:$G$4,MATCH(H387,Settings!$F$2:$F$4,0)),""))</f>
        <v/>
      </c>
      <c r="J387" s="40"/>
      <c r="K387" s="50"/>
      <c r="L387" s="17"/>
      <c r="M387" s="40"/>
      <c r="N387" s="40"/>
      <c r="O387" s="45" t="str">
        <f aca="false">IF(N387="","",WORKDAY(N387,Settings!$S$4))</f>
        <v/>
      </c>
      <c r="P387" s="17"/>
      <c r="Q387" s="44" t="str">
        <f aca="true">IF(C387="","",IF(P387="Backed out",IF(S387="Paid","Refunded – closed",IF(R387="","Refund – log reason first","Refund in progress")),IF(K387="","Awaiting payment",IF(N387="",IF(M387="","Schedule free video","Free video in production"),IF(P387="Approved","Active",IF(TODAY()&gt;O387,"Active – plan went ahead","Decision pending – "&amp;NETWORKDAYS(TODAY(),O387)&amp;" working day(s) left"))))))</f>
        <v/>
      </c>
      <c r="R387" s="17"/>
      <c r="S387" s="17"/>
      <c r="T387" s="50"/>
      <c r="U387" s="40"/>
      <c r="V387" s="40"/>
      <c r="W387" s="45" t="str">
        <f aca="false">IF(V387="","",EDATE(V387,Settings!$S$6))</f>
        <v/>
      </c>
      <c r="X387" s="17"/>
      <c r="Y387" s="17"/>
      <c r="Z387" s="17"/>
    </row>
    <row r="388" customFormat="false" ht="15" hidden="false" customHeight="false" outlineLevel="0" collapsed="false">
      <c r="A388" s="17"/>
      <c r="B388" s="17"/>
      <c r="C388" s="17"/>
      <c r="D388" s="17"/>
      <c r="E388" s="42"/>
      <c r="F388" s="17"/>
      <c r="G388" s="17"/>
      <c r="H388" s="17"/>
      <c r="I388" s="49" t="str">
        <f aca="false">IF(H388="","",IFERROR(INDEX(Settings!$G$2:$G$4,MATCH(H388,Settings!$F$2:$F$4,0)),""))</f>
        <v/>
      </c>
      <c r="J388" s="40"/>
      <c r="K388" s="50"/>
      <c r="L388" s="17"/>
      <c r="M388" s="40"/>
      <c r="N388" s="40"/>
      <c r="O388" s="45" t="str">
        <f aca="false">IF(N388="","",WORKDAY(N388,Settings!$S$4))</f>
        <v/>
      </c>
      <c r="P388" s="17"/>
      <c r="Q388" s="44" t="str">
        <f aca="true">IF(C388="","",IF(P388="Backed out",IF(S388="Paid","Refunded – closed",IF(R388="","Refund – log reason first","Refund in progress")),IF(K388="","Awaiting payment",IF(N388="",IF(M388="","Schedule free video","Free video in production"),IF(P388="Approved","Active",IF(TODAY()&gt;O388,"Active – plan went ahead","Decision pending – "&amp;NETWORKDAYS(TODAY(),O388)&amp;" working day(s) left"))))))</f>
        <v/>
      </c>
      <c r="R388" s="17"/>
      <c r="S388" s="17"/>
      <c r="T388" s="50"/>
      <c r="U388" s="40"/>
      <c r="V388" s="40"/>
      <c r="W388" s="45" t="str">
        <f aca="false">IF(V388="","",EDATE(V388,Settings!$S$6))</f>
        <v/>
      </c>
      <c r="X388" s="17"/>
      <c r="Y388" s="17"/>
      <c r="Z388" s="17"/>
    </row>
    <row r="389" customFormat="false" ht="15" hidden="false" customHeight="false" outlineLevel="0" collapsed="false">
      <c r="A389" s="17"/>
      <c r="B389" s="17"/>
      <c r="C389" s="17"/>
      <c r="D389" s="17"/>
      <c r="E389" s="42"/>
      <c r="F389" s="17"/>
      <c r="G389" s="17"/>
      <c r="H389" s="17"/>
      <c r="I389" s="49" t="str">
        <f aca="false">IF(H389="","",IFERROR(INDEX(Settings!$G$2:$G$4,MATCH(H389,Settings!$F$2:$F$4,0)),""))</f>
        <v/>
      </c>
      <c r="J389" s="40"/>
      <c r="K389" s="50"/>
      <c r="L389" s="17"/>
      <c r="M389" s="40"/>
      <c r="N389" s="40"/>
      <c r="O389" s="45" t="str">
        <f aca="false">IF(N389="","",WORKDAY(N389,Settings!$S$4))</f>
        <v/>
      </c>
      <c r="P389" s="17"/>
      <c r="Q389" s="44" t="str">
        <f aca="true">IF(C389="","",IF(P389="Backed out",IF(S389="Paid","Refunded – closed",IF(R389="","Refund – log reason first","Refund in progress")),IF(K389="","Awaiting payment",IF(N389="",IF(M389="","Schedule free video","Free video in production"),IF(P389="Approved","Active",IF(TODAY()&gt;O389,"Active – plan went ahead","Decision pending – "&amp;NETWORKDAYS(TODAY(),O389)&amp;" working day(s) left"))))))</f>
        <v/>
      </c>
      <c r="R389" s="17"/>
      <c r="S389" s="17"/>
      <c r="T389" s="50"/>
      <c r="U389" s="40"/>
      <c r="V389" s="40"/>
      <c r="W389" s="45" t="str">
        <f aca="false">IF(V389="","",EDATE(V389,Settings!$S$6))</f>
        <v/>
      </c>
      <c r="X389" s="17"/>
      <c r="Y389" s="17"/>
      <c r="Z389" s="17"/>
    </row>
    <row r="390" customFormat="false" ht="15" hidden="false" customHeight="false" outlineLevel="0" collapsed="false">
      <c r="A390" s="17"/>
      <c r="B390" s="17"/>
      <c r="C390" s="17"/>
      <c r="D390" s="17"/>
      <c r="E390" s="42"/>
      <c r="F390" s="17"/>
      <c r="G390" s="17"/>
      <c r="H390" s="17"/>
      <c r="I390" s="49" t="str">
        <f aca="false">IF(H390="","",IFERROR(INDEX(Settings!$G$2:$G$4,MATCH(H390,Settings!$F$2:$F$4,0)),""))</f>
        <v/>
      </c>
      <c r="J390" s="40"/>
      <c r="K390" s="50"/>
      <c r="L390" s="17"/>
      <c r="M390" s="40"/>
      <c r="N390" s="40"/>
      <c r="O390" s="45" t="str">
        <f aca="false">IF(N390="","",WORKDAY(N390,Settings!$S$4))</f>
        <v/>
      </c>
      <c r="P390" s="17"/>
      <c r="Q390" s="44" t="str">
        <f aca="true">IF(C390="","",IF(P390="Backed out",IF(S390="Paid","Refunded – closed",IF(R390="","Refund – log reason first","Refund in progress")),IF(K390="","Awaiting payment",IF(N390="",IF(M390="","Schedule free video","Free video in production"),IF(P390="Approved","Active",IF(TODAY()&gt;O390,"Active – plan went ahead","Decision pending – "&amp;NETWORKDAYS(TODAY(),O390)&amp;" working day(s) left"))))))</f>
        <v/>
      </c>
      <c r="R390" s="17"/>
      <c r="S390" s="17"/>
      <c r="T390" s="50"/>
      <c r="U390" s="40"/>
      <c r="V390" s="40"/>
      <c r="W390" s="45" t="str">
        <f aca="false">IF(V390="","",EDATE(V390,Settings!$S$6))</f>
        <v/>
      </c>
      <c r="X390" s="17"/>
      <c r="Y390" s="17"/>
      <c r="Z390" s="17"/>
    </row>
    <row r="391" customFormat="false" ht="15" hidden="false" customHeight="false" outlineLevel="0" collapsed="false">
      <c r="A391" s="17"/>
      <c r="B391" s="17"/>
      <c r="C391" s="17"/>
      <c r="D391" s="17"/>
      <c r="E391" s="42"/>
      <c r="F391" s="17"/>
      <c r="G391" s="17"/>
      <c r="H391" s="17"/>
      <c r="I391" s="49" t="str">
        <f aca="false">IF(H391="","",IFERROR(INDEX(Settings!$G$2:$G$4,MATCH(H391,Settings!$F$2:$F$4,0)),""))</f>
        <v/>
      </c>
      <c r="J391" s="40"/>
      <c r="K391" s="50"/>
      <c r="L391" s="17"/>
      <c r="M391" s="40"/>
      <c r="N391" s="40"/>
      <c r="O391" s="45" t="str">
        <f aca="false">IF(N391="","",WORKDAY(N391,Settings!$S$4))</f>
        <v/>
      </c>
      <c r="P391" s="17"/>
      <c r="Q391" s="44" t="str">
        <f aca="true">IF(C391="","",IF(P391="Backed out",IF(S391="Paid","Refunded – closed",IF(R391="","Refund – log reason first","Refund in progress")),IF(K391="","Awaiting payment",IF(N391="",IF(M391="","Schedule free video","Free video in production"),IF(P391="Approved","Active",IF(TODAY()&gt;O391,"Active – plan went ahead","Decision pending – "&amp;NETWORKDAYS(TODAY(),O391)&amp;" working day(s) left"))))))</f>
        <v/>
      </c>
      <c r="R391" s="17"/>
      <c r="S391" s="17"/>
      <c r="T391" s="50"/>
      <c r="U391" s="40"/>
      <c r="V391" s="40"/>
      <c r="W391" s="45" t="str">
        <f aca="false">IF(V391="","",EDATE(V391,Settings!$S$6))</f>
        <v/>
      </c>
      <c r="X391" s="17"/>
      <c r="Y391" s="17"/>
      <c r="Z391" s="17"/>
    </row>
    <row r="392" customFormat="false" ht="15" hidden="false" customHeight="false" outlineLevel="0" collapsed="false">
      <c r="A392" s="17"/>
      <c r="B392" s="17"/>
      <c r="C392" s="17"/>
      <c r="D392" s="17"/>
      <c r="E392" s="42"/>
      <c r="F392" s="17"/>
      <c r="G392" s="17"/>
      <c r="H392" s="17"/>
      <c r="I392" s="49" t="str">
        <f aca="false">IF(H392="","",IFERROR(INDEX(Settings!$G$2:$G$4,MATCH(H392,Settings!$F$2:$F$4,0)),""))</f>
        <v/>
      </c>
      <c r="J392" s="40"/>
      <c r="K392" s="50"/>
      <c r="L392" s="17"/>
      <c r="M392" s="40"/>
      <c r="N392" s="40"/>
      <c r="O392" s="45" t="str">
        <f aca="false">IF(N392="","",WORKDAY(N392,Settings!$S$4))</f>
        <v/>
      </c>
      <c r="P392" s="17"/>
      <c r="Q392" s="44" t="str">
        <f aca="true">IF(C392="","",IF(P392="Backed out",IF(S392="Paid","Refunded – closed",IF(R392="","Refund – log reason first","Refund in progress")),IF(K392="","Awaiting payment",IF(N392="",IF(M392="","Schedule free video","Free video in production"),IF(P392="Approved","Active",IF(TODAY()&gt;O392,"Active – plan went ahead","Decision pending – "&amp;NETWORKDAYS(TODAY(),O392)&amp;" working day(s) left"))))))</f>
        <v/>
      </c>
      <c r="R392" s="17"/>
      <c r="S392" s="17"/>
      <c r="T392" s="50"/>
      <c r="U392" s="40"/>
      <c r="V392" s="40"/>
      <c r="W392" s="45" t="str">
        <f aca="false">IF(V392="","",EDATE(V392,Settings!$S$6))</f>
        <v/>
      </c>
      <c r="X392" s="17"/>
      <c r="Y392" s="17"/>
      <c r="Z392" s="17"/>
    </row>
    <row r="393" customFormat="false" ht="15" hidden="false" customHeight="false" outlineLevel="0" collapsed="false">
      <c r="A393" s="17"/>
      <c r="B393" s="17"/>
      <c r="C393" s="17"/>
      <c r="D393" s="17"/>
      <c r="E393" s="42"/>
      <c r="F393" s="17"/>
      <c r="G393" s="17"/>
      <c r="H393" s="17"/>
      <c r="I393" s="49" t="str">
        <f aca="false">IF(H393="","",IFERROR(INDEX(Settings!$G$2:$G$4,MATCH(H393,Settings!$F$2:$F$4,0)),""))</f>
        <v/>
      </c>
      <c r="J393" s="40"/>
      <c r="K393" s="50"/>
      <c r="L393" s="17"/>
      <c r="M393" s="40"/>
      <c r="N393" s="40"/>
      <c r="O393" s="45" t="str">
        <f aca="false">IF(N393="","",WORKDAY(N393,Settings!$S$4))</f>
        <v/>
      </c>
      <c r="P393" s="17"/>
      <c r="Q393" s="44" t="str">
        <f aca="true">IF(C393="","",IF(P393="Backed out",IF(S393="Paid","Refunded – closed",IF(R393="","Refund – log reason first","Refund in progress")),IF(K393="","Awaiting payment",IF(N393="",IF(M393="","Schedule free video","Free video in production"),IF(P393="Approved","Active",IF(TODAY()&gt;O393,"Active – plan went ahead","Decision pending – "&amp;NETWORKDAYS(TODAY(),O393)&amp;" working day(s) left"))))))</f>
        <v/>
      </c>
      <c r="R393" s="17"/>
      <c r="S393" s="17"/>
      <c r="T393" s="50"/>
      <c r="U393" s="40"/>
      <c r="V393" s="40"/>
      <c r="W393" s="45" t="str">
        <f aca="false">IF(V393="","",EDATE(V393,Settings!$S$6))</f>
        <v/>
      </c>
      <c r="X393" s="17"/>
      <c r="Y393" s="17"/>
      <c r="Z393" s="17"/>
    </row>
    <row r="394" customFormat="false" ht="15" hidden="false" customHeight="false" outlineLevel="0" collapsed="false">
      <c r="A394" s="17"/>
      <c r="B394" s="17"/>
      <c r="C394" s="17"/>
      <c r="D394" s="17"/>
      <c r="E394" s="42"/>
      <c r="F394" s="17"/>
      <c r="G394" s="17"/>
      <c r="H394" s="17"/>
      <c r="I394" s="49" t="str">
        <f aca="false">IF(H394="","",IFERROR(INDEX(Settings!$G$2:$G$4,MATCH(H394,Settings!$F$2:$F$4,0)),""))</f>
        <v/>
      </c>
      <c r="J394" s="40"/>
      <c r="K394" s="50"/>
      <c r="L394" s="17"/>
      <c r="M394" s="40"/>
      <c r="N394" s="40"/>
      <c r="O394" s="45" t="str">
        <f aca="false">IF(N394="","",WORKDAY(N394,Settings!$S$4))</f>
        <v/>
      </c>
      <c r="P394" s="17"/>
      <c r="Q394" s="44" t="str">
        <f aca="true">IF(C394="","",IF(P394="Backed out",IF(S394="Paid","Refunded – closed",IF(R394="","Refund – log reason first","Refund in progress")),IF(K394="","Awaiting payment",IF(N394="",IF(M394="","Schedule free video","Free video in production"),IF(P394="Approved","Active",IF(TODAY()&gt;O394,"Active – plan went ahead","Decision pending – "&amp;NETWORKDAYS(TODAY(),O394)&amp;" working day(s) left"))))))</f>
        <v/>
      </c>
      <c r="R394" s="17"/>
      <c r="S394" s="17"/>
      <c r="T394" s="50"/>
      <c r="U394" s="40"/>
      <c r="V394" s="40"/>
      <c r="W394" s="45" t="str">
        <f aca="false">IF(V394="","",EDATE(V394,Settings!$S$6))</f>
        <v/>
      </c>
      <c r="X394" s="17"/>
      <c r="Y394" s="17"/>
      <c r="Z394" s="17"/>
    </row>
    <row r="395" customFormat="false" ht="15" hidden="false" customHeight="false" outlineLevel="0" collapsed="false">
      <c r="A395" s="17"/>
      <c r="B395" s="17"/>
      <c r="C395" s="17"/>
      <c r="D395" s="17"/>
      <c r="E395" s="42"/>
      <c r="F395" s="17"/>
      <c r="G395" s="17"/>
      <c r="H395" s="17"/>
      <c r="I395" s="49" t="str">
        <f aca="false">IF(H395="","",IFERROR(INDEX(Settings!$G$2:$G$4,MATCH(H395,Settings!$F$2:$F$4,0)),""))</f>
        <v/>
      </c>
      <c r="J395" s="40"/>
      <c r="K395" s="50"/>
      <c r="L395" s="17"/>
      <c r="M395" s="40"/>
      <c r="N395" s="40"/>
      <c r="O395" s="45" t="str">
        <f aca="false">IF(N395="","",WORKDAY(N395,Settings!$S$4))</f>
        <v/>
      </c>
      <c r="P395" s="17"/>
      <c r="Q395" s="44" t="str">
        <f aca="true">IF(C395="","",IF(P395="Backed out",IF(S395="Paid","Refunded – closed",IF(R395="","Refund – log reason first","Refund in progress")),IF(K395="","Awaiting payment",IF(N395="",IF(M395="","Schedule free video","Free video in production"),IF(P395="Approved","Active",IF(TODAY()&gt;O395,"Active – plan went ahead","Decision pending – "&amp;NETWORKDAYS(TODAY(),O395)&amp;" working day(s) left"))))))</f>
        <v/>
      </c>
      <c r="R395" s="17"/>
      <c r="S395" s="17"/>
      <c r="T395" s="50"/>
      <c r="U395" s="40"/>
      <c r="V395" s="40"/>
      <c r="W395" s="45" t="str">
        <f aca="false">IF(V395="","",EDATE(V395,Settings!$S$6))</f>
        <v/>
      </c>
      <c r="X395" s="17"/>
      <c r="Y395" s="17"/>
      <c r="Z395" s="17"/>
    </row>
    <row r="396" customFormat="false" ht="15" hidden="false" customHeight="false" outlineLevel="0" collapsed="false">
      <c r="A396" s="17"/>
      <c r="B396" s="17"/>
      <c r="C396" s="17"/>
      <c r="D396" s="17"/>
      <c r="E396" s="42"/>
      <c r="F396" s="17"/>
      <c r="G396" s="17"/>
      <c r="H396" s="17"/>
      <c r="I396" s="49" t="str">
        <f aca="false">IF(H396="","",IFERROR(INDEX(Settings!$G$2:$G$4,MATCH(H396,Settings!$F$2:$F$4,0)),""))</f>
        <v/>
      </c>
      <c r="J396" s="40"/>
      <c r="K396" s="50"/>
      <c r="L396" s="17"/>
      <c r="M396" s="40"/>
      <c r="N396" s="40"/>
      <c r="O396" s="45" t="str">
        <f aca="false">IF(N396="","",WORKDAY(N396,Settings!$S$4))</f>
        <v/>
      </c>
      <c r="P396" s="17"/>
      <c r="Q396" s="44" t="str">
        <f aca="true">IF(C396="","",IF(P396="Backed out",IF(S396="Paid","Refunded – closed",IF(R396="","Refund – log reason first","Refund in progress")),IF(K396="","Awaiting payment",IF(N396="",IF(M396="","Schedule free video","Free video in production"),IF(P396="Approved","Active",IF(TODAY()&gt;O396,"Active – plan went ahead","Decision pending – "&amp;NETWORKDAYS(TODAY(),O396)&amp;" working day(s) left"))))))</f>
        <v/>
      </c>
      <c r="R396" s="17"/>
      <c r="S396" s="17"/>
      <c r="T396" s="50"/>
      <c r="U396" s="40"/>
      <c r="V396" s="40"/>
      <c r="W396" s="45" t="str">
        <f aca="false">IF(V396="","",EDATE(V396,Settings!$S$6))</f>
        <v/>
      </c>
      <c r="X396" s="17"/>
      <c r="Y396" s="17"/>
      <c r="Z396" s="17"/>
    </row>
    <row r="397" customFormat="false" ht="15" hidden="false" customHeight="false" outlineLevel="0" collapsed="false">
      <c r="A397" s="17"/>
      <c r="B397" s="17"/>
      <c r="C397" s="17"/>
      <c r="D397" s="17"/>
      <c r="E397" s="42"/>
      <c r="F397" s="17"/>
      <c r="G397" s="17"/>
      <c r="H397" s="17"/>
      <c r="I397" s="49" t="str">
        <f aca="false">IF(H397="","",IFERROR(INDEX(Settings!$G$2:$G$4,MATCH(H397,Settings!$F$2:$F$4,0)),""))</f>
        <v/>
      </c>
      <c r="J397" s="40"/>
      <c r="K397" s="50"/>
      <c r="L397" s="17"/>
      <c r="M397" s="40"/>
      <c r="N397" s="40"/>
      <c r="O397" s="45" t="str">
        <f aca="false">IF(N397="","",WORKDAY(N397,Settings!$S$4))</f>
        <v/>
      </c>
      <c r="P397" s="17"/>
      <c r="Q397" s="44" t="str">
        <f aca="true">IF(C397="","",IF(P397="Backed out",IF(S397="Paid","Refunded – closed",IF(R397="","Refund – log reason first","Refund in progress")),IF(K397="","Awaiting payment",IF(N397="",IF(M397="","Schedule free video","Free video in production"),IF(P397="Approved","Active",IF(TODAY()&gt;O397,"Active – plan went ahead","Decision pending – "&amp;NETWORKDAYS(TODAY(),O397)&amp;" working day(s) left"))))))</f>
        <v/>
      </c>
      <c r="R397" s="17"/>
      <c r="S397" s="17"/>
      <c r="T397" s="50"/>
      <c r="U397" s="40"/>
      <c r="V397" s="40"/>
      <c r="W397" s="45" t="str">
        <f aca="false">IF(V397="","",EDATE(V397,Settings!$S$6))</f>
        <v/>
      </c>
      <c r="X397" s="17"/>
      <c r="Y397" s="17"/>
      <c r="Z397" s="17"/>
    </row>
    <row r="398" customFormat="false" ht="15" hidden="false" customHeight="false" outlineLevel="0" collapsed="false">
      <c r="A398" s="17"/>
      <c r="B398" s="17"/>
      <c r="C398" s="17"/>
      <c r="D398" s="17"/>
      <c r="E398" s="42"/>
      <c r="F398" s="17"/>
      <c r="G398" s="17"/>
      <c r="H398" s="17"/>
      <c r="I398" s="49" t="str">
        <f aca="false">IF(H398="","",IFERROR(INDEX(Settings!$G$2:$G$4,MATCH(H398,Settings!$F$2:$F$4,0)),""))</f>
        <v/>
      </c>
      <c r="J398" s="40"/>
      <c r="K398" s="50"/>
      <c r="L398" s="17"/>
      <c r="M398" s="40"/>
      <c r="N398" s="40"/>
      <c r="O398" s="45" t="str">
        <f aca="false">IF(N398="","",WORKDAY(N398,Settings!$S$4))</f>
        <v/>
      </c>
      <c r="P398" s="17"/>
      <c r="Q398" s="44" t="str">
        <f aca="true">IF(C398="","",IF(P398="Backed out",IF(S398="Paid","Refunded – closed",IF(R398="","Refund – log reason first","Refund in progress")),IF(K398="","Awaiting payment",IF(N398="",IF(M398="","Schedule free video","Free video in production"),IF(P398="Approved","Active",IF(TODAY()&gt;O398,"Active – plan went ahead","Decision pending – "&amp;NETWORKDAYS(TODAY(),O398)&amp;" working day(s) left"))))))</f>
        <v/>
      </c>
      <c r="R398" s="17"/>
      <c r="S398" s="17"/>
      <c r="T398" s="50"/>
      <c r="U398" s="40"/>
      <c r="V398" s="40"/>
      <c r="W398" s="45" t="str">
        <f aca="false">IF(V398="","",EDATE(V398,Settings!$S$6))</f>
        <v/>
      </c>
      <c r="X398" s="17"/>
      <c r="Y398" s="17"/>
      <c r="Z398" s="17"/>
    </row>
    <row r="399" customFormat="false" ht="15" hidden="false" customHeight="false" outlineLevel="0" collapsed="false">
      <c r="A399" s="17"/>
      <c r="B399" s="17"/>
      <c r="C399" s="17"/>
      <c r="D399" s="17"/>
      <c r="E399" s="42"/>
      <c r="F399" s="17"/>
      <c r="G399" s="17"/>
      <c r="H399" s="17"/>
      <c r="I399" s="49" t="str">
        <f aca="false">IF(H399="","",IFERROR(INDEX(Settings!$G$2:$G$4,MATCH(H399,Settings!$F$2:$F$4,0)),""))</f>
        <v/>
      </c>
      <c r="J399" s="40"/>
      <c r="K399" s="50"/>
      <c r="L399" s="17"/>
      <c r="M399" s="40"/>
      <c r="N399" s="40"/>
      <c r="O399" s="45" t="str">
        <f aca="false">IF(N399="","",WORKDAY(N399,Settings!$S$4))</f>
        <v/>
      </c>
      <c r="P399" s="17"/>
      <c r="Q399" s="44" t="str">
        <f aca="true">IF(C399="","",IF(P399="Backed out",IF(S399="Paid","Refunded – closed",IF(R399="","Refund – log reason first","Refund in progress")),IF(K399="","Awaiting payment",IF(N399="",IF(M399="","Schedule free video","Free video in production"),IF(P399="Approved","Active",IF(TODAY()&gt;O399,"Active – plan went ahead","Decision pending – "&amp;NETWORKDAYS(TODAY(),O399)&amp;" working day(s) left"))))))</f>
        <v/>
      </c>
      <c r="R399" s="17"/>
      <c r="S399" s="17"/>
      <c r="T399" s="50"/>
      <c r="U399" s="40"/>
      <c r="V399" s="40"/>
      <c r="W399" s="45" t="str">
        <f aca="false">IF(V399="","",EDATE(V399,Settings!$S$6))</f>
        <v/>
      </c>
      <c r="X399" s="17"/>
      <c r="Y399" s="17"/>
      <c r="Z399" s="17"/>
    </row>
    <row r="400" customFormat="false" ht="15" hidden="false" customHeight="false" outlineLevel="0" collapsed="false">
      <c r="A400" s="17"/>
      <c r="B400" s="17"/>
      <c r="C400" s="17"/>
      <c r="D400" s="17"/>
      <c r="E400" s="42"/>
      <c r="F400" s="17"/>
      <c r="G400" s="17"/>
      <c r="H400" s="17"/>
      <c r="I400" s="49" t="str">
        <f aca="false">IF(H400="","",IFERROR(INDEX(Settings!$G$2:$G$4,MATCH(H400,Settings!$F$2:$F$4,0)),""))</f>
        <v/>
      </c>
      <c r="J400" s="40"/>
      <c r="K400" s="50"/>
      <c r="L400" s="17"/>
      <c r="M400" s="40"/>
      <c r="N400" s="40"/>
      <c r="O400" s="45" t="str">
        <f aca="false">IF(N400="","",WORKDAY(N400,Settings!$S$4))</f>
        <v/>
      </c>
      <c r="P400" s="17"/>
      <c r="Q400" s="44" t="str">
        <f aca="true">IF(C400="","",IF(P400="Backed out",IF(S400="Paid","Refunded – closed",IF(R400="","Refund – log reason first","Refund in progress")),IF(K400="","Awaiting payment",IF(N400="",IF(M400="","Schedule free video","Free video in production"),IF(P400="Approved","Active",IF(TODAY()&gt;O400,"Active – plan went ahead","Decision pending – "&amp;NETWORKDAYS(TODAY(),O400)&amp;" working day(s) left"))))))</f>
        <v/>
      </c>
      <c r="R400" s="17"/>
      <c r="S400" s="17"/>
      <c r="T400" s="50"/>
      <c r="U400" s="40"/>
      <c r="V400" s="40"/>
      <c r="W400" s="45" t="str">
        <f aca="false">IF(V400="","",EDATE(V400,Settings!$S$6))</f>
        <v/>
      </c>
      <c r="X400" s="17"/>
      <c r="Y400" s="17"/>
      <c r="Z400" s="17"/>
    </row>
    <row r="401" customFormat="false" ht="15" hidden="false" customHeight="false" outlineLevel="0" collapsed="false">
      <c r="A401" s="17"/>
      <c r="B401" s="17"/>
      <c r="C401" s="17"/>
      <c r="D401" s="17"/>
      <c r="E401" s="42"/>
      <c r="F401" s="17"/>
      <c r="G401" s="17"/>
      <c r="H401" s="17"/>
      <c r="I401" s="49" t="str">
        <f aca="false">IF(H401="","",IFERROR(INDEX(Settings!$G$2:$G$4,MATCH(H401,Settings!$F$2:$F$4,0)),""))</f>
        <v/>
      </c>
      <c r="J401" s="40"/>
      <c r="K401" s="50"/>
      <c r="L401" s="17"/>
      <c r="M401" s="40"/>
      <c r="N401" s="40"/>
      <c r="O401" s="45" t="str">
        <f aca="false">IF(N401="","",WORKDAY(N401,Settings!$S$4))</f>
        <v/>
      </c>
      <c r="P401" s="17"/>
      <c r="Q401" s="44" t="str">
        <f aca="true">IF(C401="","",IF(P401="Backed out",IF(S401="Paid","Refunded – closed",IF(R401="","Refund – log reason first","Refund in progress")),IF(K401="","Awaiting payment",IF(N401="",IF(M401="","Schedule free video","Free video in production"),IF(P401="Approved","Active",IF(TODAY()&gt;O401,"Active – plan went ahead","Decision pending – "&amp;NETWORKDAYS(TODAY(),O401)&amp;" working day(s) left"))))))</f>
        <v/>
      </c>
      <c r="R401" s="17"/>
      <c r="S401" s="17"/>
      <c r="T401" s="50"/>
      <c r="U401" s="40"/>
      <c r="V401" s="40"/>
      <c r="W401" s="45" t="str">
        <f aca="false">IF(V401="","",EDATE(V401,Settings!$S$6))</f>
        <v/>
      </c>
      <c r="X401" s="17"/>
      <c r="Y401" s="17"/>
      <c r="Z401" s="17"/>
    </row>
    <row r="402" customFormat="false" ht="15" hidden="false" customHeight="false" outlineLevel="0" collapsed="false">
      <c r="A402" s="17"/>
      <c r="B402" s="17"/>
      <c r="C402" s="17"/>
      <c r="D402" s="17"/>
      <c r="E402" s="42"/>
      <c r="F402" s="17"/>
      <c r="G402" s="17"/>
      <c r="H402" s="17"/>
      <c r="I402" s="49" t="str">
        <f aca="false">IF(H402="","",IFERROR(INDEX(Settings!$G$2:$G$4,MATCH(H402,Settings!$F$2:$F$4,0)),""))</f>
        <v/>
      </c>
      <c r="J402" s="40"/>
      <c r="K402" s="50"/>
      <c r="L402" s="17"/>
      <c r="M402" s="40"/>
      <c r="N402" s="40"/>
      <c r="O402" s="45" t="str">
        <f aca="false">IF(N402="","",WORKDAY(N402,Settings!$S$4))</f>
        <v/>
      </c>
      <c r="P402" s="17"/>
      <c r="Q402" s="44" t="str">
        <f aca="true">IF(C402="","",IF(P402="Backed out",IF(S402="Paid","Refunded – closed",IF(R402="","Refund – log reason first","Refund in progress")),IF(K402="","Awaiting payment",IF(N402="",IF(M402="","Schedule free video","Free video in production"),IF(P402="Approved","Active",IF(TODAY()&gt;O402,"Active – plan went ahead","Decision pending – "&amp;NETWORKDAYS(TODAY(),O402)&amp;" working day(s) left"))))))</f>
        <v/>
      </c>
      <c r="R402" s="17"/>
      <c r="S402" s="17"/>
      <c r="T402" s="50"/>
      <c r="U402" s="40"/>
      <c r="V402" s="40"/>
      <c r="W402" s="45" t="str">
        <f aca="false">IF(V402="","",EDATE(V402,Settings!$S$6))</f>
        <v/>
      </c>
      <c r="X402" s="17"/>
      <c r="Y402" s="17"/>
      <c r="Z402" s="17"/>
    </row>
    <row r="403" customFormat="false" ht="15" hidden="false" customHeight="false" outlineLevel="0" collapsed="false">
      <c r="A403" s="17"/>
      <c r="B403" s="17"/>
      <c r="C403" s="17"/>
      <c r="D403" s="17"/>
      <c r="E403" s="42"/>
      <c r="F403" s="17"/>
      <c r="G403" s="17"/>
      <c r="H403" s="17"/>
      <c r="I403" s="49" t="str">
        <f aca="false">IF(H403="","",IFERROR(INDEX(Settings!$G$2:$G$4,MATCH(H403,Settings!$F$2:$F$4,0)),""))</f>
        <v/>
      </c>
      <c r="J403" s="40"/>
      <c r="K403" s="50"/>
      <c r="L403" s="17"/>
      <c r="M403" s="40"/>
      <c r="N403" s="40"/>
      <c r="O403" s="45" t="str">
        <f aca="false">IF(N403="","",WORKDAY(N403,Settings!$S$4))</f>
        <v/>
      </c>
      <c r="P403" s="17"/>
      <c r="Q403" s="44" t="str">
        <f aca="true">IF(C403="","",IF(P403="Backed out",IF(S403="Paid","Refunded – closed",IF(R403="","Refund – log reason first","Refund in progress")),IF(K403="","Awaiting payment",IF(N403="",IF(M403="","Schedule free video","Free video in production"),IF(P403="Approved","Active",IF(TODAY()&gt;O403,"Active – plan went ahead","Decision pending – "&amp;NETWORKDAYS(TODAY(),O403)&amp;" working day(s) left"))))))</f>
        <v/>
      </c>
      <c r="R403" s="17"/>
      <c r="S403" s="17"/>
      <c r="T403" s="50"/>
      <c r="U403" s="40"/>
      <c r="V403" s="40"/>
      <c r="W403" s="45" t="str">
        <f aca="false">IF(V403="","",EDATE(V403,Settings!$S$6))</f>
        <v/>
      </c>
      <c r="X403" s="17"/>
      <c r="Y403" s="17"/>
      <c r="Z403" s="17"/>
    </row>
    <row r="404" customFormat="false" ht="15" hidden="false" customHeight="false" outlineLevel="0" collapsed="false">
      <c r="A404" s="17"/>
      <c r="B404" s="17"/>
      <c r="C404" s="17"/>
      <c r="D404" s="17"/>
      <c r="E404" s="42"/>
      <c r="F404" s="17"/>
      <c r="G404" s="17"/>
      <c r="H404" s="17"/>
      <c r="I404" s="49" t="str">
        <f aca="false">IF(H404="","",IFERROR(INDEX(Settings!$G$2:$G$4,MATCH(H404,Settings!$F$2:$F$4,0)),""))</f>
        <v/>
      </c>
      <c r="J404" s="40"/>
      <c r="K404" s="50"/>
      <c r="L404" s="17"/>
      <c r="M404" s="40"/>
      <c r="N404" s="40"/>
      <c r="O404" s="45" t="str">
        <f aca="false">IF(N404="","",WORKDAY(N404,Settings!$S$4))</f>
        <v/>
      </c>
      <c r="P404" s="17"/>
      <c r="Q404" s="44" t="str">
        <f aca="true">IF(C404="","",IF(P404="Backed out",IF(S404="Paid","Refunded – closed",IF(R404="","Refund – log reason first","Refund in progress")),IF(K404="","Awaiting payment",IF(N404="",IF(M404="","Schedule free video","Free video in production"),IF(P404="Approved","Active",IF(TODAY()&gt;O404,"Active – plan went ahead","Decision pending – "&amp;NETWORKDAYS(TODAY(),O404)&amp;" working day(s) left"))))))</f>
        <v/>
      </c>
      <c r="R404" s="17"/>
      <c r="S404" s="17"/>
      <c r="T404" s="50"/>
      <c r="U404" s="40"/>
      <c r="V404" s="40"/>
      <c r="W404" s="45" t="str">
        <f aca="false">IF(V404="","",EDATE(V404,Settings!$S$6))</f>
        <v/>
      </c>
      <c r="X404" s="17"/>
      <c r="Y404" s="17"/>
      <c r="Z404" s="17"/>
    </row>
    <row r="405" customFormat="false" ht="15" hidden="false" customHeight="false" outlineLevel="0" collapsed="false">
      <c r="A405" s="17"/>
      <c r="B405" s="17"/>
      <c r="C405" s="17"/>
      <c r="D405" s="17"/>
      <c r="E405" s="42"/>
      <c r="F405" s="17"/>
      <c r="G405" s="17"/>
      <c r="H405" s="17"/>
      <c r="I405" s="49" t="str">
        <f aca="false">IF(H405="","",IFERROR(INDEX(Settings!$G$2:$G$4,MATCH(H405,Settings!$F$2:$F$4,0)),""))</f>
        <v/>
      </c>
      <c r="J405" s="40"/>
      <c r="K405" s="50"/>
      <c r="L405" s="17"/>
      <c r="M405" s="40"/>
      <c r="N405" s="40"/>
      <c r="O405" s="45" t="str">
        <f aca="false">IF(N405="","",WORKDAY(N405,Settings!$S$4))</f>
        <v/>
      </c>
      <c r="P405" s="17"/>
      <c r="Q405" s="44" t="str">
        <f aca="true">IF(C405="","",IF(P405="Backed out",IF(S405="Paid","Refunded – closed",IF(R405="","Refund – log reason first","Refund in progress")),IF(K405="","Awaiting payment",IF(N405="",IF(M405="","Schedule free video","Free video in production"),IF(P405="Approved","Active",IF(TODAY()&gt;O405,"Active – plan went ahead","Decision pending – "&amp;NETWORKDAYS(TODAY(),O405)&amp;" working day(s) left"))))))</f>
        <v/>
      </c>
      <c r="R405" s="17"/>
      <c r="S405" s="17"/>
      <c r="T405" s="50"/>
      <c r="U405" s="40"/>
      <c r="V405" s="40"/>
      <c r="W405" s="45" t="str">
        <f aca="false">IF(V405="","",EDATE(V405,Settings!$S$6))</f>
        <v/>
      </c>
      <c r="X405" s="17"/>
      <c r="Y405" s="17"/>
      <c r="Z405" s="17"/>
    </row>
    <row r="406" customFormat="false" ht="15" hidden="false" customHeight="false" outlineLevel="0" collapsed="false">
      <c r="A406" s="17"/>
      <c r="B406" s="17"/>
      <c r="C406" s="17"/>
      <c r="D406" s="17"/>
      <c r="E406" s="42"/>
      <c r="F406" s="17"/>
      <c r="G406" s="17"/>
      <c r="H406" s="17"/>
      <c r="I406" s="49" t="str">
        <f aca="false">IF(H406="","",IFERROR(INDEX(Settings!$G$2:$G$4,MATCH(H406,Settings!$F$2:$F$4,0)),""))</f>
        <v/>
      </c>
      <c r="J406" s="40"/>
      <c r="K406" s="50"/>
      <c r="L406" s="17"/>
      <c r="M406" s="40"/>
      <c r="N406" s="40"/>
      <c r="O406" s="45" t="str">
        <f aca="false">IF(N406="","",WORKDAY(N406,Settings!$S$4))</f>
        <v/>
      </c>
      <c r="P406" s="17"/>
      <c r="Q406" s="44" t="str">
        <f aca="true">IF(C406="","",IF(P406="Backed out",IF(S406="Paid","Refunded – closed",IF(R406="","Refund – log reason first","Refund in progress")),IF(K406="","Awaiting payment",IF(N406="",IF(M406="","Schedule free video","Free video in production"),IF(P406="Approved","Active",IF(TODAY()&gt;O406,"Active – plan went ahead","Decision pending – "&amp;NETWORKDAYS(TODAY(),O406)&amp;" working day(s) left"))))))</f>
        <v/>
      </c>
      <c r="R406" s="17"/>
      <c r="S406" s="17"/>
      <c r="T406" s="50"/>
      <c r="U406" s="40"/>
      <c r="V406" s="40"/>
      <c r="W406" s="45" t="str">
        <f aca="false">IF(V406="","",EDATE(V406,Settings!$S$6))</f>
        <v/>
      </c>
      <c r="X406" s="17"/>
      <c r="Y406" s="17"/>
      <c r="Z406" s="17"/>
    </row>
    <row r="407" customFormat="false" ht="15" hidden="false" customHeight="false" outlineLevel="0" collapsed="false">
      <c r="A407" s="17"/>
      <c r="B407" s="17"/>
      <c r="C407" s="17"/>
      <c r="D407" s="17"/>
      <c r="E407" s="42"/>
      <c r="F407" s="17"/>
      <c r="G407" s="17"/>
      <c r="H407" s="17"/>
      <c r="I407" s="49" t="str">
        <f aca="false">IF(H407="","",IFERROR(INDEX(Settings!$G$2:$G$4,MATCH(H407,Settings!$F$2:$F$4,0)),""))</f>
        <v/>
      </c>
      <c r="J407" s="40"/>
      <c r="K407" s="50"/>
      <c r="L407" s="17"/>
      <c r="M407" s="40"/>
      <c r="N407" s="40"/>
      <c r="O407" s="45" t="str">
        <f aca="false">IF(N407="","",WORKDAY(N407,Settings!$S$4))</f>
        <v/>
      </c>
      <c r="P407" s="17"/>
      <c r="Q407" s="44" t="str">
        <f aca="true">IF(C407="","",IF(P407="Backed out",IF(S407="Paid","Refunded – closed",IF(R407="","Refund – log reason first","Refund in progress")),IF(K407="","Awaiting payment",IF(N407="",IF(M407="","Schedule free video","Free video in production"),IF(P407="Approved","Active",IF(TODAY()&gt;O407,"Active – plan went ahead","Decision pending – "&amp;NETWORKDAYS(TODAY(),O407)&amp;" working day(s) left"))))))</f>
        <v/>
      </c>
      <c r="R407" s="17"/>
      <c r="S407" s="17"/>
      <c r="T407" s="50"/>
      <c r="U407" s="40"/>
      <c r="V407" s="40"/>
      <c r="W407" s="45" t="str">
        <f aca="false">IF(V407="","",EDATE(V407,Settings!$S$6))</f>
        <v/>
      </c>
      <c r="X407" s="17"/>
      <c r="Y407" s="17"/>
      <c r="Z407" s="17"/>
    </row>
    <row r="408" customFormat="false" ht="15" hidden="false" customHeight="false" outlineLevel="0" collapsed="false">
      <c r="A408" s="17"/>
      <c r="B408" s="17"/>
      <c r="C408" s="17"/>
      <c r="D408" s="17"/>
      <c r="E408" s="42"/>
      <c r="F408" s="17"/>
      <c r="G408" s="17"/>
      <c r="H408" s="17"/>
      <c r="I408" s="49" t="str">
        <f aca="false">IF(H408="","",IFERROR(INDEX(Settings!$G$2:$G$4,MATCH(H408,Settings!$F$2:$F$4,0)),""))</f>
        <v/>
      </c>
      <c r="J408" s="40"/>
      <c r="K408" s="50"/>
      <c r="L408" s="17"/>
      <c r="M408" s="40"/>
      <c r="N408" s="40"/>
      <c r="O408" s="45" t="str">
        <f aca="false">IF(N408="","",WORKDAY(N408,Settings!$S$4))</f>
        <v/>
      </c>
      <c r="P408" s="17"/>
      <c r="Q408" s="44" t="str">
        <f aca="true">IF(C408="","",IF(P408="Backed out",IF(S408="Paid","Refunded – closed",IF(R408="","Refund – log reason first","Refund in progress")),IF(K408="","Awaiting payment",IF(N408="",IF(M408="","Schedule free video","Free video in production"),IF(P408="Approved","Active",IF(TODAY()&gt;O408,"Active – plan went ahead","Decision pending – "&amp;NETWORKDAYS(TODAY(),O408)&amp;" working day(s) left"))))))</f>
        <v/>
      </c>
      <c r="R408" s="17"/>
      <c r="S408" s="17"/>
      <c r="T408" s="50"/>
      <c r="U408" s="40"/>
      <c r="V408" s="40"/>
      <c r="W408" s="45" t="str">
        <f aca="false">IF(V408="","",EDATE(V408,Settings!$S$6))</f>
        <v/>
      </c>
      <c r="X408" s="17"/>
      <c r="Y408" s="17"/>
      <c r="Z408" s="17"/>
    </row>
    <row r="409" customFormat="false" ht="15" hidden="false" customHeight="false" outlineLevel="0" collapsed="false">
      <c r="A409" s="17"/>
      <c r="B409" s="17"/>
      <c r="C409" s="17"/>
      <c r="D409" s="17"/>
      <c r="E409" s="42"/>
      <c r="F409" s="17"/>
      <c r="G409" s="17"/>
      <c r="H409" s="17"/>
      <c r="I409" s="49" t="str">
        <f aca="false">IF(H409="","",IFERROR(INDEX(Settings!$G$2:$G$4,MATCH(H409,Settings!$F$2:$F$4,0)),""))</f>
        <v/>
      </c>
      <c r="J409" s="40"/>
      <c r="K409" s="50"/>
      <c r="L409" s="17"/>
      <c r="M409" s="40"/>
      <c r="N409" s="40"/>
      <c r="O409" s="45" t="str">
        <f aca="false">IF(N409="","",WORKDAY(N409,Settings!$S$4))</f>
        <v/>
      </c>
      <c r="P409" s="17"/>
      <c r="Q409" s="44" t="str">
        <f aca="true">IF(C409="","",IF(P409="Backed out",IF(S409="Paid","Refunded – closed",IF(R409="","Refund – log reason first","Refund in progress")),IF(K409="","Awaiting payment",IF(N409="",IF(M409="","Schedule free video","Free video in production"),IF(P409="Approved","Active",IF(TODAY()&gt;O409,"Active – plan went ahead","Decision pending – "&amp;NETWORKDAYS(TODAY(),O409)&amp;" working day(s) left"))))))</f>
        <v/>
      </c>
      <c r="R409" s="17"/>
      <c r="S409" s="17"/>
      <c r="T409" s="50"/>
      <c r="U409" s="40"/>
      <c r="V409" s="40"/>
      <c r="W409" s="45" t="str">
        <f aca="false">IF(V409="","",EDATE(V409,Settings!$S$6))</f>
        <v/>
      </c>
      <c r="X409" s="17"/>
      <c r="Y409" s="17"/>
      <c r="Z409" s="17"/>
    </row>
    <row r="410" customFormat="false" ht="15" hidden="false" customHeight="false" outlineLevel="0" collapsed="false">
      <c r="A410" s="17"/>
      <c r="B410" s="17"/>
      <c r="C410" s="17"/>
      <c r="D410" s="17"/>
      <c r="E410" s="42"/>
      <c r="F410" s="17"/>
      <c r="G410" s="17"/>
      <c r="H410" s="17"/>
      <c r="I410" s="49" t="str">
        <f aca="false">IF(H410="","",IFERROR(INDEX(Settings!$G$2:$G$4,MATCH(H410,Settings!$F$2:$F$4,0)),""))</f>
        <v/>
      </c>
      <c r="J410" s="40"/>
      <c r="K410" s="50"/>
      <c r="L410" s="17"/>
      <c r="M410" s="40"/>
      <c r="N410" s="40"/>
      <c r="O410" s="45" t="str">
        <f aca="false">IF(N410="","",WORKDAY(N410,Settings!$S$4))</f>
        <v/>
      </c>
      <c r="P410" s="17"/>
      <c r="Q410" s="44" t="str">
        <f aca="true">IF(C410="","",IF(P410="Backed out",IF(S410="Paid","Refunded – closed",IF(R410="","Refund – log reason first","Refund in progress")),IF(K410="","Awaiting payment",IF(N410="",IF(M410="","Schedule free video","Free video in production"),IF(P410="Approved","Active",IF(TODAY()&gt;O410,"Active – plan went ahead","Decision pending – "&amp;NETWORKDAYS(TODAY(),O410)&amp;" working day(s) left"))))))</f>
        <v/>
      </c>
      <c r="R410" s="17"/>
      <c r="S410" s="17"/>
      <c r="T410" s="50"/>
      <c r="U410" s="40"/>
      <c r="V410" s="40"/>
      <c r="W410" s="45" t="str">
        <f aca="false">IF(V410="","",EDATE(V410,Settings!$S$6))</f>
        <v/>
      </c>
      <c r="X410" s="17"/>
      <c r="Y410" s="17"/>
      <c r="Z410" s="17"/>
    </row>
    <row r="411" customFormat="false" ht="15" hidden="false" customHeight="false" outlineLevel="0" collapsed="false">
      <c r="A411" s="17"/>
      <c r="B411" s="17"/>
      <c r="C411" s="17"/>
      <c r="D411" s="17"/>
      <c r="E411" s="42"/>
      <c r="F411" s="17"/>
      <c r="G411" s="17"/>
      <c r="H411" s="17"/>
      <c r="I411" s="49" t="str">
        <f aca="false">IF(H411="","",IFERROR(INDEX(Settings!$G$2:$G$4,MATCH(H411,Settings!$F$2:$F$4,0)),""))</f>
        <v/>
      </c>
      <c r="J411" s="40"/>
      <c r="K411" s="50"/>
      <c r="L411" s="17"/>
      <c r="M411" s="40"/>
      <c r="N411" s="40"/>
      <c r="O411" s="45" t="str">
        <f aca="false">IF(N411="","",WORKDAY(N411,Settings!$S$4))</f>
        <v/>
      </c>
      <c r="P411" s="17"/>
      <c r="Q411" s="44" t="str">
        <f aca="true">IF(C411="","",IF(P411="Backed out",IF(S411="Paid","Refunded – closed",IF(R411="","Refund – log reason first","Refund in progress")),IF(K411="","Awaiting payment",IF(N411="",IF(M411="","Schedule free video","Free video in production"),IF(P411="Approved","Active",IF(TODAY()&gt;O411,"Active – plan went ahead","Decision pending – "&amp;NETWORKDAYS(TODAY(),O411)&amp;" working day(s) left"))))))</f>
        <v/>
      </c>
      <c r="R411" s="17"/>
      <c r="S411" s="17"/>
      <c r="T411" s="50"/>
      <c r="U411" s="40"/>
      <c r="V411" s="40"/>
      <c r="W411" s="45" t="str">
        <f aca="false">IF(V411="","",EDATE(V411,Settings!$S$6))</f>
        <v/>
      </c>
      <c r="X411" s="17"/>
      <c r="Y411" s="17"/>
      <c r="Z411" s="17"/>
    </row>
    <row r="412" customFormat="false" ht="15" hidden="false" customHeight="false" outlineLevel="0" collapsed="false">
      <c r="A412" s="17"/>
      <c r="B412" s="17"/>
      <c r="C412" s="17"/>
      <c r="D412" s="17"/>
      <c r="E412" s="42"/>
      <c r="F412" s="17"/>
      <c r="G412" s="17"/>
      <c r="H412" s="17"/>
      <c r="I412" s="49" t="str">
        <f aca="false">IF(H412="","",IFERROR(INDEX(Settings!$G$2:$G$4,MATCH(H412,Settings!$F$2:$F$4,0)),""))</f>
        <v/>
      </c>
      <c r="J412" s="40"/>
      <c r="K412" s="50"/>
      <c r="L412" s="17"/>
      <c r="M412" s="40"/>
      <c r="N412" s="40"/>
      <c r="O412" s="45" t="str">
        <f aca="false">IF(N412="","",WORKDAY(N412,Settings!$S$4))</f>
        <v/>
      </c>
      <c r="P412" s="17"/>
      <c r="Q412" s="44" t="str">
        <f aca="true">IF(C412="","",IF(P412="Backed out",IF(S412="Paid","Refunded – closed",IF(R412="","Refund – log reason first","Refund in progress")),IF(K412="","Awaiting payment",IF(N412="",IF(M412="","Schedule free video","Free video in production"),IF(P412="Approved","Active",IF(TODAY()&gt;O412,"Active – plan went ahead","Decision pending – "&amp;NETWORKDAYS(TODAY(),O412)&amp;" working day(s) left"))))))</f>
        <v/>
      </c>
      <c r="R412" s="17"/>
      <c r="S412" s="17"/>
      <c r="T412" s="50"/>
      <c r="U412" s="40"/>
      <c r="V412" s="40"/>
      <c r="W412" s="45" t="str">
        <f aca="false">IF(V412="","",EDATE(V412,Settings!$S$6))</f>
        <v/>
      </c>
      <c r="X412" s="17"/>
      <c r="Y412" s="17"/>
      <c r="Z412" s="17"/>
    </row>
    <row r="413" customFormat="false" ht="15" hidden="false" customHeight="false" outlineLevel="0" collapsed="false">
      <c r="A413" s="17"/>
      <c r="B413" s="17"/>
      <c r="C413" s="17"/>
      <c r="D413" s="17"/>
      <c r="E413" s="42"/>
      <c r="F413" s="17"/>
      <c r="G413" s="17"/>
      <c r="H413" s="17"/>
      <c r="I413" s="49" t="str">
        <f aca="false">IF(H413="","",IFERROR(INDEX(Settings!$G$2:$G$4,MATCH(H413,Settings!$F$2:$F$4,0)),""))</f>
        <v/>
      </c>
      <c r="J413" s="40"/>
      <c r="K413" s="50"/>
      <c r="L413" s="17"/>
      <c r="M413" s="40"/>
      <c r="N413" s="40"/>
      <c r="O413" s="45" t="str">
        <f aca="false">IF(N413="","",WORKDAY(N413,Settings!$S$4))</f>
        <v/>
      </c>
      <c r="P413" s="17"/>
      <c r="Q413" s="44" t="str">
        <f aca="true">IF(C413="","",IF(P413="Backed out",IF(S413="Paid","Refunded – closed",IF(R413="","Refund – log reason first","Refund in progress")),IF(K413="","Awaiting payment",IF(N413="",IF(M413="","Schedule free video","Free video in production"),IF(P413="Approved","Active",IF(TODAY()&gt;O413,"Active – plan went ahead","Decision pending – "&amp;NETWORKDAYS(TODAY(),O413)&amp;" working day(s) left"))))))</f>
        <v/>
      </c>
      <c r="R413" s="17"/>
      <c r="S413" s="17"/>
      <c r="T413" s="50"/>
      <c r="U413" s="40"/>
      <c r="V413" s="40"/>
      <c r="W413" s="45" t="str">
        <f aca="false">IF(V413="","",EDATE(V413,Settings!$S$6))</f>
        <v/>
      </c>
      <c r="X413" s="17"/>
      <c r="Y413" s="17"/>
      <c r="Z413" s="17"/>
    </row>
    <row r="414" customFormat="false" ht="15" hidden="false" customHeight="false" outlineLevel="0" collapsed="false">
      <c r="A414" s="17"/>
      <c r="B414" s="17"/>
      <c r="C414" s="17"/>
      <c r="D414" s="17"/>
      <c r="E414" s="42"/>
      <c r="F414" s="17"/>
      <c r="G414" s="17"/>
      <c r="H414" s="17"/>
      <c r="I414" s="49" t="str">
        <f aca="false">IF(H414="","",IFERROR(INDEX(Settings!$G$2:$G$4,MATCH(H414,Settings!$F$2:$F$4,0)),""))</f>
        <v/>
      </c>
      <c r="J414" s="40"/>
      <c r="K414" s="50"/>
      <c r="L414" s="17"/>
      <c r="M414" s="40"/>
      <c r="N414" s="40"/>
      <c r="O414" s="45" t="str">
        <f aca="false">IF(N414="","",WORKDAY(N414,Settings!$S$4))</f>
        <v/>
      </c>
      <c r="P414" s="17"/>
      <c r="Q414" s="44" t="str">
        <f aca="true">IF(C414="","",IF(P414="Backed out",IF(S414="Paid","Refunded – closed",IF(R414="","Refund – log reason first","Refund in progress")),IF(K414="","Awaiting payment",IF(N414="",IF(M414="","Schedule free video","Free video in production"),IF(P414="Approved","Active",IF(TODAY()&gt;O414,"Active – plan went ahead","Decision pending – "&amp;NETWORKDAYS(TODAY(),O414)&amp;" working day(s) left"))))))</f>
        <v/>
      </c>
      <c r="R414" s="17"/>
      <c r="S414" s="17"/>
      <c r="T414" s="50"/>
      <c r="U414" s="40"/>
      <c r="V414" s="40"/>
      <c r="W414" s="45" t="str">
        <f aca="false">IF(V414="","",EDATE(V414,Settings!$S$6))</f>
        <v/>
      </c>
      <c r="X414" s="17"/>
      <c r="Y414" s="17"/>
      <c r="Z414" s="17"/>
    </row>
    <row r="415" customFormat="false" ht="15" hidden="false" customHeight="false" outlineLevel="0" collapsed="false">
      <c r="A415" s="17"/>
      <c r="B415" s="17"/>
      <c r="C415" s="17"/>
      <c r="D415" s="17"/>
      <c r="E415" s="42"/>
      <c r="F415" s="17"/>
      <c r="G415" s="17"/>
      <c r="H415" s="17"/>
      <c r="I415" s="49" t="str">
        <f aca="false">IF(H415="","",IFERROR(INDEX(Settings!$G$2:$G$4,MATCH(H415,Settings!$F$2:$F$4,0)),""))</f>
        <v/>
      </c>
      <c r="J415" s="40"/>
      <c r="K415" s="50"/>
      <c r="L415" s="17"/>
      <c r="M415" s="40"/>
      <c r="N415" s="40"/>
      <c r="O415" s="45" t="str">
        <f aca="false">IF(N415="","",WORKDAY(N415,Settings!$S$4))</f>
        <v/>
      </c>
      <c r="P415" s="17"/>
      <c r="Q415" s="44" t="str">
        <f aca="true">IF(C415="","",IF(P415="Backed out",IF(S415="Paid","Refunded – closed",IF(R415="","Refund – log reason first","Refund in progress")),IF(K415="","Awaiting payment",IF(N415="",IF(M415="","Schedule free video","Free video in production"),IF(P415="Approved","Active",IF(TODAY()&gt;O415,"Active – plan went ahead","Decision pending – "&amp;NETWORKDAYS(TODAY(),O415)&amp;" working day(s) left"))))))</f>
        <v/>
      </c>
      <c r="R415" s="17"/>
      <c r="S415" s="17"/>
      <c r="T415" s="50"/>
      <c r="U415" s="40"/>
      <c r="V415" s="40"/>
      <c r="W415" s="45" t="str">
        <f aca="false">IF(V415="","",EDATE(V415,Settings!$S$6))</f>
        <v/>
      </c>
      <c r="X415" s="17"/>
      <c r="Y415" s="17"/>
      <c r="Z415" s="17"/>
    </row>
    <row r="416" customFormat="false" ht="15" hidden="false" customHeight="false" outlineLevel="0" collapsed="false">
      <c r="A416" s="17"/>
      <c r="B416" s="17"/>
      <c r="C416" s="17"/>
      <c r="D416" s="17"/>
      <c r="E416" s="42"/>
      <c r="F416" s="17"/>
      <c r="G416" s="17"/>
      <c r="H416" s="17"/>
      <c r="I416" s="49" t="str">
        <f aca="false">IF(H416="","",IFERROR(INDEX(Settings!$G$2:$G$4,MATCH(H416,Settings!$F$2:$F$4,0)),""))</f>
        <v/>
      </c>
      <c r="J416" s="40"/>
      <c r="K416" s="50"/>
      <c r="L416" s="17"/>
      <c r="M416" s="40"/>
      <c r="N416" s="40"/>
      <c r="O416" s="45" t="str">
        <f aca="false">IF(N416="","",WORKDAY(N416,Settings!$S$4))</f>
        <v/>
      </c>
      <c r="P416" s="17"/>
      <c r="Q416" s="44" t="str">
        <f aca="true">IF(C416="","",IF(P416="Backed out",IF(S416="Paid","Refunded – closed",IF(R416="","Refund – log reason first","Refund in progress")),IF(K416="","Awaiting payment",IF(N416="",IF(M416="","Schedule free video","Free video in production"),IF(P416="Approved","Active",IF(TODAY()&gt;O416,"Active – plan went ahead","Decision pending – "&amp;NETWORKDAYS(TODAY(),O416)&amp;" working day(s) left"))))))</f>
        <v/>
      </c>
      <c r="R416" s="17"/>
      <c r="S416" s="17"/>
      <c r="T416" s="50"/>
      <c r="U416" s="40"/>
      <c r="V416" s="40"/>
      <c r="W416" s="45" t="str">
        <f aca="false">IF(V416="","",EDATE(V416,Settings!$S$6))</f>
        <v/>
      </c>
      <c r="X416" s="17"/>
      <c r="Y416" s="17"/>
      <c r="Z416" s="17"/>
    </row>
    <row r="417" customFormat="false" ht="15" hidden="false" customHeight="false" outlineLevel="0" collapsed="false">
      <c r="A417" s="17"/>
      <c r="B417" s="17"/>
      <c r="C417" s="17"/>
      <c r="D417" s="17"/>
      <c r="E417" s="42"/>
      <c r="F417" s="17"/>
      <c r="G417" s="17"/>
      <c r="H417" s="17"/>
      <c r="I417" s="49" t="str">
        <f aca="false">IF(H417="","",IFERROR(INDEX(Settings!$G$2:$G$4,MATCH(H417,Settings!$F$2:$F$4,0)),""))</f>
        <v/>
      </c>
      <c r="J417" s="40"/>
      <c r="K417" s="50"/>
      <c r="L417" s="17"/>
      <c r="M417" s="40"/>
      <c r="N417" s="40"/>
      <c r="O417" s="45" t="str">
        <f aca="false">IF(N417="","",WORKDAY(N417,Settings!$S$4))</f>
        <v/>
      </c>
      <c r="P417" s="17"/>
      <c r="Q417" s="44" t="str">
        <f aca="true">IF(C417="","",IF(P417="Backed out",IF(S417="Paid","Refunded – closed",IF(R417="","Refund – log reason first","Refund in progress")),IF(K417="","Awaiting payment",IF(N417="",IF(M417="","Schedule free video","Free video in production"),IF(P417="Approved","Active",IF(TODAY()&gt;O417,"Active – plan went ahead","Decision pending – "&amp;NETWORKDAYS(TODAY(),O417)&amp;" working day(s) left"))))))</f>
        <v/>
      </c>
      <c r="R417" s="17"/>
      <c r="S417" s="17"/>
      <c r="T417" s="50"/>
      <c r="U417" s="40"/>
      <c r="V417" s="40"/>
      <c r="W417" s="45" t="str">
        <f aca="false">IF(V417="","",EDATE(V417,Settings!$S$6))</f>
        <v/>
      </c>
      <c r="X417" s="17"/>
      <c r="Y417" s="17"/>
      <c r="Z417" s="17"/>
    </row>
    <row r="418" customFormat="false" ht="15" hidden="false" customHeight="false" outlineLevel="0" collapsed="false">
      <c r="A418" s="17"/>
      <c r="B418" s="17"/>
      <c r="C418" s="17"/>
      <c r="D418" s="17"/>
      <c r="E418" s="42"/>
      <c r="F418" s="17"/>
      <c r="G418" s="17"/>
      <c r="H418" s="17"/>
      <c r="I418" s="49" t="str">
        <f aca="false">IF(H418="","",IFERROR(INDEX(Settings!$G$2:$G$4,MATCH(H418,Settings!$F$2:$F$4,0)),""))</f>
        <v/>
      </c>
      <c r="J418" s="40"/>
      <c r="K418" s="50"/>
      <c r="L418" s="17"/>
      <c r="M418" s="40"/>
      <c r="N418" s="40"/>
      <c r="O418" s="45" t="str">
        <f aca="false">IF(N418="","",WORKDAY(N418,Settings!$S$4))</f>
        <v/>
      </c>
      <c r="P418" s="17"/>
      <c r="Q418" s="44" t="str">
        <f aca="true">IF(C418="","",IF(P418="Backed out",IF(S418="Paid","Refunded – closed",IF(R418="","Refund – log reason first","Refund in progress")),IF(K418="","Awaiting payment",IF(N418="",IF(M418="","Schedule free video","Free video in production"),IF(P418="Approved","Active",IF(TODAY()&gt;O418,"Active – plan went ahead","Decision pending – "&amp;NETWORKDAYS(TODAY(),O418)&amp;" working day(s) left"))))))</f>
        <v/>
      </c>
      <c r="R418" s="17"/>
      <c r="S418" s="17"/>
      <c r="T418" s="50"/>
      <c r="U418" s="40"/>
      <c r="V418" s="40"/>
      <c r="W418" s="45" t="str">
        <f aca="false">IF(V418="","",EDATE(V418,Settings!$S$6))</f>
        <v/>
      </c>
      <c r="X418" s="17"/>
      <c r="Y418" s="17"/>
      <c r="Z418" s="17"/>
    </row>
    <row r="419" customFormat="false" ht="15" hidden="false" customHeight="false" outlineLevel="0" collapsed="false">
      <c r="A419" s="17"/>
      <c r="B419" s="17"/>
      <c r="C419" s="17"/>
      <c r="D419" s="17"/>
      <c r="E419" s="42"/>
      <c r="F419" s="17"/>
      <c r="G419" s="17"/>
      <c r="H419" s="17"/>
      <c r="I419" s="49" t="str">
        <f aca="false">IF(H419="","",IFERROR(INDEX(Settings!$G$2:$G$4,MATCH(H419,Settings!$F$2:$F$4,0)),""))</f>
        <v/>
      </c>
      <c r="J419" s="40"/>
      <c r="K419" s="50"/>
      <c r="L419" s="17"/>
      <c r="M419" s="40"/>
      <c r="N419" s="40"/>
      <c r="O419" s="45" t="str">
        <f aca="false">IF(N419="","",WORKDAY(N419,Settings!$S$4))</f>
        <v/>
      </c>
      <c r="P419" s="17"/>
      <c r="Q419" s="44" t="str">
        <f aca="true">IF(C419="","",IF(P419="Backed out",IF(S419="Paid","Refunded – closed",IF(R419="","Refund – log reason first","Refund in progress")),IF(K419="","Awaiting payment",IF(N419="",IF(M419="","Schedule free video","Free video in production"),IF(P419="Approved","Active",IF(TODAY()&gt;O419,"Active – plan went ahead","Decision pending – "&amp;NETWORKDAYS(TODAY(),O419)&amp;" working day(s) left"))))))</f>
        <v/>
      </c>
      <c r="R419" s="17"/>
      <c r="S419" s="17"/>
      <c r="T419" s="50"/>
      <c r="U419" s="40"/>
      <c r="V419" s="40"/>
      <c r="W419" s="45" t="str">
        <f aca="false">IF(V419="","",EDATE(V419,Settings!$S$6))</f>
        <v/>
      </c>
      <c r="X419" s="17"/>
      <c r="Y419" s="17"/>
      <c r="Z419" s="17"/>
    </row>
    <row r="420" customFormat="false" ht="15" hidden="false" customHeight="false" outlineLevel="0" collapsed="false">
      <c r="A420" s="17"/>
      <c r="B420" s="17"/>
      <c r="C420" s="17"/>
      <c r="D420" s="17"/>
      <c r="E420" s="42"/>
      <c r="F420" s="17"/>
      <c r="G420" s="17"/>
      <c r="H420" s="17"/>
      <c r="I420" s="49" t="str">
        <f aca="false">IF(H420="","",IFERROR(INDEX(Settings!$G$2:$G$4,MATCH(H420,Settings!$F$2:$F$4,0)),""))</f>
        <v/>
      </c>
      <c r="J420" s="40"/>
      <c r="K420" s="50"/>
      <c r="L420" s="17"/>
      <c r="M420" s="40"/>
      <c r="N420" s="40"/>
      <c r="O420" s="45" t="str">
        <f aca="false">IF(N420="","",WORKDAY(N420,Settings!$S$4))</f>
        <v/>
      </c>
      <c r="P420" s="17"/>
      <c r="Q420" s="44" t="str">
        <f aca="true">IF(C420="","",IF(P420="Backed out",IF(S420="Paid","Refunded – closed",IF(R420="","Refund – log reason first","Refund in progress")),IF(K420="","Awaiting payment",IF(N420="",IF(M420="","Schedule free video","Free video in production"),IF(P420="Approved","Active",IF(TODAY()&gt;O420,"Active – plan went ahead","Decision pending – "&amp;NETWORKDAYS(TODAY(),O420)&amp;" working day(s) left"))))))</f>
        <v/>
      </c>
      <c r="R420" s="17"/>
      <c r="S420" s="17"/>
      <c r="T420" s="50"/>
      <c r="U420" s="40"/>
      <c r="V420" s="40"/>
      <c r="W420" s="45" t="str">
        <f aca="false">IF(V420="","",EDATE(V420,Settings!$S$6))</f>
        <v/>
      </c>
      <c r="X420" s="17"/>
      <c r="Y420" s="17"/>
      <c r="Z420" s="17"/>
    </row>
    <row r="421" customFormat="false" ht="15" hidden="false" customHeight="false" outlineLevel="0" collapsed="false">
      <c r="A421" s="17"/>
      <c r="B421" s="17"/>
      <c r="C421" s="17"/>
      <c r="D421" s="17"/>
      <c r="E421" s="42"/>
      <c r="F421" s="17"/>
      <c r="G421" s="17"/>
      <c r="H421" s="17"/>
      <c r="I421" s="49" t="str">
        <f aca="false">IF(H421="","",IFERROR(INDEX(Settings!$G$2:$G$4,MATCH(H421,Settings!$F$2:$F$4,0)),""))</f>
        <v/>
      </c>
      <c r="J421" s="40"/>
      <c r="K421" s="50"/>
      <c r="L421" s="17"/>
      <c r="M421" s="40"/>
      <c r="N421" s="40"/>
      <c r="O421" s="45" t="str">
        <f aca="false">IF(N421="","",WORKDAY(N421,Settings!$S$4))</f>
        <v/>
      </c>
      <c r="P421" s="17"/>
      <c r="Q421" s="44" t="str">
        <f aca="true">IF(C421="","",IF(P421="Backed out",IF(S421="Paid","Refunded – closed",IF(R421="","Refund – log reason first","Refund in progress")),IF(K421="","Awaiting payment",IF(N421="",IF(M421="","Schedule free video","Free video in production"),IF(P421="Approved","Active",IF(TODAY()&gt;O421,"Active – plan went ahead","Decision pending – "&amp;NETWORKDAYS(TODAY(),O421)&amp;" working day(s) left"))))))</f>
        <v/>
      </c>
      <c r="R421" s="17"/>
      <c r="S421" s="17"/>
      <c r="T421" s="50"/>
      <c r="U421" s="40"/>
      <c r="V421" s="40"/>
      <c r="W421" s="45" t="str">
        <f aca="false">IF(V421="","",EDATE(V421,Settings!$S$6))</f>
        <v/>
      </c>
      <c r="X421" s="17"/>
      <c r="Y421" s="17"/>
      <c r="Z421" s="17"/>
    </row>
    <row r="422" customFormat="false" ht="15" hidden="false" customHeight="false" outlineLevel="0" collapsed="false">
      <c r="A422" s="17"/>
      <c r="B422" s="17"/>
      <c r="C422" s="17"/>
      <c r="D422" s="17"/>
      <c r="E422" s="42"/>
      <c r="F422" s="17"/>
      <c r="G422" s="17"/>
      <c r="H422" s="17"/>
      <c r="I422" s="49" t="str">
        <f aca="false">IF(H422="","",IFERROR(INDEX(Settings!$G$2:$G$4,MATCH(H422,Settings!$F$2:$F$4,0)),""))</f>
        <v/>
      </c>
      <c r="J422" s="40"/>
      <c r="K422" s="50"/>
      <c r="L422" s="17"/>
      <c r="M422" s="40"/>
      <c r="N422" s="40"/>
      <c r="O422" s="45" t="str">
        <f aca="false">IF(N422="","",WORKDAY(N422,Settings!$S$4))</f>
        <v/>
      </c>
      <c r="P422" s="17"/>
      <c r="Q422" s="44" t="str">
        <f aca="true">IF(C422="","",IF(P422="Backed out",IF(S422="Paid","Refunded – closed",IF(R422="","Refund – log reason first","Refund in progress")),IF(K422="","Awaiting payment",IF(N422="",IF(M422="","Schedule free video","Free video in production"),IF(P422="Approved","Active",IF(TODAY()&gt;O422,"Active – plan went ahead","Decision pending – "&amp;NETWORKDAYS(TODAY(),O422)&amp;" working day(s) left"))))))</f>
        <v/>
      </c>
      <c r="R422" s="17"/>
      <c r="S422" s="17"/>
      <c r="T422" s="50"/>
      <c r="U422" s="40"/>
      <c r="V422" s="40"/>
      <c r="W422" s="45" t="str">
        <f aca="false">IF(V422="","",EDATE(V422,Settings!$S$6))</f>
        <v/>
      </c>
      <c r="X422" s="17"/>
      <c r="Y422" s="17"/>
      <c r="Z422" s="17"/>
    </row>
    <row r="423" customFormat="false" ht="15" hidden="false" customHeight="false" outlineLevel="0" collapsed="false">
      <c r="A423" s="17"/>
      <c r="B423" s="17"/>
      <c r="C423" s="17"/>
      <c r="D423" s="17"/>
      <c r="E423" s="42"/>
      <c r="F423" s="17"/>
      <c r="G423" s="17"/>
      <c r="H423" s="17"/>
      <c r="I423" s="49" t="str">
        <f aca="false">IF(H423="","",IFERROR(INDEX(Settings!$G$2:$G$4,MATCH(H423,Settings!$F$2:$F$4,0)),""))</f>
        <v/>
      </c>
      <c r="J423" s="40"/>
      <c r="K423" s="50"/>
      <c r="L423" s="17"/>
      <c r="M423" s="40"/>
      <c r="N423" s="40"/>
      <c r="O423" s="45" t="str">
        <f aca="false">IF(N423="","",WORKDAY(N423,Settings!$S$4))</f>
        <v/>
      </c>
      <c r="P423" s="17"/>
      <c r="Q423" s="44" t="str">
        <f aca="true">IF(C423="","",IF(P423="Backed out",IF(S423="Paid","Refunded – closed",IF(R423="","Refund – log reason first","Refund in progress")),IF(K423="","Awaiting payment",IF(N423="",IF(M423="","Schedule free video","Free video in production"),IF(P423="Approved","Active",IF(TODAY()&gt;O423,"Active – plan went ahead","Decision pending – "&amp;NETWORKDAYS(TODAY(),O423)&amp;" working day(s) left"))))))</f>
        <v/>
      </c>
      <c r="R423" s="17"/>
      <c r="S423" s="17"/>
      <c r="T423" s="50"/>
      <c r="U423" s="40"/>
      <c r="V423" s="40"/>
      <c r="W423" s="45" t="str">
        <f aca="false">IF(V423="","",EDATE(V423,Settings!$S$6))</f>
        <v/>
      </c>
      <c r="X423" s="17"/>
      <c r="Y423" s="17"/>
      <c r="Z423" s="17"/>
    </row>
    <row r="424" customFormat="false" ht="15" hidden="false" customHeight="false" outlineLevel="0" collapsed="false">
      <c r="A424" s="17"/>
      <c r="B424" s="17"/>
      <c r="C424" s="17"/>
      <c r="D424" s="17"/>
      <c r="E424" s="42"/>
      <c r="F424" s="17"/>
      <c r="G424" s="17"/>
      <c r="H424" s="17"/>
      <c r="I424" s="49" t="str">
        <f aca="false">IF(H424="","",IFERROR(INDEX(Settings!$G$2:$G$4,MATCH(H424,Settings!$F$2:$F$4,0)),""))</f>
        <v/>
      </c>
      <c r="J424" s="40"/>
      <c r="K424" s="50"/>
      <c r="L424" s="17"/>
      <c r="M424" s="40"/>
      <c r="N424" s="40"/>
      <c r="O424" s="45" t="str">
        <f aca="false">IF(N424="","",WORKDAY(N424,Settings!$S$4))</f>
        <v/>
      </c>
      <c r="P424" s="17"/>
      <c r="Q424" s="44" t="str">
        <f aca="true">IF(C424="","",IF(P424="Backed out",IF(S424="Paid","Refunded – closed",IF(R424="","Refund – log reason first","Refund in progress")),IF(K424="","Awaiting payment",IF(N424="",IF(M424="","Schedule free video","Free video in production"),IF(P424="Approved","Active",IF(TODAY()&gt;O424,"Active – plan went ahead","Decision pending – "&amp;NETWORKDAYS(TODAY(),O424)&amp;" working day(s) left"))))))</f>
        <v/>
      </c>
      <c r="R424" s="17"/>
      <c r="S424" s="17"/>
      <c r="T424" s="50"/>
      <c r="U424" s="40"/>
      <c r="V424" s="40"/>
      <c r="W424" s="45" t="str">
        <f aca="false">IF(V424="","",EDATE(V424,Settings!$S$6))</f>
        <v/>
      </c>
      <c r="X424" s="17"/>
      <c r="Y424" s="17"/>
      <c r="Z424" s="17"/>
    </row>
    <row r="425" customFormat="false" ht="15" hidden="false" customHeight="false" outlineLevel="0" collapsed="false">
      <c r="A425" s="17"/>
      <c r="B425" s="17"/>
      <c r="C425" s="17"/>
      <c r="D425" s="17"/>
      <c r="E425" s="42"/>
      <c r="F425" s="17"/>
      <c r="G425" s="17"/>
      <c r="H425" s="17"/>
      <c r="I425" s="49" t="str">
        <f aca="false">IF(H425="","",IFERROR(INDEX(Settings!$G$2:$G$4,MATCH(H425,Settings!$F$2:$F$4,0)),""))</f>
        <v/>
      </c>
      <c r="J425" s="40"/>
      <c r="K425" s="50"/>
      <c r="L425" s="17"/>
      <c r="M425" s="40"/>
      <c r="N425" s="40"/>
      <c r="O425" s="45" t="str">
        <f aca="false">IF(N425="","",WORKDAY(N425,Settings!$S$4))</f>
        <v/>
      </c>
      <c r="P425" s="17"/>
      <c r="Q425" s="44" t="str">
        <f aca="true">IF(C425="","",IF(P425="Backed out",IF(S425="Paid","Refunded – closed",IF(R425="","Refund – log reason first","Refund in progress")),IF(K425="","Awaiting payment",IF(N425="",IF(M425="","Schedule free video","Free video in production"),IF(P425="Approved","Active",IF(TODAY()&gt;O425,"Active – plan went ahead","Decision pending – "&amp;NETWORKDAYS(TODAY(),O425)&amp;" working day(s) left"))))))</f>
        <v/>
      </c>
      <c r="R425" s="17"/>
      <c r="S425" s="17"/>
      <c r="T425" s="50"/>
      <c r="U425" s="40"/>
      <c r="V425" s="40"/>
      <c r="W425" s="45" t="str">
        <f aca="false">IF(V425="","",EDATE(V425,Settings!$S$6))</f>
        <v/>
      </c>
      <c r="X425" s="17"/>
      <c r="Y425" s="17"/>
      <c r="Z425" s="17"/>
    </row>
    <row r="426" customFormat="false" ht="15" hidden="false" customHeight="false" outlineLevel="0" collapsed="false">
      <c r="A426" s="17"/>
      <c r="B426" s="17"/>
      <c r="C426" s="17"/>
      <c r="D426" s="17"/>
      <c r="E426" s="42"/>
      <c r="F426" s="17"/>
      <c r="G426" s="17"/>
      <c r="H426" s="17"/>
      <c r="I426" s="49" t="str">
        <f aca="false">IF(H426="","",IFERROR(INDEX(Settings!$G$2:$G$4,MATCH(H426,Settings!$F$2:$F$4,0)),""))</f>
        <v/>
      </c>
      <c r="J426" s="40"/>
      <c r="K426" s="50"/>
      <c r="L426" s="17"/>
      <c r="M426" s="40"/>
      <c r="N426" s="40"/>
      <c r="O426" s="45" t="str">
        <f aca="false">IF(N426="","",WORKDAY(N426,Settings!$S$4))</f>
        <v/>
      </c>
      <c r="P426" s="17"/>
      <c r="Q426" s="44" t="str">
        <f aca="true">IF(C426="","",IF(P426="Backed out",IF(S426="Paid","Refunded – closed",IF(R426="","Refund – log reason first","Refund in progress")),IF(K426="","Awaiting payment",IF(N426="",IF(M426="","Schedule free video","Free video in production"),IF(P426="Approved","Active",IF(TODAY()&gt;O426,"Active – plan went ahead","Decision pending – "&amp;NETWORKDAYS(TODAY(),O426)&amp;" working day(s) left"))))))</f>
        <v/>
      </c>
      <c r="R426" s="17"/>
      <c r="S426" s="17"/>
      <c r="T426" s="50"/>
      <c r="U426" s="40"/>
      <c r="V426" s="40"/>
      <c r="W426" s="45" t="str">
        <f aca="false">IF(V426="","",EDATE(V426,Settings!$S$6))</f>
        <v/>
      </c>
      <c r="X426" s="17"/>
      <c r="Y426" s="17"/>
      <c r="Z426" s="17"/>
    </row>
    <row r="427" customFormat="false" ht="15" hidden="false" customHeight="false" outlineLevel="0" collapsed="false">
      <c r="A427" s="17"/>
      <c r="B427" s="17"/>
      <c r="C427" s="17"/>
      <c r="D427" s="17"/>
      <c r="E427" s="42"/>
      <c r="F427" s="17"/>
      <c r="G427" s="17"/>
      <c r="H427" s="17"/>
      <c r="I427" s="49" t="str">
        <f aca="false">IF(H427="","",IFERROR(INDEX(Settings!$G$2:$G$4,MATCH(H427,Settings!$F$2:$F$4,0)),""))</f>
        <v/>
      </c>
      <c r="J427" s="40"/>
      <c r="K427" s="50"/>
      <c r="L427" s="17"/>
      <c r="M427" s="40"/>
      <c r="N427" s="40"/>
      <c r="O427" s="45" t="str">
        <f aca="false">IF(N427="","",WORKDAY(N427,Settings!$S$4))</f>
        <v/>
      </c>
      <c r="P427" s="17"/>
      <c r="Q427" s="44" t="str">
        <f aca="true">IF(C427="","",IF(P427="Backed out",IF(S427="Paid","Refunded – closed",IF(R427="","Refund – log reason first","Refund in progress")),IF(K427="","Awaiting payment",IF(N427="",IF(M427="","Schedule free video","Free video in production"),IF(P427="Approved","Active",IF(TODAY()&gt;O427,"Active – plan went ahead","Decision pending – "&amp;NETWORKDAYS(TODAY(),O427)&amp;" working day(s) left"))))))</f>
        <v/>
      </c>
      <c r="R427" s="17"/>
      <c r="S427" s="17"/>
      <c r="T427" s="50"/>
      <c r="U427" s="40"/>
      <c r="V427" s="40"/>
      <c r="W427" s="45" t="str">
        <f aca="false">IF(V427="","",EDATE(V427,Settings!$S$6))</f>
        <v/>
      </c>
      <c r="X427" s="17"/>
      <c r="Y427" s="17"/>
      <c r="Z427" s="17"/>
    </row>
    <row r="428" customFormat="false" ht="15" hidden="false" customHeight="false" outlineLevel="0" collapsed="false">
      <c r="A428" s="17"/>
      <c r="B428" s="17"/>
      <c r="C428" s="17"/>
      <c r="D428" s="17"/>
      <c r="E428" s="42"/>
      <c r="F428" s="17"/>
      <c r="G428" s="17"/>
      <c r="H428" s="17"/>
      <c r="I428" s="49" t="str">
        <f aca="false">IF(H428="","",IFERROR(INDEX(Settings!$G$2:$G$4,MATCH(H428,Settings!$F$2:$F$4,0)),""))</f>
        <v/>
      </c>
      <c r="J428" s="40"/>
      <c r="K428" s="50"/>
      <c r="L428" s="17"/>
      <c r="M428" s="40"/>
      <c r="N428" s="40"/>
      <c r="O428" s="45" t="str">
        <f aca="false">IF(N428="","",WORKDAY(N428,Settings!$S$4))</f>
        <v/>
      </c>
      <c r="P428" s="17"/>
      <c r="Q428" s="44" t="str">
        <f aca="true">IF(C428="","",IF(P428="Backed out",IF(S428="Paid","Refunded – closed",IF(R428="","Refund – log reason first","Refund in progress")),IF(K428="","Awaiting payment",IF(N428="",IF(M428="","Schedule free video","Free video in production"),IF(P428="Approved","Active",IF(TODAY()&gt;O428,"Active – plan went ahead","Decision pending – "&amp;NETWORKDAYS(TODAY(),O428)&amp;" working day(s) left"))))))</f>
        <v/>
      </c>
      <c r="R428" s="17"/>
      <c r="S428" s="17"/>
      <c r="T428" s="50"/>
      <c r="U428" s="40"/>
      <c r="V428" s="40"/>
      <c r="W428" s="45" t="str">
        <f aca="false">IF(V428="","",EDATE(V428,Settings!$S$6))</f>
        <v/>
      </c>
      <c r="X428" s="17"/>
      <c r="Y428" s="17"/>
      <c r="Z428" s="17"/>
    </row>
    <row r="429" customFormat="false" ht="15" hidden="false" customHeight="false" outlineLevel="0" collapsed="false">
      <c r="A429" s="17"/>
      <c r="B429" s="17"/>
      <c r="C429" s="17"/>
      <c r="D429" s="17"/>
      <c r="E429" s="42"/>
      <c r="F429" s="17"/>
      <c r="G429" s="17"/>
      <c r="H429" s="17"/>
      <c r="I429" s="49" t="str">
        <f aca="false">IF(H429="","",IFERROR(INDEX(Settings!$G$2:$G$4,MATCH(H429,Settings!$F$2:$F$4,0)),""))</f>
        <v/>
      </c>
      <c r="J429" s="40"/>
      <c r="K429" s="50"/>
      <c r="L429" s="17"/>
      <c r="M429" s="40"/>
      <c r="N429" s="40"/>
      <c r="O429" s="45" t="str">
        <f aca="false">IF(N429="","",WORKDAY(N429,Settings!$S$4))</f>
        <v/>
      </c>
      <c r="P429" s="17"/>
      <c r="Q429" s="44" t="str">
        <f aca="true">IF(C429="","",IF(P429="Backed out",IF(S429="Paid","Refunded – closed",IF(R429="","Refund – log reason first","Refund in progress")),IF(K429="","Awaiting payment",IF(N429="",IF(M429="","Schedule free video","Free video in production"),IF(P429="Approved","Active",IF(TODAY()&gt;O429,"Active – plan went ahead","Decision pending – "&amp;NETWORKDAYS(TODAY(),O429)&amp;" working day(s) left"))))))</f>
        <v/>
      </c>
      <c r="R429" s="17"/>
      <c r="S429" s="17"/>
      <c r="T429" s="50"/>
      <c r="U429" s="40"/>
      <c r="V429" s="40"/>
      <c r="W429" s="45" t="str">
        <f aca="false">IF(V429="","",EDATE(V429,Settings!$S$6))</f>
        <v/>
      </c>
      <c r="X429" s="17"/>
      <c r="Y429" s="17"/>
      <c r="Z429" s="17"/>
    </row>
    <row r="430" customFormat="false" ht="15" hidden="false" customHeight="false" outlineLevel="0" collapsed="false">
      <c r="A430" s="17"/>
      <c r="B430" s="17"/>
      <c r="C430" s="17"/>
      <c r="D430" s="17"/>
      <c r="E430" s="42"/>
      <c r="F430" s="17"/>
      <c r="G430" s="17"/>
      <c r="H430" s="17"/>
      <c r="I430" s="49" t="str">
        <f aca="false">IF(H430="","",IFERROR(INDEX(Settings!$G$2:$G$4,MATCH(H430,Settings!$F$2:$F$4,0)),""))</f>
        <v/>
      </c>
      <c r="J430" s="40"/>
      <c r="K430" s="50"/>
      <c r="L430" s="17"/>
      <c r="M430" s="40"/>
      <c r="N430" s="40"/>
      <c r="O430" s="45" t="str">
        <f aca="false">IF(N430="","",WORKDAY(N430,Settings!$S$4))</f>
        <v/>
      </c>
      <c r="P430" s="17"/>
      <c r="Q430" s="44" t="str">
        <f aca="true">IF(C430="","",IF(P430="Backed out",IF(S430="Paid","Refunded – closed",IF(R430="","Refund – log reason first","Refund in progress")),IF(K430="","Awaiting payment",IF(N430="",IF(M430="","Schedule free video","Free video in production"),IF(P430="Approved","Active",IF(TODAY()&gt;O430,"Active – plan went ahead","Decision pending – "&amp;NETWORKDAYS(TODAY(),O430)&amp;" working day(s) left"))))))</f>
        <v/>
      </c>
      <c r="R430" s="17"/>
      <c r="S430" s="17"/>
      <c r="T430" s="50"/>
      <c r="U430" s="40"/>
      <c r="V430" s="40"/>
      <c r="W430" s="45" t="str">
        <f aca="false">IF(V430="","",EDATE(V430,Settings!$S$6))</f>
        <v/>
      </c>
      <c r="X430" s="17"/>
      <c r="Y430" s="17"/>
      <c r="Z430" s="17"/>
    </row>
    <row r="431" customFormat="false" ht="15" hidden="false" customHeight="false" outlineLevel="0" collapsed="false">
      <c r="A431" s="17"/>
      <c r="B431" s="17"/>
      <c r="C431" s="17"/>
      <c r="D431" s="17"/>
      <c r="E431" s="42"/>
      <c r="F431" s="17"/>
      <c r="G431" s="17"/>
      <c r="H431" s="17"/>
      <c r="I431" s="49" t="str">
        <f aca="false">IF(H431="","",IFERROR(INDEX(Settings!$G$2:$G$4,MATCH(H431,Settings!$F$2:$F$4,0)),""))</f>
        <v/>
      </c>
      <c r="J431" s="40"/>
      <c r="K431" s="50"/>
      <c r="L431" s="17"/>
      <c r="M431" s="40"/>
      <c r="N431" s="40"/>
      <c r="O431" s="45" t="str">
        <f aca="false">IF(N431="","",WORKDAY(N431,Settings!$S$4))</f>
        <v/>
      </c>
      <c r="P431" s="17"/>
      <c r="Q431" s="44" t="str">
        <f aca="true">IF(C431="","",IF(P431="Backed out",IF(S431="Paid","Refunded – closed",IF(R431="","Refund – log reason first","Refund in progress")),IF(K431="","Awaiting payment",IF(N431="",IF(M431="","Schedule free video","Free video in production"),IF(P431="Approved","Active",IF(TODAY()&gt;O431,"Active – plan went ahead","Decision pending – "&amp;NETWORKDAYS(TODAY(),O431)&amp;" working day(s) left"))))))</f>
        <v/>
      </c>
      <c r="R431" s="17"/>
      <c r="S431" s="17"/>
      <c r="T431" s="50"/>
      <c r="U431" s="40"/>
      <c r="V431" s="40"/>
      <c r="W431" s="45" t="str">
        <f aca="false">IF(V431="","",EDATE(V431,Settings!$S$6))</f>
        <v/>
      </c>
      <c r="X431" s="17"/>
      <c r="Y431" s="17"/>
      <c r="Z431" s="17"/>
    </row>
    <row r="432" customFormat="false" ht="15" hidden="false" customHeight="false" outlineLevel="0" collapsed="false">
      <c r="A432" s="17"/>
      <c r="B432" s="17"/>
      <c r="C432" s="17"/>
      <c r="D432" s="17"/>
      <c r="E432" s="42"/>
      <c r="F432" s="17"/>
      <c r="G432" s="17"/>
      <c r="H432" s="17"/>
      <c r="I432" s="49" t="str">
        <f aca="false">IF(H432="","",IFERROR(INDEX(Settings!$G$2:$G$4,MATCH(H432,Settings!$F$2:$F$4,0)),""))</f>
        <v/>
      </c>
      <c r="J432" s="40"/>
      <c r="K432" s="50"/>
      <c r="L432" s="17"/>
      <c r="M432" s="40"/>
      <c r="N432" s="40"/>
      <c r="O432" s="45" t="str">
        <f aca="false">IF(N432="","",WORKDAY(N432,Settings!$S$4))</f>
        <v/>
      </c>
      <c r="P432" s="17"/>
      <c r="Q432" s="44" t="str">
        <f aca="true">IF(C432="","",IF(P432="Backed out",IF(S432="Paid","Refunded – closed",IF(R432="","Refund – log reason first","Refund in progress")),IF(K432="","Awaiting payment",IF(N432="",IF(M432="","Schedule free video","Free video in production"),IF(P432="Approved","Active",IF(TODAY()&gt;O432,"Active – plan went ahead","Decision pending – "&amp;NETWORKDAYS(TODAY(),O432)&amp;" working day(s) left"))))))</f>
        <v/>
      </c>
      <c r="R432" s="17"/>
      <c r="S432" s="17"/>
      <c r="T432" s="50"/>
      <c r="U432" s="40"/>
      <c r="V432" s="40"/>
      <c r="W432" s="45" t="str">
        <f aca="false">IF(V432="","",EDATE(V432,Settings!$S$6))</f>
        <v/>
      </c>
      <c r="X432" s="17"/>
      <c r="Y432" s="17"/>
      <c r="Z432" s="17"/>
    </row>
    <row r="433" customFormat="false" ht="15" hidden="false" customHeight="false" outlineLevel="0" collapsed="false">
      <c r="A433" s="17"/>
      <c r="B433" s="17"/>
      <c r="C433" s="17"/>
      <c r="D433" s="17"/>
      <c r="E433" s="42"/>
      <c r="F433" s="17"/>
      <c r="G433" s="17"/>
      <c r="H433" s="17"/>
      <c r="I433" s="49" t="str">
        <f aca="false">IF(H433="","",IFERROR(INDEX(Settings!$G$2:$G$4,MATCH(H433,Settings!$F$2:$F$4,0)),""))</f>
        <v/>
      </c>
      <c r="J433" s="40"/>
      <c r="K433" s="50"/>
      <c r="L433" s="17"/>
      <c r="M433" s="40"/>
      <c r="N433" s="40"/>
      <c r="O433" s="45" t="str">
        <f aca="false">IF(N433="","",WORKDAY(N433,Settings!$S$4))</f>
        <v/>
      </c>
      <c r="P433" s="17"/>
      <c r="Q433" s="44" t="str">
        <f aca="true">IF(C433="","",IF(P433="Backed out",IF(S433="Paid","Refunded – closed",IF(R433="","Refund – log reason first","Refund in progress")),IF(K433="","Awaiting payment",IF(N433="",IF(M433="","Schedule free video","Free video in production"),IF(P433="Approved","Active",IF(TODAY()&gt;O433,"Active – plan went ahead","Decision pending – "&amp;NETWORKDAYS(TODAY(),O433)&amp;" working day(s) left"))))))</f>
        <v/>
      </c>
      <c r="R433" s="17"/>
      <c r="S433" s="17"/>
      <c r="T433" s="50"/>
      <c r="U433" s="40"/>
      <c r="V433" s="40"/>
      <c r="W433" s="45" t="str">
        <f aca="false">IF(V433="","",EDATE(V433,Settings!$S$6))</f>
        <v/>
      </c>
      <c r="X433" s="17"/>
      <c r="Y433" s="17"/>
      <c r="Z433" s="17"/>
    </row>
    <row r="434" customFormat="false" ht="15" hidden="false" customHeight="false" outlineLevel="0" collapsed="false">
      <c r="A434" s="17"/>
      <c r="B434" s="17"/>
      <c r="C434" s="17"/>
      <c r="D434" s="17"/>
      <c r="E434" s="42"/>
      <c r="F434" s="17"/>
      <c r="G434" s="17"/>
      <c r="H434" s="17"/>
      <c r="I434" s="49" t="str">
        <f aca="false">IF(H434="","",IFERROR(INDEX(Settings!$G$2:$G$4,MATCH(H434,Settings!$F$2:$F$4,0)),""))</f>
        <v/>
      </c>
      <c r="J434" s="40"/>
      <c r="K434" s="50"/>
      <c r="L434" s="17"/>
      <c r="M434" s="40"/>
      <c r="N434" s="40"/>
      <c r="O434" s="45" t="str">
        <f aca="false">IF(N434="","",WORKDAY(N434,Settings!$S$4))</f>
        <v/>
      </c>
      <c r="P434" s="17"/>
      <c r="Q434" s="44" t="str">
        <f aca="true">IF(C434="","",IF(P434="Backed out",IF(S434="Paid","Refunded – closed",IF(R434="","Refund – log reason first","Refund in progress")),IF(K434="","Awaiting payment",IF(N434="",IF(M434="","Schedule free video","Free video in production"),IF(P434="Approved","Active",IF(TODAY()&gt;O434,"Active – plan went ahead","Decision pending – "&amp;NETWORKDAYS(TODAY(),O434)&amp;" working day(s) left"))))))</f>
        <v/>
      </c>
      <c r="R434" s="17"/>
      <c r="S434" s="17"/>
      <c r="T434" s="50"/>
      <c r="U434" s="40"/>
      <c r="V434" s="40"/>
      <c r="W434" s="45" t="str">
        <f aca="false">IF(V434="","",EDATE(V434,Settings!$S$6))</f>
        <v/>
      </c>
      <c r="X434" s="17"/>
      <c r="Y434" s="17"/>
      <c r="Z434" s="17"/>
    </row>
    <row r="435" customFormat="false" ht="15" hidden="false" customHeight="false" outlineLevel="0" collapsed="false">
      <c r="A435" s="17"/>
      <c r="B435" s="17"/>
      <c r="C435" s="17"/>
      <c r="D435" s="17"/>
      <c r="E435" s="42"/>
      <c r="F435" s="17"/>
      <c r="G435" s="17"/>
      <c r="H435" s="17"/>
      <c r="I435" s="49" t="str">
        <f aca="false">IF(H435="","",IFERROR(INDEX(Settings!$G$2:$G$4,MATCH(H435,Settings!$F$2:$F$4,0)),""))</f>
        <v/>
      </c>
      <c r="J435" s="40"/>
      <c r="K435" s="50"/>
      <c r="L435" s="17"/>
      <c r="M435" s="40"/>
      <c r="N435" s="40"/>
      <c r="O435" s="45" t="str">
        <f aca="false">IF(N435="","",WORKDAY(N435,Settings!$S$4))</f>
        <v/>
      </c>
      <c r="P435" s="17"/>
      <c r="Q435" s="44" t="str">
        <f aca="true">IF(C435="","",IF(P435="Backed out",IF(S435="Paid","Refunded – closed",IF(R435="","Refund – log reason first","Refund in progress")),IF(K435="","Awaiting payment",IF(N435="",IF(M435="","Schedule free video","Free video in production"),IF(P435="Approved","Active",IF(TODAY()&gt;O435,"Active – plan went ahead","Decision pending – "&amp;NETWORKDAYS(TODAY(),O435)&amp;" working day(s) left"))))))</f>
        <v/>
      </c>
      <c r="R435" s="17"/>
      <c r="S435" s="17"/>
      <c r="T435" s="50"/>
      <c r="U435" s="40"/>
      <c r="V435" s="40"/>
      <c r="W435" s="45" t="str">
        <f aca="false">IF(V435="","",EDATE(V435,Settings!$S$6))</f>
        <v/>
      </c>
      <c r="X435" s="17"/>
      <c r="Y435" s="17"/>
      <c r="Z435" s="17"/>
    </row>
    <row r="436" customFormat="false" ht="15" hidden="false" customHeight="false" outlineLevel="0" collapsed="false">
      <c r="A436" s="17"/>
      <c r="B436" s="17"/>
      <c r="C436" s="17"/>
      <c r="D436" s="17"/>
      <c r="E436" s="42"/>
      <c r="F436" s="17"/>
      <c r="G436" s="17"/>
      <c r="H436" s="17"/>
      <c r="I436" s="49" t="str">
        <f aca="false">IF(H436="","",IFERROR(INDEX(Settings!$G$2:$G$4,MATCH(H436,Settings!$F$2:$F$4,0)),""))</f>
        <v/>
      </c>
      <c r="J436" s="40"/>
      <c r="K436" s="50"/>
      <c r="L436" s="17"/>
      <c r="M436" s="40"/>
      <c r="N436" s="40"/>
      <c r="O436" s="45" t="str">
        <f aca="false">IF(N436="","",WORKDAY(N436,Settings!$S$4))</f>
        <v/>
      </c>
      <c r="P436" s="17"/>
      <c r="Q436" s="44" t="str">
        <f aca="true">IF(C436="","",IF(P436="Backed out",IF(S436="Paid","Refunded – closed",IF(R436="","Refund – log reason first","Refund in progress")),IF(K436="","Awaiting payment",IF(N436="",IF(M436="","Schedule free video","Free video in production"),IF(P436="Approved","Active",IF(TODAY()&gt;O436,"Active – plan went ahead","Decision pending – "&amp;NETWORKDAYS(TODAY(),O436)&amp;" working day(s) left"))))))</f>
        <v/>
      </c>
      <c r="R436" s="17"/>
      <c r="S436" s="17"/>
      <c r="T436" s="50"/>
      <c r="U436" s="40"/>
      <c r="V436" s="40"/>
      <c r="W436" s="45" t="str">
        <f aca="false">IF(V436="","",EDATE(V436,Settings!$S$6))</f>
        <v/>
      </c>
      <c r="X436" s="17"/>
      <c r="Y436" s="17"/>
      <c r="Z436" s="17"/>
    </row>
    <row r="437" customFormat="false" ht="15" hidden="false" customHeight="false" outlineLevel="0" collapsed="false">
      <c r="A437" s="17"/>
      <c r="B437" s="17"/>
      <c r="C437" s="17"/>
      <c r="D437" s="17"/>
      <c r="E437" s="42"/>
      <c r="F437" s="17"/>
      <c r="G437" s="17"/>
      <c r="H437" s="17"/>
      <c r="I437" s="49" t="str">
        <f aca="false">IF(H437="","",IFERROR(INDEX(Settings!$G$2:$G$4,MATCH(H437,Settings!$F$2:$F$4,0)),""))</f>
        <v/>
      </c>
      <c r="J437" s="40"/>
      <c r="K437" s="50"/>
      <c r="L437" s="17"/>
      <c r="M437" s="40"/>
      <c r="N437" s="40"/>
      <c r="O437" s="45" t="str">
        <f aca="false">IF(N437="","",WORKDAY(N437,Settings!$S$4))</f>
        <v/>
      </c>
      <c r="P437" s="17"/>
      <c r="Q437" s="44" t="str">
        <f aca="true">IF(C437="","",IF(P437="Backed out",IF(S437="Paid","Refunded – closed",IF(R437="","Refund – log reason first","Refund in progress")),IF(K437="","Awaiting payment",IF(N437="",IF(M437="","Schedule free video","Free video in production"),IF(P437="Approved","Active",IF(TODAY()&gt;O437,"Active – plan went ahead","Decision pending – "&amp;NETWORKDAYS(TODAY(),O437)&amp;" working day(s) left"))))))</f>
        <v/>
      </c>
      <c r="R437" s="17"/>
      <c r="S437" s="17"/>
      <c r="T437" s="50"/>
      <c r="U437" s="40"/>
      <c r="V437" s="40"/>
      <c r="W437" s="45" t="str">
        <f aca="false">IF(V437="","",EDATE(V437,Settings!$S$6))</f>
        <v/>
      </c>
      <c r="X437" s="17"/>
      <c r="Y437" s="17"/>
      <c r="Z437" s="17"/>
    </row>
    <row r="438" customFormat="false" ht="15" hidden="false" customHeight="false" outlineLevel="0" collapsed="false">
      <c r="A438" s="17"/>
      <c r="B438" s="17"/>
      <c r="C438" s="17"/>
      <c r="D438" s="17"/>
      <c r="E438" s="42"/>
      <c r="F438" s="17"/>
      <c r="G438" s="17"/>
      <c r="H438" s="17"/>
      <c r="I438" s="49" t="str">
        <f aca="false">IF(H438="","",IFERROR(INDEX(Settings!$G$2:$G$4,MATCH(H438,Settings!$F$2:$F$4,0)),""))</f>
        <v/>
      </c>
      <c r="J438" s="40"/>
      <c r="K438" s="50"/>
      <c r="L438" s="17"/>
      <c r="M438" s="40"/>
      <c r="N438" s="40"/>
      <c r="O438" s="45" t="str">
        <f aca="false">IF(N438="","",WORKDAY(N438,Settings!$S$4))</f>
        <v/>
      </c>
      <c r="P438" s="17"/>
      <c r="Q438" s="44" t="str">
        <f aca="true">IF(C438="","",IF(P438="Backed out",IF(S438="Paid","Refunded – closed",IF(R438="","Refund – log reason first","Refund in progress")),IF(K438="","Awaiting payment",IF(N438="",IF(M438="","Schedule free video","Free video in production"),IF(P438="Approved","Active",IF(TODAY()&gt;O438,"Active – plan went ahead","Decision pending – "&amp;NETWORKDAYS(TODAY(),O438)&amp;" working day(s) left"))))))</f>
        <v/>
      </c>
      <c r="R438" s="17"/>
      <c r="S438" s="17"/>
      <c r="T438" s="50"/>
      <c r="U438" s="40"/>
      <c r="V438" s="40"/>
      <c r="W438" s="45" t="str">
        <f aca="false">IF(V438="","",EDATE(V438,Settings!$S$6))</f>
        <v/>
      </c>
      <c r="X438" s="17"/>
      <c r="Y438" s="17"/>
      <c r="Z438" s="17"/>
    </row>
    <row r="439" customFormat="false" ht="15" hidden="false" customHeight="false" outlineLevel="0" collapsed="false">
      <c r="A439" s="17"/>
      <c r="B439" s="17"/>
      <c r="C439" s="17"/>
      <c r="D439" s="17"/>
      <c r="E439" s="42"/>
      <c r="F439" s="17"/>
      <c r="G439" s="17"/>
      <c r="H439" s="17"/>
      <c r="I439" s="49" t="str">
        <f aca="false">IF(H439="","",IFERROR(INDEX(Settings!$G$2:$G$4,MATCH(H439,Settings!$F$2:$F$4,0)),""))</f>
        <v/>
      </c>
      <c r="J439" s="40"/>
      <c r="K439" s="50"/>
      <c r="L439" s="17"/>
      <c r="M439" s="40"/>
      <c r="N439" s="40"/>
      <c r="O439" s="45" t="str">
        <f aca="false">IF(N439="","",WORKDAY(N439,Settings!$S$4))</f>
        <v/>
      </c>
      <c r="P439" s="17"/>
      <c r="Q439" s="44" t="str">
        <f aca="true">IF(C439="","",IF(P439="Backed out",IF(S439="Paid","Refunded – closed",IF(R439="","Refund – log reason first","Refund in progress")),IF(K439="","Awaiting payment",IF(N439="",IF(M439="","Schedule free video","Free video in production"),IF(P439="Approved","Active",IF(TODAY()&gt;O439,"Active – plan went ahead","Decision pending – "&amp;NETWORKDAYS(TODAY(),O439)&amp;" working day(s) left"))))))</f>
        <v/>
      </c>
      <c r="R439" s="17"/>
      <c r="S439" s="17"/>
      <c r="T439" s="50"/>
      <c r="U439" s="40"/>
      <c r="V439" s="40"/>
      <c r="W439" s="45" t="str">
        <f aca="false">IF(V439="","",EDATE(V439,Settings!$S$6))</f>
        <v/>
      </c>
      <c r="X439" s="17"/>
      <c r="Y439" s="17"/>
      <c r="Z439" s="17"/>
    </row>
    <row r="440" customFormat="false" ht="15" hidden="false" customHeight="false" outlineLevel="0" collapsed="false">
      <c r="A440" s="17"/>
      <c r="B440" s="17"/>
      <c r="C440" s="17"/>
      <c r="D440" s="17"/>
      <c r="E440" s="42"/>
      <c r="F440" s="17"/>
      <c r="G440" s="17"/>
      <c r="H440" s="17"/>
      <c r="I440" s="49" t="str">
        <f aca="false">IF(H440="","",IFERROR(INDEX(Settings!$G$2:$G$4,MATCH(H440,Settings!$F$2:$F$4,0)),""))</f>
        <v/>
      </c>
      <c r="J440" s="40"/>
      <c r="K440" s="50"/>
      <c r="L440" s="17"/>
      <c r="M440" s="40"/>
      <c r="N440" s="40"/>
      <c r="O440" s="45" t="str">
        <f aca="false">IF(N440="","",WORKDAY(N440,Settings!$S$4))</f>
        <v/>
      </c>
      <c r="P440" s="17"/>
      <c r="Q440" s="44" t="str">
        <f aca="true">IF(C440="","",IF(P440="Backed out",IF(S440="Paid","Refunded – closed",IF(R440="","Refund – log reason first","Refund in progress")),IF(K440="","Awaiting payment",IF(N440="",IF(M440="","Schedule free video","Free video in production"),IF(P440="Approved","Active",IF(TODAY()&gt;O440,"Active – plan went ahead","Decision pending – "&amp;NETWORKDAYS(TODAY(),O440)&amp;" working day(s) left"))))))</f>
        <v/>
      </c>
      <c r="R440" s="17"/>
      <c r="S440" s="17"/>
      <c r="T440" s="50"/>
      <c r="U440" s="40"/>
      <c r="V440" s="40"/>
      <c r="W440" s="45" t="str">
        <f aca="false">IF(V440="","",EDATE(V440,Settings!$S$6))</f>
        <v/>
      </c>
      <c r="X440" s="17"/>
      <c r="Y440" s="17"/>
      <c r="Z440" s="17"/>
    </row>
    <row r="441" customFormat="false" ht="15" hidden="false" customHeight="false" outlineLevel="0" collapsed="false">
      <c r="A441" s="17"/>
      <c r="B441" s="17"/>
      <c r="C441" s="17"/>
      <c r="D441" s="17"/>
      <c r="E441" s="42"/>
      <c r="F441" s="17"/>
      <c r="G441" s="17"/>
      <c r="H441" s="17"/>
      <c r="I441" s="49" t="str">
        <f aca="false">IF(H441="","",IFERROR(INDEX(Settings!$G$2:$G$4,MATCH(H441,Settings!$F$2:$F$4,0)),""))</f>
        <v/>
      </c>
      <c r="J441" s="40"/>
      <c r="K441" s="50"/>
      <c r="L441" s="17"/>
      <c r="M441" s="40"/>
      <c r="N441" s="40"/>
      <c r="O441" s="45" t="str">
        <f aca="false">IF(N441="","",WORKDAY(N441,Settings!$S$4))</f>
        <v/>
      </c>
      <c r="P441" s="17"/>
      <c r="Q441" s="44" t="str">
        <f aca="true">IF(C441="","",IF(P441="Backed out",IF(S441="Paid","Refunded – closed",IF(R441="","Refund – log reason first","Refund in progress")),IF(K441="","Awaiting payment",IF(N441="",IF(M441="","Schedule free video","Free video in production"),IF(P441="Approved","Active",IF(TODAY()&gt;O441,"Active – plan went ahead","Decision pending – "&amp;NETWORKDAYS(TODAY(),O441)&amp;" working day(s) left"))))))</f>
        <v/>
      </c>
      <c r="R441" s="17"/>
      <c r="S441" s="17"/>
      <c r="T441" s="50"/>
      <c r="U441" s="40"/>
      <c r="V441" s="40"/>
      <c r="W441" s="45" t="str">
        <f aca="false">IF(V441="","",EDATE(V441,Settings!$S$6))</f>
        <v/>
      </c>
      <c r="X441" s="17"/>
      <c r="Y441" s="17"/>
      <c r="Z441" s="17"/>
    </row>
    <row r="442" customFormat="false" ht="15" hidden="false" customHeight="false" outlineLevel="0" collapsed="false">
      <c r="A442" s="17"/>
      <c r="B442" s="17"/>
      <c r="C442" s="17"/>
      <c r="D442" s="17"/>
      <c r="E442" s="42"/>
      <c r="F442" s="17"/>
      <c r="G442" s="17"/>
      <c r="H442" s="17"/>
      <c r="I442" s="49" t="str">
        <f aca="false">IF(H442="","",IFERROR(INDEX(Settings!$G$2:$G$4,MATCH(H442,Settings!$F$2:$F$4,0)),""))</f>
        <v/>
      </c>
      <c r="J442" s="40"/>
      <c r="K442" s="50"/>
      <c r="L442" s="17"/>
      <c r="M442" s="40"/>
      <c r="N442" s="40"/>
      <c r="O442" s="45" t="str">
        <f aca="false">IF(N442="","",WORKDAY(N442,Settings!$S$4))</f>
        <v/>
      </c>
      <c r="P442" s="17"/>
      <c r="Q442" s="44" t="str">
        <f aca="true">IF(C442="","",IF(P442="Backed out",IF(S442="Paid","Refunded – closed",IF(R442="","Refund – log reason first","Refund in progress")),IF(K442="","Awaiting payment",IF(N442="",IF(M442="","Schedule free video","Free video in production"),IF(P442="Approved","Active",IF(TODAY()&gt;O442,"Active – plan went ahead","Decision pending – "&amp;NETWORKDAYS(TODAY(),O442)&amp;" working day(s) left"))))))</f>
        <v/>
      </c>
      <c r="R442" s="17"/>
      <c r="S442" s="17"/>
      <c r="T442" s="50"/>
      <c r="U442" s="40"/>
      <c r="V442" s="40"/>
      <c r="W442" s="45" t="str">
        <f aca="false">IF(V442="","",EDATE(V442,Settings!$S$6))</f>
        <v/>
      </c>
      <c r="X442" s="17"/>
      <c r="Y442" s="17"/>
      <c r="Z442" s="17"/>
    </row>
    <row r="443" customFormat="false" ht="15" hidden="false" customHeight="false" outlineLevel="0" collapsed="false">
      <c r="A443" s="17"/>
      <c r="B443" s="17"/>
      <c r="C443" s="17"/>
      <c r="D443" s="17"/>
      <c r="E443" s="42"/>
      <c r="F443" s="17"/>
      <c r="G443" s="17"/>
      <c r="H443" s="17"/>
      <c r="I443" s="49" t="str">
        <f aca="false">IF(H443="","",IFERROR(INDEX(Settings!$G$2:$G$4,MATCH(H443,Settings!$F$2:$F$4,0)),""))</f>
        <v/>
      </c>
      <c r="J443" s="40"/>
      <c r="K443" s="50"/>
      <c r="L443" s="17"/>
      <c r="M443" s="40"/>
      <c r="N443" s="40"/>
      <c r="O443" s="45" t="str">
        <f aca="false">IF(N443="","",WORKDAY(N443,Settings!$S$4))</f>
        <v/>
      </c>
      <c r="P443" s="17"/>
      <c r="Q443" s="44" t="str">
        <f aca="true">IF(C443="","",IF(P443="Backed out",IF(S443="Paid","Refunded – closed",IF(R443="","Refund – log reason first","Refund in progress")),IF(K443="","Awaiting payment",IF(N443="",IF(M443="","Schedule free video","Free video in production"),IF(P443="Approved","Active",IF(TODAY()&gt;O443,"Active – plan went ahead","Decision pending – "&amp;NETWORKDAYS(TODAY(),O443)&amp;" working day(s) left"))))))</f>
        <v/>
      </c>
      <c r="R443" s="17"/>
      <c r="S443" s="17"/>
      <c r="T443" s="50"/>
      <c r="U443" s="40"/>
      <c r="V443" s="40"/>
      <c r="W443" s="45" t="str">
        <f aca="false">IF(V443="","",EDATE(V443,Settings!$S$6))</f>
        <v/>
      </c>
      <c r="X443" s="17"/>
      <c r="Y443" s="17"/>
      <c r="Z443" s="17"/>
    </row>
    <row r="444" customFormat="false" ht="15" hidden="false" customHeight="false" outlineLevel="0" collapsed="false">
      <c r="A444" s="17"/>
      <c r="B444" s="17"/>
      <c r="C444" s="17"/>
      <c r="D444" s="17"/>
      <c r="E444" s="42"/>
      <c r="F444" s="17"/>
      <c r="G444" s="17"/>
      <c r="H444" s="17"/>
      <c r="I444" s="49" t="str">
        <f aca="false">IF(H444="","",IFERROR(INDEX(Settings!$G$2:$G$4,MATCH(H444,Settings!$F$2:$F$4,0)),""))</f>
        <v/>
      </c>
      <c r="J444" s="40"/>
      <c r="K444" s="50"/>
      <c r="L444" s="17"/>
      <c r="M444" s="40"/>
      <c r="N444" s="40"/>
      <c r="O444" s="45" t="str">
        <f aca="false">IF(N444="","",WORKDAY(N444,Settings!$S$4))</f>
        <v/>
      </c>
      <c r="P444" s="17"/>
      <c r="Q444" s="44" t="str">
        <f aca="true">IF(C444="","",IF(P444="Backed out",IF(S444="Paid","Refunded – closed",IF(R444="","Refund – log reason first","Refund in progress")),IF(K444="","Awaiting payment",IF(N444="",IF(M444="","Schedule free video","Free video in production"),IF(P444="Approved","Active",IF(TODAY()&gt;O444,"Active – plan went ahead","Decision pending – "&amp;NETWORKDAYS(TODAY(),O444)&amp;" working day(s) left"))))))</f>
        <v/>
      </c>
      <c r="R444" s="17"/>
      <c r="S444" s="17"/>
      <c r="T444" s="50"/>
      <c r="U444" s="40"/>
      <c r="V444" s="40"/>
      <c r="W444" s="45" t="str">
        <f aca="false">IF(V444="","",EDATE(V444,Settings!$S$6))</f>
        <v/>
      </c>
      <c r="X444" s="17"/>
      <c r="Y444" s="17"/>
      <c r="Z444" s="17"/>
    </row>
    <row r="445" customFormat="false" ht="15" hidden="false" customHeight="false" outlineLevel="0" collapsed="false">
      <c r="A445" s="17"/>
      <c r="B445" s="17"/>
      <c r="C445" s="17"/>
      <c r="D445" s="17"/>
      <c r="E445" s="42"/>
      <c r="F445" s="17"/>
      <c r="G445" s="17"/>
      <c r="H445" s="17"/>
      <c r="I445" s="49" t="str">
        <f aca="false">IF(H445="","",IFERROR(INDEX(Settings!$G$2:$G$4,MATCH(H445,Settings!$F$2:$F$4,0)),""))</f>
        <v/>
      </c>
      <c r="J445" s="40"/>
      <c r="K445" s="50"/>
      <c r="L445" s="17"/>
      <c r="M445" s="40"/>
      <c r="N445" s="40"/>
      <c r="O445" s="45" t="str">
        <f aca="false">IF(N445="","",WORKDAY(N445,Settings!$S$4))</f>
        <v/>
      </c>
      <c r="P445" s="17"/>
      <c r="Q445" s="44" t="str">
        <f aca="true">IF(C445="","",IF(P445="Backed out",IF(S445="Paid","Refunded – closed",IF(R445="","Refund – log reason first","Refund in progress")),IF(K445="","Awaiting payment",IF(N445="",IF(M445="","Schedule free video","Free video in production"),IF(P445="Approved","Active",IF(TODAY()&gt;O445,"Active – plan went ahead","Decision pending – "&amp;NETWORKDAYS(TODAY(),O445)&amp;" working day(s) left"))))))</f>
        <v/>
      </c>
      <c r="R445" s="17"/>
      <c r="S445" s="17"/>
      <c r="T445" s="50"/>
      <c r="U445" s="40"/>
      <c r="V445" s="40"/>
      <c r="W445" s="45" t="str">
        <f aca="false">IF(V445="","",EDATE(V445,Settings!$S$6))</f>
        <v/>
      </c>
      <c r="X445" s="17"/>
      <c r="Y445" s="17"/>
      <c r="Z445" s="17"/>
    </row>
    <row r="446" customFormat="false" ht="15" hidden="false" customHeight="false" outlineLevel="0" collapsed="false">
      <c r="A446" s="17"/>
      <c r="B446" s="17"/>
      <c r="C446" s="17"/>
      <c r="D446" s="17"/>
      <c r="E446" s="42"/>
      <c r="F446" s="17"/>
      <c r="G446" s="17"/>
      <c r="H446" s="17"/>
      <c r="I446" s="49" t="str">
        <f aca="false">IF(H446="","",IFERROR(INDEX(Settings!$G$2:$G$4,MATCH(H446,Settings!$F$2:$F$4,0)),""))</f>
        <v/>
      </c>
      <c r="J446" s="40"/>
      <c r="K446" s="50"/>
      <c r="L446" s="17"/>
      <c r="M446" s="40"/>
      <c r="N446" s="40"/>
      <c r="O446" s="45" t="str">
        <f aca="false">IF(N446="","",WORKDAY(N446,Settings!$S$4))</f>
        <v/>
      </c>
      <c r="P446" s="17"/>
      <c r="Q446" s="44" t="str">
        <f aca="true">IF(C446="","",IF(P446="Backed out",IF(S446="Paid","Refunded – closed",IF(R446="","Refund – log reason first","Refund in progress")),IF(K446="","Awaiting payment",IF(N446="",IF(M446="","Schedule free video","Free video in production"),IF(P446="Approved","Active",IF(TODAY()&gt;O446,"Active – plan went ahead","Decision pending – "&amp;NETWORKDAYS(TODAY(),O446)&amp;" working day(s) left"))))))</f>
        <v/>
      </c>
      <c r="R446" s="17"/>
      <c r="S446" s="17"/>
      <c r="T446" s="50"/>
      <c r="U446" s="40"/>
      <c r="V446" s="40"/>
      <c r="W446" s="45" t="str">
        <f aca="false">IF(V446="","",EDATE(V446,Settings!$S$6))</f>
        <v/>
      </c>
      <c r="X446" s="17"/>
      <c r="Y446" s="17"/>
      <c r="Z446" s="17"/>
    </row>
    <row r="447" customFormat="false" ht="15" hidden="false" customHeight="false" outlineLevel="0" collapsed="false">
      <c r="A447" s="17"/>
      <c r="B447" s="17"/>
      <c r="C447" s="17"/>
      <c r="D447" s="17"/>
      <c r="E447" s="42"/>
      <c r="F447" s="17"/>
      <c r="G447" s="17"/>
      <c r="H447" s="17"/>
      <c r="I447" s="49" t="str">
        <f aca="false">IF(H447="","",IFERROR(INDEX(Settings!$G$2:$G$4,MATCH(H447,Settings!$F$2:$F$4,0)),""))</f>
        <v/>
      </c>
      <c r="J447" s="40"/>
      <c r="K447" s="50"/>
      <c r="L447" s="17"/>
      <c r="M447" s="40"/>
      <c r="N447" s="40"/>
      <c r="O447" s="45" t="str">
        <f aca="false">IF(N447="","",WORKDAY(N447,Settings!$S$4))</f>
        <v/>
      </c>
      <c r="P447" s="17"/>
      <c r="Q447" s="44" t="str">
        <f aca="true">IF(C447="","",IF(P447="Backed out",IF(S447="Paid","Refunded – closed",IF(R447="","Refund – log reason first","Refund in progress")),IF(K447="","Awaiting payment",IF(N447="",IF(M447="","Schedule free video","Free video in production"),IF(P447="Approved","Active",IF(TODAY()&gt;O447,"Active – plan went ahead","Decision pending – "&amp;NETWORKDAYS(TODAY(),O447)&amp;" working day(s) left"))))))</f>
        <v/>
      </c>
      <c r="R447" s="17"/>
      <c r="S447" s="17"/>
      <c r="T447" s="50"/>
      <c r="U447" s="40"/>
      <c r="V447" s="40"/>
      <c r="W447" s="45" t="str">
        <f aca="false">IF(V447="","",EDATE(V447,Settings!$S$6))</f>
        <v/>
      </c>
      <c r="X447" s="17"/>
      <c r="Y447" s="17"/>
      <c r="Z447" s="17"/>
    </row>
    <row r="448" customFormat="false" ht="15" hidden="false" customHeight="false" outlineLevel="0" collapsed="false">
      <c r="A448" s="17"/>
      <c r="B448" s="17"/>
      <c r="C448" s="17"/>
      <c r="D448" s="17"/>
      <c r="E448" s="42"/>
      <c r="F448" s="17"/>
      <c r="G448" s="17"/>
      <c r="H448" s="17"/>
      <c r="I448" s="49" t="str">
        <f aca="false">IF(H448="","",IFERROR(INDEX(Settings!$G$2:$G$4,MATCH(H448,Settings!$F$2:$F$4,0)),""))</f>
        <v/>
      </c>
      <c r="J448" s="40"/>
      <c r="K448" s="50"/>
      <c r="L448" s="17"/>
      <c r="M448" s="40"/>
      <c r="N448" s="40"/>
      <c r="O448" s="45" t="str">
        <f aca="false">IF(N448="","",WORKDAY(N448,Settings!$S$4))</f>
        <v/>
      </c>
      <c r="P448" s="17"/>
      <c r="Q448" s="44" t="str">
        <f aca="true">IF(C448="","",IF(P448="Backed out",IF(S448="Paid","Refunded – closed",IF(R448="","Refund – log reason first","Refund in progress")),IF(K448="","Awaiting payment",IF(N448="",IF(M448="","Schedule free video","Free video in production"),IF(P448="Approved","Active",IF(TODAY()&gt;O448,"Active – plan went ahead","Decision pending – "&amp;NETWORKDAYS(TODAY(),O448)&amp;" working day(s) left"))))))</f>
        <v/>
      </c>
      <c r="R448" s="17"/>
      <c r="S448" s="17"/>
      <c r="T448" s="50"/>
      <c r="U448" s="40"/>
      <c r="V448" s="40"/>
      <c r="W448" s="45" t="str">
        <f aca="false">IF(V448="","",EDATE(V448,Settings!$S$6))</f>
        <v/>
      </c>
      <c r="X448" s="17"/>
      <c r="Y448" s="17"/>
      <c r="Z448" s="17"/>
    </row>
    <row r="449" customFormat="false" ht="15" hidden="false" customHeight="false" outlineLevel="0" collapsed="false">
      <c r="A449" s="17"/>
      <c r="B449" s="17"/>
      <c r="C449" s="17"/>
      <c r="D449" s="17"/>
      <c r="E449" s="42"/>
      <c r="F449" s="17"/>
      <c r="G449" s="17"/>
      <c r="H449" s="17"/>
      <c r="I449" s="49" t="str">
        <f aca="false">IF(H449="","",IFERROR(INDEX(Settings!$G$2:$G$4,MATCH(H449,Settings!$F$2:$F$4,0)),""))</f>
        <v/>
      </c>
      <c r="J449" s="40"/>
      <c r="K449" s="50"/>
      <c r="L449" s="17"/>
      <c r="M449" s="40"/>
      <c r="N449" s="40"/>
      <c r="O449" s="45" t="str">
        <f aca="false">IF(N449="","",WORKDAY(N449,Settings!$S$4))</f>
        <v/>
      </c>
      <c r="P449" s="17"/>
      <c r="Q449" s="44" t="str">
        <f aca="true">IF(C449="","",IF(P449="Backed out",IF(S449="Paid","Refunded – closed",IF(R449="","Refund – log reason first","Refund in progress")),IF(K449="","Awaiting payment",IF(N449="",IF(M449="","Schedule free video","Free video in production"),IF(P449="Approved","Active",IF(TODAY()&gt;O449,"Active – plan went ahead","Decision pending – "&amp;NETWORKDAYS(TODAY(),O449)&amp;" working day(s) left"))))))</f>
        <v/>
      </c>
      <c r="R449" s="17"/>
      <c r="S449" s="17"/>
      <c r="T449" s="50"/>
      <c r="U449" s="40"/>
      <c r="V449" s="40"/>
      <c r="W449" s="45" t="str">
        <f aca="false">IF(V449="","",EDATE(V449,Settings!$S$6))</f>
        <v/>
      </c>
      <c r="X449" s="17"/>
      <c r="Y449" s="17"/>
      <c r="Z449" s="17"/>
    </row>
    <row r="450" customFormat="false" ht="15" hidden="false" customHeight="false" outlineLevel="0" collapsed="false">
      <c r="A450" s="17"/>
      <c r="B450" s="17"/>
      <c r="C450" s="17"/>
      <c r="D450" s="17"/>
      <c r="E450" s="42"/>
      <c r="F450" s="17"/>
      <c r="G450" s="17"/>
      <c r="H450" s="17"/>
      <c r="I450" s="49" t="str">
        <f aca="false">IF(H450="","",IFERROR(INDEX(Settings!$G$2:$G$4,MATCH(H450,Settings!$F$2:$F$4,0)),""))</f>
        <v/>
      </c>
      <c r="J450" s="40"/>
      <c r="K450" s="50"/>
      <c r="L450" s="17"/>
      <c r="M450" s="40"/>
      <c r="N450" s="40"/>
      <c r="O450" s="45" t="str">
        <f aca="false">IF(N450="","",WORKDAY(N450,Settings!$S$4))</f>
        <v/>
      </c>
      <c r="P450" s="17"/>
      <c r="Q450" s="44" t="str">
        <f aca="true">IF(C450="","",IF(P450="Backed out",IF(S450="Paid","Refunded – closed",IF(R450="","Refund – log reason first","Refund in progress")),IF(K450="","Awaiting payment",IF(N450="",IF(M450="","Schedule free video","Free video in production"),IF(P450="Approved","Active",IF(TODAY()&gt;O450,"Active – plan went ahead","Decision pending – "&amp;NETWORKDAYS(TODAY(),O450)&amp;" working day(s) left"))))))</f>
        <v/>
      </c>
      <c r="R450" s="17"/>
      <c r="S450" s="17"/>
      <c r="T450" s="50"/>
      <c r="U450" s="40"/>
      <c r="V450" s="40"/>
      <c r="W450" s="45" t="str">
        <f aca="false">IF(V450="","",EDATE(V450,Settings!$S$6))</f>
        <v/>
      </c>
      <c r="X450" s="17"/>
      <c r="Y450" s="17"/>
      <c r="Z450" s="17"/>
    </row>
    <row r="451" customFormat="false" ht="15" hidden="false" customHeight="false" outlineLevel="0" collapsed="false">
      <c r="A451" s="17"/>
      <c r="B451" s="17"/>
      <c r="C451" s="17"/>
      <c r="D451" s="17"/>
      <c r="E451" s="42"/>
      <c r="F451" s="17"/>
      <c r="G451" s="17"/>
      <c r="H451" s="17"/>
      <c r="I451" s="49" t="str">
        <f aca="false">IF(H451="","",IFERROR(INDEX(Settings!$G$2:$G$4,MATCH(H451,Settings!$F$2:$F$4,0)),""))</f>
        <v/>
      </c>
      <c r="J451" s="40"/>
      <c r="K451" s="50"/>
      <c r="L451" s="17"/>
      <c r="M451" s="40"/>
      <c r="N451" s="40"/>
      <c r="O451" s="45" t="str">
        <f aca="false">IF(N451="","",WORKDAY(N451,Settings!$S$4))</f>
        <v/>
      </c>
      <c r="P451" s="17"/>
      <c r="Q451" s="44" t="str">
        <f aca="true">IF(C451="","",IF(P451="Backed out",IF(S451="Paid","Refunded – closed",IF(R451="","Refund – log reason first","Refund in progress")),IF(K451="","Awaiting payment",IF(N451="",IF(M451="","Schedule free video","Free video in production"),IF(P451="Approved","Active",IF(TODAY()&gt;O451,"Active – plan went ahead","Decision pending – "&amp;NETWORKDAYS(TODAY(),O451)&amp;" working day(s) left"))))))</f>
        <v/>
      </c>
      <c r="R451" s="17"/>
      <c r="S451" s="17"/>
      <c r="T451" s="50"/>
      <c r="U451" s="40"/>
      <c r="V451" s="40"/>
      <c r="W451" s="45" t="str">
        <f aca="false">IF(V451="","",EDATE(V451,Settings!$S$6))</f>
        <v/>
      </c>
      <c r="X451" s="17"/>
      <c r="Y451" s="17"/>
      <c r="Z451" s="17"/>
    </row>
    <row r="452" customFormat="false" ht="15" hidden="false" customHeight="false" outlineLevel="0" collapsed="false">
      <c r="A452" s="17"/>
      <c r="B452" s="17"/>
      <c r="C452" s="17"/>
      <c r="D452" s="17"/>
      <c r="E452" s="42"/>
      <c r="F452" s="17"/>
      <c r="G452" s="17"/>
      <c r="H452" s="17"/>
      <c r="I452" s="49" t="str">
        <f aca="false">IF(H452="","",IFERROR(INDEX(Settings!$G$2:$G$4,MATCH(H452,Settings!$F$2:$F$4,0)),""))</f>
        <v/>
      </c>
      <c r="J452" s="40"/>
      <c r="K452" s="50"/>
      <c r="L452" s="17"/>
      <c r="M452" s="40"/>
      <c r="N452" s="40"/>
      <c r="O452" s="45" t="str">
        <f aca="false">IF(N452="","",WORKDAY(N452,Settings!$S$4))</f>
        <v/>
      </c>
      <c r="P452" s="17"/>
      <c r="Q452" s="44" t="str">
        <f aca="true">IF(C452="","",IF(P452="Backed out",IF(S452="Paid","Refunded – closed",IF(R452="","Refund – log reason first","Refund in progress")),IF(K452="","Awaiting payment",IF(N452="",IF(M452="","Schedule free video","Free video in production"),IF(P452="Approved","Active",IF(TODAY()&gt;O452,"Active – plan went ahead","Decision pending – "&amp;NETWORKDAYS(TODAY(),O452)&amp;" working day(s) left"))))))</f>
        <v/>
      </c>
      <c r="R452" s="17"/>
      <c r="S452" s="17"/>
      <c r="T452" s="50"/>
      <c r="U452" s="40"/>
      <c r="V452" s="40"/>
      <c r="W452" s="45" t="str">
        <f aca="false">IF(V452="","",EDATE(V452,Settings!$S$6))</f>
        <v/>
      </c>
      <c r="X452" s="17"/>
      <c r="Y452" s="17"/>
      <c r="Z452" s="17"/>
    </row>
    <row r="453" customFormat="false" ht="15" hidden="false" customHeight="false" outlineLevel="0" collapsed="false">
      <c r="A453" s="17"/>
      <c r="B453" s="17"/>
      <c r="C453" s="17"/>
      <c r="D453" s="17"/>
      <c r="E453" s="42"/>
      <c r="F453" s="17"/>
      <c r="G453" s="17"/>
      <c r="H453" s="17"/>
      <c r="I453" s="49" t="str">
        <f aca="false">IF(H453="","",IFERROR(INDEX(Settings!$G$2:$G$4,MATCH(H453,Settings!$F$2:$F$4,0)),""))</f>
        <v/>
      </c>
      <c r="J453" s="40"/>
      <c r="K453" s="50"/>
      <c r="L453" s="17"/>
      <c r="M453" s="40"/>
      <c r="N453" s="40"/>
      <c r="O453" s="45" t="str">
        <f aca="false">IF(N453="","",WORKDAY(N453,Settings!$S$4))</f>
        <v/>
      </c>
      <c r="P453" s="17"/>
      <c r="Q453" s="44" t="str">
        <f aca="true">IF(C453="","",IF(P453="Backed out",IF(S453="Paid","Refunded – closed",IF(R453="","Refund – log reason first","Refund in progress")),IF(K453="","Awaiting payment",IF(N453="",IF(M453="","Schedule free video","Free video in production"),IF(P453="Approved","Active",IF(TODAY()&gt;O453,"Active – plan went ahead","Decision pending – "&amp;NETWORKDAYS(TODAY(),O453)&amp;" working day(s) left"))))))</f>
        <v/>
      </c>
      <c r="R453" s="17"/>
      <c r="S453" s="17"/>
      <c r="T453" s="50"/>
      <c r="U453" s="40"/>
      <c r="V453" s="40"/>
      <c r="W453" s="45" t="str">
        <f aca="false">IF(V453="","",EDATE(V453,Settings!$S$6))</f>
        <v/>
      </c>
      <c r="X453" s="17"/>
      <c r="Y453" s="17"/>
      <c r="Z453" s="17"/>
    </row>
    <row r="454" customFormat="false" ht="15" hidden="false" customHeight="false" outlineLevel="0" collapsed="false">
      <c r="A454" s="17"/>
      <c r="B454" s="17"/>
      <c r="C454" s="17"/>
      <c r="D454" s="17"/>
      <c r="E454" s="42"/>
      <c r="F454" s="17"/>
      <c r="G454" s="17"/>
      <c r="H454" s="17"/>
      <c r="I454" s="49" t="str">
        <f aca="false">IF(H454="","",IFERROR(INDEX(Settings!$G$2:$G$4,MATCH(H454,Settings!$F$2:$F$4,0)),""))</f>
        <v/>
      </c>
      <c r="J454" s="40"/>
      <c r="K454" s="50"/>
      <c r="L454" s="17"/>
      <c r="M454" s="40"/>
      <c r="N454" s="40"/>
      <c r="O454" s="45" t="str">
        <f aca="false">IF(N454="","",WORKDAY(N454,Settings!$S$4))</f>
        <v/>
      </c>
      <c r="P454" s="17"/>
      <c r="Q454" s="44" t="str">
        <f aca="true">IF(C454="","",IF(P454="Backed out",IF(S454="Paid","Refunded – closed",IF(R454="","Refund – log reason first","Refund in progress")),IF(K454="","Awaiting payment",IF(N454="",IF(M454="","Schedule free video","Free video in production"),IF(P454="Approved","Active",IF(TODAY()&gt;O454,"Active – plan went ahead","Decision pending – "&amp;NETWORKDAYS(TODAY(),O454)&amp;" working day(s) left"))))))</f>
        <v/>
      </c>
      <c r="R454" s="17"/>
      <c r="S454" s="17"/>
      <c r="T454" s="50"/>
      <c r="U454" s="40"/>
      <c r="V454" s="40"/>
      <c r="W454" s="45" t="str">
        <f aca="false">IF(V454="","",EDATE(V454,Settings!$S$6))</f>
        <v/>
      </c>
      <c r="X454" s="17"/>
      <c r="Y454" s="17"/>
      <c r="Z454" s="17"/>
    </row>
    <row r="455" customFormat="false" ht="15" hidden="false" customHeight="false" outlineLevel="0" collapsed="false">
      <c r="A455" s="17"/>
      <c r="B455" s="17"/>
      <c r="C455" s="17"/>
      <c r="D455" s="17"/>
      <c r="E455" s="42"/>
      <c r="F455" s="17"/>
      <c r="G455" s="17"/>
      <c r="H455" s="17"/>
      <c r="I455" s="49" t="str">
        <f aca="false">IF(H455="","",IFERROR(INDEX(Settings!$G$2:$G$4,MATCH(H455,Settings!$F$2:$F$4,0)),""))</f>
        <v/>
      </c>
      <c r="J455" s="40"/>
      <c r="K455" s="50"/>
      <c r="L455" s="17"/>
      <c r="M455" s="40"/>
      <c r="N455" s="40"/>
      <c r="O455" s="45" t="str">
        <f aca="false">IF(N455="","",WORKDAY(N455,Settings!$S$4))</f>
        <v/>
      </c>
      <c r="P455" s="17"/>
      <c r="Q455" s="44" t="str">
        <f aca="true">IF(C455="","",IF(P455="Backed out",IF(S455="Paid","Refunded – closed",IF(R455="","Refund – log reason first","Refund in progress")),IF(K455="","Awaiting payment",IF(N455="",IF(M455="","Schedule free video","Free video in production"),IF(P455="Approved","Active",IF(TODAY()&gt;O455,"Active – plan went ahead","Decision pending – "&amp;NETWORKDAYS(TODAY(),O455)&amp;" working day(s) left"))))))</f>
        <v/>
      </c>
      <c r="R455" s="17"/>
      <c r="S455" s="17"/>
      <c r="T455" s="50"/>
      <c r="U455" s="40"/>
      <c r="V455" s="40"/>
      <c r="W455" s="45" t="str">
        <f aca="false">IF(V455="","",EDATE(V455,Settings!$S$6))</f>
        <v/>
      </c>
      <c r="X455" s="17"/>
      <c r="Y455" s="17"/>
      <c r="Z455" s="17"/>
    </row>
    <row r="456" customFormat="false" ht="15" hidden="false" customHeight="false" outlineLevel="0" collapsed="false">
      <c r="A456" s="17"/>
      <c r="B456" s="17"/>
      <c r="C456" s="17"/>
      <c r="D456" s="17"/>
      <c r="E456" s="42"/>
      <c r="F456" s="17"/>
      <c r="G456" s="17"/>
      <c r="H456" s="17"/>
      <c r="I456" s="49" t="str">
        <f aca="false">IF(H456="","",IFERROR(INDEX(Settings!$G$2:$G$4,MATCH(H456,Settings!$F$2:$F$4,0)),""))</f>
        <v/>
      </c>
      <c r="J456" s="40"/>
      <c r="K456" s="50"/>
      <c r="L456" s="17"/>
      <c r="M456" s="40"/>
      <c r="N456" s="40"/>
      <c r="O456" s="45" t="str">
        <f aca="false">IF(N456="","",WORKDAY(N456,Settings!$S$4))</f>
        <v/>
      </c>
      <c r="P456" s="17"/>
      <c r="Q456" s="44" t="str">
        <f aca="true">IF(C456="","",IF(P456="Backed out",IF(S456="Paid","Refunded – closed",IF(R456="","Refund – log reason first","Refund in progress")),IF(K456="","Awaiting payment",IF(N456="",IF(M456="","Schedule free video","Free video in production"),IF(P456="Approved","Active",IF(TODAY()&gt;O456,"Active – plan went ahead","Decision pending – "&amp;NETWORKDAYS(TODAY(),O456)&amp;" working day(s) left"))))))</f>
        <v/>
      </c>
      <c r="R456" s="17"/>
      <c r="S456" s="17"/>
      <c r="T456" s="50"/>
      <c r="U456" s="40"/>
      <c r="V456" s="40"/>
      <c r="W456" s="45" t="str">
        <f aca="false">IF(V456="","",EDATE(V456,Settings!$S$6))</f>
        <v/>
      </c>
      <c r="X456" s="17"/>
      <c r="Y456" s="17"/>
      <c r="Z456" s="17"/>
    </row>
    <row r="457" customFormat="false" ht="15" hidden="false" customHeight="false" outlineLevel="0" collapsed="false">
      <c r="A457" s="17"/>
      <c r="B457" s="17"/>
      <c r="C457" s="17"/>
      <c r="D457" s="17"/>
      <c r="E457" s="42"/>
      <c r="F457" s="17"/>
      <c r="G457" s="17"/>
      <c r="H457" s="17"/>
      <c r="I457" s="49" t="str">
        <f aca="false">IF(H457="","",IFERROR(INDEX(Settings!$G$2:$G$4,MATCH(H457,Settings!$F$2:$F$4,0)),""))</f>
        <v/>
      </c>
      <c r="J457" s="40"/>
      <c r="K457" s="50"/>
      <c r="L457" s="17"/>
      <c r="M457" s="40"/>
      <c r="N457" s="40"/>
      <c r="O457" s="45" t="str">
        <f aca="false">IF(N457="","",WORKDAY(N457,Settings!$S$4))</f>
        <v/>
      </c>
      <c r="P457" s="17"/>
      <c r="Q457" s="44" t="str">
        <f aca="true">IF(C457="","",IF(P457="Backed out",IF(S457="Paid","Refunded – closed",IF(R457="","Refund – log reason first","Refund in progress")),IF(K457="","Awaiting payment",IF(N457="",IF(M457="","Schedule free video","Free video in production"),IF(P457="Approved","Active",IF(TODAY()&gt;O457,"Active – plan went ahead","Decision pending – "&amp;NETWORKDAYS(TODAY(),O457)&amp;" working day(s) left"))))))</f>
        <v/>
      </c>
      <c r="R457" s="17"/>
      <c r="S457" s="17"/>
      <c r="T457" s="50"/>
      <c r="U457" s="40"/>
      <c r="V457" s="40"/>
      <c r="W457" s="45" t="str">
        <f aca="false">IF(V457="","",EDATE(V457,Settings!$S$6))</f>
        <v/>
      </c>
      <c r="X457" s="17"/>
      <c r="Y457" s="17"/>
      <c r="Z457" s="17"/>
    </row>
    <row r="458" customFormat="false" ht="15" hidden="false" customHeight="false" outlineLevel="0" collapsed="false">
      <c r="A458" s="17"/>
      <c r="B458" s="17"/>
      <c r="C458" s="17"/>
      <c r="D458" s="17"/>
      <c r="E458" s="42"/>
      <c r="F458" s="17"/>
      <c r="G458" s="17"/>
      <c r="H458" s="17"/>
      <c r="I458" s="49" t="str">
        <f aca="false">IF(H458="","",IFERROR(INDEX(Settings!$G$2:$G$4,MATCH(H458,Settings!$F$2:$F$4,0)),""))</f>
        <v/>
      </c>
      <c r="J458" s="40"/>
      <c r="K458" s="50"/>
      <c r="L458" s="17"/>
      <c r="M458" s="40"/>
      <c r="N458" s="40"/>
      <c r="O458" s="45" t="str">
        <f aca="false">IF(N458="","",WORKDAY(N458,Settings!$S$4))</f>
        <v/>
      </c>
      <c r="P458" s="17"/>
      <c r="Q458" s="44" t="str">
        <f aca="true">IF(C458="","",IF(P458="Backed out",IF(S458="Paid","Refunded – closed",IF(R458="","Refund – log reason first","Refund in progress")),IF(K458="","Awaiting payment",IF(N458="",IF(M458="","Schedule free video","Free video in production"),IF(P458="Approved","Active",IF(TODAY()&gt;O458,"Active – plan went ahead","Decision pending – "&amp;NETWORKDAYS(TODAY(),O458)&amp;" working day(s) left"))))))</f>
        <v/>
      </c>
      <c r="R458" s="17"/>
      <c r="S458" s="17"/>
      <c r="T458" s="50"/>
      <c r="U458" s="40"/>
      <c r="V458" s="40"/>
      <c r="W458" s="45" t="str">
        <f aca="false">IF(V458="","",EDATE(V458,Settings!$S$6))</f>
        <v/>
      </c>
      <c r="X458" s="17"/>
      <c r="Y458" s="17"/>
      <c r="Z458" s="17"/>
    </row>
    <row r="459" customFormat="false" ht="15" hidden="false" customHeight="false" outlineLevel="0" collapsed="false">
      <c r="A459" s="17"/>
      <c r="B459" s="17"/>
      <c r="C459" s="17"/>
      <c r="D459" s="17"/>
      <c r="E459" s="42"/>
      <c r="F459" s="17"/>
      <c r="G459" s="17"/>
      <c r="H459" s="17"/>
      <c r="I459" s="49" t="str">
        <f aca="false">IF(H459="","",IFERROR(INDEX(Settings!$G$2:$G$4,MATCH(H459,Settings!$F$2:$F$4,0)),""))</f>
        <v/>
      </c>
      <c r="J459" s="40"/>
      <c r="K459" s="50"/>
      <c r="L459" s="17"/>
      <c r="M459" s="40"/>
      <c r="N459" s="40"/>
      <c r="O459" s="45" t="str">
        <f aca="false">IF(N459="","",WORKDAY(N459,Settings!$S$4))</f>
        <v/>
      </c>
      <c r="P459" s="17"/>
      <c r="Q459" s="44" t="str">
        <f aca="true">IF(C459="","",IF(P459="Backed out",IF(S459="Paid","Refunded – closed",IF(R459="","Refund – log reason first","Refund in progress")),IF(K459="","Awaiting payment",IF(N459="",IF(M459="","Schedule free video","Free video in production"),IF(P459="Approved","Active",IF(TODAY()&gt;O459,"Active – plan went ahead","Decision pending – "&amp;NETWORKDAYS(TODAY(),O459)&amp;" working day(s) left"))))))</f>
        <v/>
      </c>
      <c r="R459" s="17"/>
      <c r="S459" s="17"/>
      <c r="T459" s="50"/>
      <c r="U459" s="40"/>
      <c r="V459" s="40"/>
      <c r="W459" s="45" t="str">
        <f aca="false">IF(V459="","",EDATE(V459,Settings!$S$6))</f>
        <v/>
      </c>
      <c r="X459" s="17"/>
      <c r="Y459" s="17"/>
      <c r="Z459" s="17"/>
    </row>
    <row r="460" customFormat="false" ht="15" hidden="false" customHeight="false" outlineLevel="0" collapsed="false">
      <c r="A460" s="17"/>
      <c r="B460" s="17"/>
      <c r="C460" s="17"/>
      <c r="D460" s="17"/>
      <c r="E460" s="42"/>
      <c r="F460" s="17"/>
      <c r="G460" s="17"/>
      <c r="H460" s="17"/>
      <c r="I460" s="49" t="str">
        <f aca="false">IF(H460="","",IFERROR(INDEX(Settings!$G$2:$G$4,MATCH(H460,Settings!$F$2:$F$4,0)),""))</f>
        <v/>
      </c>
      <c r="J460" s="40"/>
      <c r="K460" s="50"/>
      <c r="L460" s="17"/>
      <c r="M460" s="40"/>
      <c r="N460" s="40"/>
      <c r="O460" s="45" t="str">
        <f aca="false">IF(N460="","",WORKDAY(N460,Settings!$S$4))</f>
        <v/>
      </c>
      <c r="P460" s="17"/>
      <c r="Q460" s="44" t="str">
        <f aca="true">IF(C460="","",IF(P460="Backed out",IF(S460="Paid","Refunded – closed",IF(R460="","Refund – log reason first","Refund in progress")),IF(K460="","Awaiting payment",IF(N460="",IF(M460="","Schedule free video","Free video in production"),IF(P460="Approved","Active",IF(TODAY()&gt;O460,"Active – plan went ahead","Decision pending – "&amp;NETWORKDAYS(TODAY(),O460)&amp;" working day(s) left"))))))</f>
        <v/>
      </c>
      <c r="R460" s="17"/>
      <c r="S460" s="17"/>
      <c r="T460" s="50"/>
      <c r="U460" s="40"/>
      <c r="V460" s="40"/>
      <c r="W460" s="45" t="str">
        <f aca="false">IF(V460="","",EDATE(V460,Settings!$S$6))</f>
        <v/>
      </c>
      <c r="X460" s="17"/>
      <c r="Y460" s="17"/>
      <c r="Z460" s="17"/>
    </row>
    <row r="461" customFormat="false" ht="15" hidden="false" customHeight="false" outlineLevel="0" collapsed="false">
      <c r="A461" s="17"/>
      <c r="B461" s="17"/>
      <c r="C461" s="17"/>
      <c r="D461" s="17"/>
      <c r="E461" s="42"/>
      <c r="F461" s="17"/>
      <c r="G461" s="17"/>
      <c r="H461" s="17"/>
      <c r="I461" s="49" t="str">
        <f aca="false">IF(H461="","",IFERROR(INDEX(Settings!$G$2:$G$4,MATCH(H461,Settings!$F$2:$F$4,0)),""))</f>
        <v/>
      </c>
      <c r="J461" s="40"/>
      <c r="K461" s="50"/>
      <c r="L461" s="17"/>
      <c r="M461" s="40"/>
      <c r="N461" s="40"/>
      <c r="O461" s="45" t="str">
        <f aca="false">IF(N461="","",WORKDAY(N461,Settings!$S$4))</f>
        <v/>
      </c>
      <c r="P461" s="17"/>
      <c r="Q461" s="44" t="str">
        <f aca="true">IF(C461="","",IF(P461="Backed out",IF(S461="Paid","Refunded – closed",IF(R461="","Refund – log reason first","Refund in progress")),IF(K461="","Awaiting payment",IF(N461="",IF(M461="","Schedule free video","Free video in production"),IF(P461="Approved","Active",IF(TODAY()&gt;O461,"Active – plan went ahead","Decision pending – "&amp;NETWORKDAYS(TODAY(),O461)&amp;" working day(s) left"))))))</f>
        <v/>
      </c>
      <c r="R461" s="17"/>
      <c r="S461" s="17"/>
      <c r="T461" s="50"/>
      <c r="U461" s="40"/>
      <c r="V461" s="40"/>
      <c r="W461" s="45" t="str">
        <f aca="false">IF(V461="","",EDATE(V461,Settings!$S$6))</f>
        <v/>
      </c>
      <c r="X461" s="17"/>
      <c r="Y461" s="17"/>
      <c r="Z461" s="17"/>
    </row>
    <row r="462" customFormat="false" ht="15" hidden="false" customHeight="false" outlineLevel="0" collapsed="false">
      <c r="A462" s="17"/>
      <c r="B462" s="17"/>
      <c r="C462" s="17"/>
      <c r="D462" s="17"/>
      <c r="E462" s="42"/>
      <c r="F462" s="17"/>
      <c r="G462" s="17"/>
      <c r="H462" s="17"/>
      <c r="I462" s="49" t="str">
        <f aca="false">IF(H462="","",IFERROR(INDEX(Settings!$G$2:$G$4,MATCH(H462,Settings!$F$2:$F$4,0)),""))</f>
        <v/>
      </c>
      <c r="J462" s="40"/>
      <c r="K462" s="50"/>
      <c r="L462" s="17"/>
      <c r="M462" s="40"/>
      <c r="N462" s="40"/>
      <c r="O462" s="45" t="str">
        <f aca="false">IF(N462="","",WORKDAY(N462,Settings!$S$4))</f>
        <v/>
      </c>
      <c r="P462" s="17"/>
      <c r="Q462" s="44" t="str">
        <f aca="true">IF(C462="","",IF(P462="Backed out",IF(S462="Paid","Refunded – closed",IF(R462="","Refund – log reason first","Refund in progress")),IF(K462="","Awaiting payment",IF(N462="",IF(M462="","Schedule free video","Free video in production"),IF(P462="Approved","Active",IF(TODAY()&gt;O462,"Active – plan went ahead","Decision pending – "&amp;NETWORKDAYS(TODAY(),O462)&amp;" working day(s) left"))))))</f>
        <v/>
      </c>
      <c r="R462" s="17"/>
      <c r="S462" s="17"/>
      <c r="T462" s="50"/>
      <c r="U462" s="40"/>
      <c r="V462" s="40"/>
      <c r="W462" s="45" t="str">
        <f aca="false">IF(V462="","",EDATE(V462,Settings!$S$6))</f>
        <v/>
      </c>
      <c r="X462" s="17"/>
      <c r="Y462" s="17"/>
      <c r="Z462" s="17"/>
    </row>
    <row r="463" customFormat="false" ht="15" hidden="false" customHeight="false" outlineLevel="0" collapsed="false">
      <c r="A463" s="17"/>
      <c r="B463" s="17"/>
      <c r="C463" s="17"/>
      <c r="D463" s="17"/>
      <c r="E463" s="42"/>
      <c r="F463" s="17"/>
      <c r="G463" s="17"/>
      <c r="H463" s="17"/>
      <c r="I463" s="49" t="str">
        <f aca="false">IF(H463="","",IFERROR(INDEX(Settings!$G$2:$G$4,MATCH(H463,Settings!$F$2:$F$4,0)),""))</f>
        <v/>
      </c>
      <c r="J463" s="40"/>
      <c r="K463" s="50"/>
      <c r="L463" s="17"/>
      <c r="M463" s="40"/>
      <c r="N463" s="40"/>
      <c r="O463" s="45" t="str">
        <f aca="false">IF(N463="","",WORKDAY(N463,Settings!$S$4))</f>
        <v/>
      </c>
      <c r="P463" s="17"/>
      <c r="Q463" s="44" t="str">
        <f aca="true">IF(C463="","",IF(P463="Backed out",IF(S463="Paid","Refunded – closed",IF(R463="","Refund – log reason first","Refund in progress")),IF(K463="","Awaiting payment",IF(N463="",IF(M463="","Schedule free video","Free video in production"),IF(P463="Approved","Active",IF(TODAY()&gt;O463,"Active – plan went ahead","Decision pending – "&amp;NETWORKDAYS(TODAY(),O463)&amp;" working day(s) left"))))))</f>
        <v/>
      </c>
      <c r="R463" s="17"/>
      <c r="S463" s="17"/>
      <c r="T463" s="50"/>
      <c r="U463" s="40"/>
      <c r="V463" s="40"/>
      <c r="W463" s="45" t="str">
        <f aca="false">IF(V463="","",EDATE(V463,Settings!$S$6))</f>
        <v/>
      </c>
      <c r="X463" s="17"/>
      <c r="Y463" s="17"/>
      <c r="Z463" s="17"/>
    </row>
    <row r="464" customFormat="false" ht="15" hidden="false" customHeight="false" outlineLevel="0" collapsed="false">
      <c r="A464" s="17"/>
      <c r="B464" s="17"/>
      <c r="C464" s="17"/>
      <c r="D464" s="17"/>
      <c r="E464" s="42"/>
      <c r="F464" s="17"/>
      <c r="G464" s="17"/>
      <c r="H464" s="17"/>
      <c r="I464" s="49" t="str">
        <f aca="false">IF(H464="","",IFERROR(INDEX(Settings!$G$2:$G$4,MATCH(H464,Settings!$F$2:$F$4,0)),""))</f>
        <v/>
      </c>
      <c r="J464" s="40"/>
      <c r="K464" s="50"/>
      <c r="L464" s="17"/>
      <c r="M464" s="40"/>
      <c r="N464" s="40"/>
      <c r="O464" s="45" t="str">
        <f aca="false">IF(N464="","",WORKDAY(N464,Settings!$S$4))</f>
        <v/>
      </c>
      <c r="P464" s="17"/>
      <c r="Q464" s="44" t="str">
        <f aca="true">IF(C464="","",IF(P464="Backed out",IF(S464="Paid","Refunded – closed",IF(R464="","Refund – log reason first","Refund in progress")),IF(K464="","Awaiting payment",IF(N464="",IF(M464="","Schedule free video","Free video in production"),IF(P464="Approved","Active",IF(TODAY()&gt;O464,"Active – plan went ahead","Decision pending – "&amp;NETWORKDAYS(TODAY(),O464)&amp;" working day(s) left"))))))</f>
        <v/>
      </c>
      <c r="R464" s="17"/>
      <c r="S464" s="17"/>
      <c r="T464" s="50"/>
      <c r="U464" s="40"/>
      <c r="V464" s="40"/>
      <c r="W464" s="45" t="str">
        <f aca="false">IF(V464="","",EDATE(V464,Settings!$S$6))</f>
        <v/>
      </c>
      <c r="X464" s="17"/>
      <c r="Y464" s="17"/>
      <c r="Z464" s="17"/>
    </row>
    <row r="465" customFormat="false" ht="15" hidden="false" customHeight="false" outlineLevel="0" collapsed="false">
      <c r="A465" s="17"/>
      <c r="B465" s="17"/>
      <c r="C465" s="17"/>
      <c r="D465" s="17"/>
      <c r="E465" s="42"/>
      <c r="F465" s="17"/>
      <c r="G465" s="17"/>
      <c r="H465" s="17"/>
      <c r="I465" s="49" t="str">
        <f aca="false">IF(H465="","",IFERROR(INDEX(Settings!$G$2:$G$4,MATCH(H465,Settings!$F$2:$F$4,0)),""))</f>
        <v/>
      </c>
      <c r="J465" s="40"/>
      <c r="K465" s="50"/>
      <c r="L465" s="17"/>
      <c r="M465" s="40"/>
      <c r="N465" s="40"/>
      <c r="O465" s="45" t="str">
        <f aca="false">IF(N465="","",WORKDAY(N465,Settings!$S$4))</f>
        <v/>
      </c>
      <c r="P465" s="17"/>
      <c r="Q465" s="44" t="str">
        <f aca="true">IF(C465="","",IF(P465="Backed out",IF(S465="Paid","Refunded – closed",IF(R465="","Refund – log reason first","Refund in progress")),IF(K465="","Awaiting payment",IF(N465="",IF(M465="","Schedule free video","Free video in production"),IF(P465="Approved","Active",IF(TODAY()&gt;O465,"Active – plan went ahead","Decision pending – "&amp;NETWORKDAYS(TODAY(),O465)&amp;" working day(s) left"))))))</f>
        <v/>
      </c>
      <c r="R465" s="17"/>
      <c r="S465" s="17"/>
      <c r="T465" s="50"/>
      <c r="U465" s="40"/>
      <c r="V465" s="40"/>
      <c r="W465" s="45" t="str">
        <f aca="false">IF(V465="","",EDATE(V465,Settings!$S$6))</f>
        <v/>
      </c>
      <c r="X465" s="17"/>
      <c r="Y465" s="17"/>
      <c r="Z465" s="17"/>
    </row>
    <row r="466" customFormat="false" ht="15" hidden="false" customHeight="false" outlineLevel="0" collapsed="false">
      <c r="A466" s="17"/>
      <c r="B466" s="17"/>
      <c r="C466" s="17"/>
      <c r="D466" s="17"/>
      <c r="E466" s="42"/>
      <c r="F466" s="17"/>
      <c r="G466" s="17"/>
      <c r="H466" s="17"/>
      <c r="I466" s="49" t="str">
        <f aca="false">IF(H466="","",IFERROR(INDEX(Settings!$G$2:$G$4,MATCH(H466,Settings!$F$2:$F$4,0)),""))</f>
        <v/>
      </c>
      <c r="J466" s="40"/>
      <c r="K466" s="50"/>
      <c r="L466" s="17"/>
      <c r="M466" s="40"/>
      <c r="N466" s="40"/>
      <c r="O466" s="45" t="str">
        <f aca="false">IF(N466="","",WORKDAY(N466,Settings!$S$4))</f>
        <v/>
      </c>
      <c r="P466" s="17"/>
      <c r="Q466" s="44" t="str">
        <f aca="true">IF(C466="","",IF(P466="Backed out",IF(S466="Paid","Refunded – closed",IF(R466="","Refund – log reason first","Refund in progress")),IF(K466="","Awaiting payment",IF(N466="",IF(M466="","Schedule free video","Free video in production"),IF(P466="Approved","Active",IF(TODAY()&gt;O466,"Active – plan went ahead","Decision pending – "&amp;NETWORKDAYS(TODAY(),O466)&amp;" working day(s) left"))))))</f>
        <v/>
      </c>
      <c r="R466" s="17"/>
      <c r="S466" s="17"/>
      <c r="T466" s="50"/>
      <c r="U466" s="40"/>
      <c r="V466" s="40"/>
      <c r="W466" s="45" t="str">
        <f aca="false">IF(V466="","",EDATE(V466,Settings!$S$6))</f>
        <v/>
      </c>
      <c r="X466" s="17"/>
      <c r="Y466" s="17"/>
      <c r="Z466" s="17"/>
    </row>
    <row r="467" customFormat="false" ht="15" hidden="false" customHeight="false" outlineLevel="0" collapsed="false">
      <c r="A467" s="17"/>
      <c r="B467" s="17"/>
      <c r="C467" s="17"/>
      <c r="D467" s="17"/>
      <c r="E467" s="42"/>
      <c r="F467" s="17"/>
      <c r="G467" s="17"/>
      <c r="H467" s="17"/>
      <c r="I467" s="49" t="str">
        <f aca="false">IF(H467="","",IFERROR(INDEX(Settings!$G$2:$G$4,MATCH(H467,Settings!$F$2:$F$4,0)),""))</f>
        <v/>
      </c>
      <c r="J467" s="40"/>
      <c r="K467" s="50"/>
      <c r="L467" s="17"/>
      <c r="M467" s="40"/>
      <c r="N467" s="40"/>
      <c r="O467" s="45" t="str">
        <f aca="false">IF(N467="","",WORKDAY(N467,Settings!$S$4))</f>
        <v/>
      </c>
      <c r="P467" s="17"/>
      <c r="Q467" s="44" t="str">
        <f aca="true">IF(C467="","",IF(P467="Backed out",IF(S467="Paid","Refunded – closed",IF(R467="","Refund – log reason first","Refund in progress")),IF(K467="","Awaiting payment",IF(N467="",IF(M467="","Schedule free video","Free video in production"),IF(P467="Approved","Active",IF(TODAY()&gt;O467,"Active – plan went ahead","Decision pending – "&amp;NETWORKDAYS(TODAY(),O467)&amp;" working day(s) left"))))))</f>
        <v/>
      </c>
      <c r="R467" s="17"/>
      <c r="S467" s="17"/>
      <c r="T467" s="50"/>
      <c r="U467" s="40"/>
      <c r="V467" s="40"/>
      <c r="W467" s="45" t="str">
        <f aca="false">IF(V467="","",EDATE(V467,Settings!$S$6))</f>
        <v/>
      </c>
      <c r="X467" s="17"/>
      <c r="Y467" s="17"/>
      <c r="Z467" s="17"/>
    </row>
    <row r="468" customFormat="false" ht="15" hidden="false" customHeight="false" outlineLevel="0" collapsed="false">
      <c r="A468" s="17"/>
      <c r="B468" s="17"/>
      <c r="C468" s="17"/>
      <c r="D468" s="17"/>
      <c r="E468" s="42"/>
      <c r="F468" s="17"/>
      <c r="G468" s="17"/>
      <c r="H468" s="17"/>
      <c r="I468" s="49" t="str">
        <f aca="false">IF(H468="","",IFERROR(INDEX(Settings!$G$2:$G$4,MATCH(H468,Settings!$F$2:$F$4,0)),""))</f>
        <v/>
      </c>
      <c r="J468" s="40"/>
      <c r="K468" s="50"/>
      <c r="L468" s="17"/>
      <c r="M468" s="40"/>
      <c r="N468" s="40"/>
      <c r="O468" s="45" t="str">
        <f aca="false">IF(N468="","",WORKDAY(N468,Settings!$S$4))</f>
        <v/>
      </c>
      <c r="P468" s="17"/>
      <c r="Q468" s="44" t="str">
        <f aca="true">IF(C468="","",IF(P468="Backed out",IF(S468="Paid","Refunded – closed",IF(R468="","Refund – log reason first","Refund in progress")),IF(K468="","Awaiting payment",IF(N468="",IF(M468="","Schedule free video","Free video in production"),IF(P468="Approved","Active",IF(TODAY()&gt;O468,"Active – plan went ahead","Decision pending – "&amp;NETWORKDAYS(TODAY(),O468)&amp;" working day(s) left"))))))</f>
        <v/>
      </c>
      <c r="R468" s="17"/>
      <c r="S468" s="17"/>
      <c r="T468" s="50"/>
      <c r="U468" s="40"/>
      <c r="V468" s="40"/>
      <c r="W468" s="45" t="str">
        <f aca="false">IF(V468="","",EDATE(V468,Settings!$S$6))</f>
        <v/>
      </c>
      <c r="X468" s="17"/>
      <c r="Y468" s="17"/>
      <c r="Z468" s="17"/>
    </row>
    <row r="469" customFormat="false" ht="15" hidden="false" customHeight="false" outlineLevel="0" collapsed="false">
      <c r="A469" s="17"/>
      <c r="B469" s="17"/>
      <c r="C469" s="17"/>
      <c r="D469" s="17"/>
      <c r="E469" s="42"/>
      <c r="F469" s="17"/>
      <c r="G469" s="17"/>
      <c r="H469" s="17"/>
      <c r="I469" s="49" t="str">
        <f aca="false">IF(H469="","",IFERROR(INDEX(Settings!$G$2:$G$4,MATCH(H469,Settings!$F$2:$F$4,0)),""))</f>
        <v/>
      </c>
      <c r="J469" s="40"/>
      <c r="K469" s="50"/>
      <c r="L469" s="17"/>
      <c r="M469" s="40"/>
      <c r="N469" s="40"/>
      <c r="O469" s="45" t="str">
        <f aca="false">IF(N469="","",WORKDAY(N469,Settings!$S$4))</f>
        <v/>
      </c>
      <c r="P469" s="17"/>
      <c r="Q469" s="44" t="str">
        <f aca="true">IF(C469="","",IF(P469="Backed out",IF(S469="Paid","Refunded – closed",IF(R469="","Refund – log reason first","Refund in progress")),IF(K469="","Awaiting payment",IF(N469="",IF(M469="","Schedule free video","Free video in production"),IF(P469="Approved","Active",IF(TODAY()&gt;O469,"Active – plan went ahead","Decision pending – "&amp;NETWORKDAYS(TODAY(),O469)&amp;" working day(s) left"))))))</f>
        <v/>
      </c>
      <c r="R469" s="17"/>
      <c r="S469" s="17"/>
      <c r="T469" s="50"/>
      <c r="U469" s="40"/>
      <c r="V469" s="40"/>
      <c r="W469" s="45" t="str">
        <f aca="false">IF(V469="","",EDATE(V469,Settings!$S$6))</f>
        <v/>
      </c>
      <c r="X469" s="17"/>
      <c r="Y469" s="17"/>
      <c r="Z469" s="17"/>
    </row>
    <row r="470" customFormat="false" ht="15" hidden="false" customHeight="false" outlineLevel="0" collapsed="false">
      <c r="A470" s="17"/>
      <c r="B470" s="17"/>
      <c r="C470" s="17"/>
      <c r="D470" s="17"/>
      <c r="E470" s="42"/>
      <c r="F470" s="17"/>
      <c r="G470" s="17"/>
      <c r="H470" s="17"/>
      <c r="I470" s="49" t="str">
        <f aca="false">IF(H470="","",IFERROR(INDEX(Settings!$G$2:$G$4,MATCH(H470,Settings!$F$2:$F$4,0)),""))</f>
        <v/>
      </c>
      <c r="J470" s="40"/>
      <c r="K470" s="50"/>
      <c r="L470" s="17"/>
      <c r="M470" s="40"/>
      <c r="N470" s="40"/>
      <c r="O470" s="45" t="str">
        <f aca="false">IF(N470="","",WORKDAY(N470,Settings!$S$4))</f>
        <v/>
      </c>
      <c r="P470" s="17"/>
      <c r="Q470" s="44" t="str">
        <f aca="true">IF(C470="","",IF(P470="Backed out",IF(S470="Paid","Refunded – closed",IF(R470="","Refund – log reason first","Refund in progress")),IF(K470="","Awaiting payment",IF(N470="",IF(M470="","Schedule free video","Free video in production"),IF(P470="Approved","Active",IF(TODAY()&gt;O470,"Active – plan went ahead","Decision pending – "&amp;NETWORKDAYS(TODAY(),O470)&amp;" working day(s) left"))))))</f>
        <v/>
      </c>
      <c r="R470" s="17"/>
      <c r="S470" s="17"/>
      <c r="T470" s="50"/>
      <c r="U470" s="40"/>
      <c r="V470" s="40"/>
      <c r="W470" s="45" t="str">
        <f aca="false">IF(V470="","",EDATE(V470,Settings!$S$6))</f>
        <v/>
      </c>
      <c r="X470" s="17"/>
      <c r="Y470" s="17"/>
      <c r="Z470" s="17"/>
    </row>
    <row r="471" customFormat="false" ht="15" hidden="false" customHeight="false" outlineLevel="0" collapsed="false">
      <c r="A471" s="17"/>
      <c r="B471" s="17"/>
      <c r="C471" s="17"/>
      <c r="D471" s="17"/>
      <c r="E471" s="42"/>
      <c r="F471" s="17"/>
      <c r="G471" s="17"/>
      <c r="H471" s="17"/>
      <c r="I471" s="49" t="str">
        <f aca="false">IF(H471="","",IFERROR(INDEX(Settings!$G$2:$G$4,MATCH(H471,Settings!$F$2:$F$4,0)),""))</f>
        <v/>
      </c>
      <c r="J471" s="40"/>
      <c r="K471" s="50"/>
      <c r="L471" s="17"/>
      <c r="M471" s="40"/>
      <c r="N471" s="40"/>
      <c r="O471" s="45" t="str">
        <f aca="false">IF(N471="","",WORKDAY(N471,Settings!$S$4))</f>
        <v/>
      </c>
      <c r="P471" s="17"/>
      <c r="Q471" s="44" t="str">
        <f aca="true">IF(C471="","",IF(P471="Backed out",IF(S471="Paid","Refunded – closed",IF(R471="","Refund – log reason first","Refund in progress")),IF(K471="","Awaiting payment",IF(N471="",IF(M471="","Schedule free video","Free video in production"),IF(P471="Approved","Active",IF(TODAY()&gt;O471,"Active – plan went ahead","Decision pending – "&amp;NETWORKDAYS(TODAY(),O471)&amp;" working day(s) left"))))))</f>
        <v/>
      </c>
      <c r="R471" s="17"/>
      <c r="S471" s="17"/>
      <c r="T471" s="50"/>
      <c r="U471" s="40"/>
      <c r="V471" s="40"/>
      <c r="W471" s="45" t="str">
        <f aca="false">IF(V471="","",EDATE(V471,Settings!$S$6))</f>
        <v/>
      </c>
      <c r="X471" s="17"/>
      <c r="Y471" s="17"/>
      <c r="Z471" s="17"/>
    </row>
    <row r="472" customFormat="false" ht="15" hidden="false" customHeight="false" outlineLevel="0" collapsed="false">
      <c r="A472" s="17"/>
      <c r="B472" s="17"/>
      <c r="C472" s="17"/>
      <c r="D472" s="17"/>
      <c r="E472" s="42"/>
      <c r="F472" s="17"/>
      <c r="G472" s="17"/>
      <c r="H472" s="17"/>
      <c r="I472" s="49" t="str">
        <f aca="false">IF(H472="","",IFERROR(INDEX(Settings!$G$2:$G$4,MATCH(H472,Settings!$F$2:$F$4,0)),""))</f>
        <v/>
      </c>
      <c r="J472" s="40"/>
      <c r="K472" s="50"/>
      <c r="L472" s="17"/>
      <c r="M472" s="40"/>
      <c r="N472" s="40"/>
      <c r="O472" s="45" t="str">
        <f aca="false">IF(N472="","",WORKDAY(N472,Settings!$S$4))</f>
        <v/>
      </c>
      <c r="P472" s="17"/>
      <c r="Q472" s="44" t="str">
        <f aca="true">IF(C472="","",IF(P472="Backed out",IF(S472="Paid","Refunded – closed",IF(R472="","Refund – log reason first","Refund in progress")),IF(K472="","Awaiting payment",IF(N472="",IF(M472="","Schedule free video","Free video in production"),IF(P472="Approved","Active",IF(TODAY()&gt;O472,"Active – plan went ahead","Decision pending – "&amp;NETWORKDAYS(TODAY(),O472)&amp;" working day(s) left"))))))</f>
        <v/>
      </c>
      <c r="R472" s="17"/>
      <c r="S472" s="17"/>
      <c r="T472" s="50"/>
      <c r="U472" s="40"/>
      <c r="V472" s="40"/>
      <c r="W472" s="45" t="str">
        <f aca="false">IF(V472="","",EDATE(V472,Settings!$S$6))</f>
        <v/>
      </c>
      <c r="X472" s="17"/>
      <c r="Y472" s="17"/>
      <c r="Z472" s="17"/>
    </row>
    <row r="473" customFormat="false" ht="15" hidden="false" customHeight="false" outlineLevel="0" collapsed="false">
      <c r="A473" s="17"/>
      <c r="B473" s="17"/>
      <c r="C473" s="17"/>
      <c r="D473" s="17"/>
      <c r="E473" s="42"/>
      <c r="F473" s="17"/>
      <c r="G473" s="17"/>
      <c r="H473" s="17"/>
      <c r="I473" s="49" t="str">
        <f aca="false">IF(H473="","",IFERROR(INDEX(Settings!$G$2:$G$4,MATCH(H473,Settings!$F$2:$F$4,0)),""))</f>
        <v/>
      </c>
      <c r="J473" s="40"/>
      <c r="K473" s="50"/>
      <c r="L473" s="17"/>
      <c r="M473" s="40"/>
      <c r="N473" s="40"/>
      <c r="O473" s="45" t="str">
        <f aca="false">IF(N473="","",WORKDAY(N473,Settings!$S$4))</f>
        <v/>
      </c>
      <c r="P473" s="17"/>
      <c r="Q473" s="44" t="str">
        <f aca="true">IF(C473="","",IF(P473="Backed out",IF(S473="Paid","Refunded – closed",IF(R473="","Refund – log reason first","Refund in progress")),IF(K473="","Awaiting payment",IF(N473="",IF(M473="","Schedule free video","Free video in production"),IF(P473="Approved","Active",IF(TODAY()&gt;O473,"Active – plan went ahead","Decision pending – "&amp;NETWORKDAYS(TODAY(),O473)&amp;" working day(s) left"))))))</f>
        <v/>
      </c>
      <c r="R473" s="17"/>
      <c r="S473" s="17"/>
      <c r="T473" s="50"/>
      <c r="U473" s="40"/>
      <c r="V473" s="40"/>
      <c r="W473" s="45" t="str">
        <f aca="false">IF(V473="","",EDATE(V473,Settings!$S$6))</f>
        <v/>
      </c>
      <c r="X473" s="17"/>
      <c r="Y473" s="17"/>
      <c r="Z473" s="17"/>
    </row>
    <row r="474" customFormat="false" ht="15" hidden="false" customHeight="false" outlineLevel="0" collapsed="false">
      <c r="A474" s="17"/>
      <c r="B474" s="17"/>
      <c r="C474" s="17"/>
      <c r="D474" s="17"/>
      <c r="E474" s="42"/>
      <c r="F474" s="17"/>
      <c r="G474" s="17"/>
      <c r="H474" s="17"/>
      <c r="I474" s="49" t="str">
        <f aca="false">IF(H474="","",IFERROR(INDEX(Settings!$G$2:$G$4,MATCH(H474,Settings!$F$2:$F$4,0)),""))</f>
        <v/>
      </c>
      <c r="J474" s="40"/>
      <c r="K474" s="50"/>
      <c r="L474" s="17"/>
      <c r="M474" s="40"/>
      <c r="N474" s="40"/>
      <c r="O474" s="45" t="str">
        <f aca="false">IF(N474="","",WORKDAY(N474,Settings!$S$4))</f>
        <v/>
      </c>
      <c r="P474" s="17"/>
      <c r="Q474" s="44" t="str">
        <f aca="true">IF(C474="","",IF(P474="Backed out",IF(S474="Paid","Refunded – closed",IF(R474="","Refund – log reason first","Refund in progress")),IF(K474="","Awaiting payment",IF(N474="",IF(M474="","Schedule free video","Free video in production"),IF(P474="Approved","Active",IF(TODAY()&gt;O474,"Active – plan went ahead","Decision pending – "&amp;NETWORKDAYS(TODAY(),O474)&amp;" working day(s) left"))))))</f>
        <v/>
      </c>
      <c r="R474" s="17"/>
      <c r="S474" s="17"/>
      <c r="T474" s="50"/>
      <c r="U474" s="40"/>
      <c r="V474" s="40"/>
      <c r="W474" s="45" t="str">
        <f aca="false">IF(V474="","",EDATE(V474,Settings!$S$6))</f>
        <v/>
      </c>
      <c r="X474" s="17"/>
      <c r="Y474" s="17"/>
      <c r="Z474" s="17"/>
    </row>
    <row r="475" customFormat="false" ht="15" hidden="false" customHeight="false" outlineLevel="0" collapsed="false">
      <c r="A475" s="17"/>
      <c r="B475" s="17"/>
      <c r="C475" s="17"/>
      <c r="D475" s="17"/>
      <c r="E475" s="42"/>
      <c r="F475" s="17"/>
      <c r="G475" s="17"/>
      <c r="H475" s="17"/>
      <c r="I475" s="49" t="str">
        <f aca="false">IF(H475="","",IFERROR(INDEX(Settings!$G$2:$G$4,MATCH(H475,Settings!$F$2:$F$4,0)),""))</f>
        <v/>
      </c>
      <c r="J475" s="40"/>
      <c r="K475" s="50"/>
      <c r="L475" s="17"/>
      <c r="M475" s="40"/>
      <c r="N475" s="40"/>
      <c r="O475" s="45" t="str">
        <f aca="false">IF(N475="","",WORKDAY(N475,Settings!$S$4))</f>
        <v/>
      </c>
      <c r="P475" s="17"/>
      <c r="Q475" s="44" t="str">
        <f aca="true">IF(C475="","",IF(P475="Backed out",IF(S475="Paid","Refunded – closed",IF(R475="","Refund – log reason first","Refund in progress")),IF(K475="","Awaiting payment",IF(N475="",IF(M475="","Schedule free video","Free video in production"),IF(P475="Approved","Active",IF(TODAY()&gt;O475,"Active – plan went ahead","Decision pending – "&amp;NETWORKDAYS(TODAY(),O475)&amp;" working day(s) left"))))))</f>
        <v/>
      </c>
      <c r="R475" s="17"/>
      <c r="S475" s="17"/>
      <c r="T475" s="50"/>
      <c r="U475" s="40"/>
      <c r="V475" s="40"/>
      <c r="W475" s="45" t="str">
        <f aca="false">IF(V475="","",EDATE(V475,Settings!$S$6))</f>
        <v/>
      </c>
      <c r="X475" s="17"/>
      <c r="Y475" s="17"/>
      <c r="Z475" s="17"/>
    </row>
    <row r="476" customFormat="false" ht="15" hidden="false" customHeight="false" outlineLevel="0" collapsed="false">
      <c r="A476" s="17"/>
      <c r="B476" s="17"/>
      <c r="C476" s="17"/>
      <c r="D476" s="17"/>
      <c r="E476" s="42"/>
      <c r="F476" s="17"/>
      <c r="G476" s="17"/>
      <c r="H476" s="17"/>
      <c r="I476" s="49" t="str">
        <f aca="false">IF(H476="","",IFERROR(INDEX(Settings!$G$2:$G$4,MATCH(H476,Settings!$F$2:$F$4,0)),""))</f>
        <v/>
      </c>
      <c r="J476" s="40"/>
      <c r="K476" s="50"/>
      <c r="L476" s="17"/>
      <c r="M476" s="40"/>
      <c r="N476" s="40"/>
      <c r="O476" s="45" t="str">
        <f aca="false">IF(N476="","",WORKDAY(N476,Settings!$S$4))</f>
        <v/>
      </c>
      <c r="P476" s="17"/>
      <c r="Q476" s="44" t="str">
        <f aca="true">IF(C476="","",IF(P476="Backed out",IF(S476="Paid","Refunded – closed",IF(R476="","Refund – log reason first","Refund in progress")),IF(K476="","Awaiting payment",IF(N476="",IF(M476="","Schedule free video","Free video in production"),IF(P476="Approved","Active",IF(TODAY()&gt;O476,"Active – plan went ahead","Decision pending – "&amp;NETWORKDAYS(TODAY(),O476)&amp;" working day(s) left"))))))</f>
        <v/>
      </c>
      <c r="R476" s="17"/>
      <c r="S476" s="17"/>
      <c r="T476" s="50"/>
      <c r="U476" s="40"/>
      <c r="V476" s="40"/>
      <c r="W476" s="45" t="str">
        <f aca="false">IF(V476="","",EDATE(V476,Settings!$S$6))</f>
        <v/>
      </c>
      <c r="X476" s="17"/>
      <c r="Y476" s="17"/>
      <c r="Z476" s="17"/>
    </row>
    <row r="477" customFormat="false" ht="15" hidden="false" customHeight="false" outlineLevel="0" collapsed="false">
      <c r="A477" s="17"/>
      <c r="B477" s="17"/>
      <c r="C477" s="17"/>
      <c r="D477" s="17"/>
      <c r="E477" s="42"/>
      <c r="F477" s="17"/>
      <c r="G477" s="17"/>
      <c r="H477" s="17"/>
      <c r="I477" s="49" t="str">
        <f aca="false">IF(H477="","",IFERROR(INDEX(Settings!$G$2:$G$4,MATCH(H477,Settings!$F$2:$F$4,0)),""))</f>
        <v/>
      </c>
      <c r="J477" s="40"/>
      <c r="K477" s="50"/>
      <c r="L477" s="17"/>
      <c r="M477" s="40"/>
      <c r="N477" s="40"/>
      <c r="O477" s="45" t="str">
        <f aca="false">IF(N477="","",WORKDAY(N477,Settings!$S$4))</f>
        <v/>
      </c>
      <c r="P477" s="17"/>
      <c r="Q477" s="44" t="str">
        <f aca="true">IF(C477="","",IF(P477="Backed out",IF(S477="Paid","Refunded – closed",IF(R477="","Refund – log reason first","Refund in progress")),IF(K477="","Awaiting payment",IF(N477="",IF(M477="","Schedule free video","Free video in production"),IF(P477="Approved","Active",IF(TODAY()&gt;O477,"Active – plan went ahead","Decision pending – "&amp;NETWORKDAYS(TODAY(),O477)&amp;" working day(s) left"))))))</f>
        <v/>
      </c>
      <c r="R477" s="17"/>
      <c r="S477" s="17"/>
      <c r="T477" s="50"/>
      <c r="U477" s="40"/>
      <c r="V477" s="40"/>
      <c r="W477" s="45" t="str">
        <f aca="false">IF(V477="","",EDATE(V477,Settings!$S$6))</f>
        <v/>
      </c>
      <c r="X477" s="17"/>
      <c r="Y477" s="17"/>
      <c r="Z477" s="17"/>
    </row>
    <row r="478" customFormat="false" ht="15" hidden="false" customHeight="false" outlineLevel="0" collapsed="false">
      <c r="A478" s="17"/>
      <c r="B478" s="17"/>
      <c r="C478" s="17"/>
      <c r="D478" s="17"/>
      <c r="E478" s="42"/>
      <c r="F478" s="17"/>
      <c r="G478" s="17"/>
      <c r="H478" s="17"/>
      <c r="I478" s="49" t="str">
        <f aca="false">IF(H478="","",IFERROR(INDEX(Settings!$G$2:$G$4,MATCH(H478,Settings!$F$2:$F$4,0)),""))</f>
        <v/>
      </c>
      <c r="J478" s="40"/>
      <c r="K478" s="50"/>
      <c r="L478" s="17"/>
      <c r="M478" s="40"/>
      <c r="N478" s="40"/>
      <c r="O478" s="45" t="str">
        <f aca="false">IF(N478="","",WORKDAY(N478,Settings!$S$4))</f>
        <v/>
      </c>
      <c r="P478" s="17"/>
      <c r="Q478" s="44" t="str">
        <f aca="true">IF(C478="","",IF(P478="Backed out",IF(S478="Paid","Refunded – closed",IF(R478="","Refund – log reason first","Refund in progress")),IF(K478="","Awaiting payment",IF(N478="",IF(M478="","Schedule free video","Free video in production"),IF(P478="Approved","Active",IF(TODAY()&gt;O478,"Active – plan went ahead","Decision pending – "&amp;NETWORKDAYS(TODAY(),O478)&amp;" working day(s) left"))))))</f>
        <v/>
      </c>
      <c r="R478" s="17"/>
      <c r="S478" s="17"/>
      <c r="T478" s="50"/>
      <c r="U478" s="40"/>
      <c r="V478" s="40"/>
      <c r="W478" s="45" t="str">
        <f aca="false">IF(V478="","",EDATE(V478,Settings!$S$6))</f>
        <v/>
      </c>
      <c r="X478" s="17"/>
      <c r="Y478" s="17"/>
      <c r="Z478" s="17"/>
    </row>
    <row r="479" customFormat="false" ht="15" hidden="false" customHeight="false" outlineLevel="0" collapsed="false">
      <c r="A479" s="17"/>
      <c r="B479" s="17"/>
      <c r="C479" s="17"/>
      <c r="D479" s="17"/>
      <c r="E479" s="42"/>
      <c r="F479" s="17"/>
      <c r="G479" s="17"/>
      <c r="H479" s="17"/>
      <c r="I479" s="49" t="str">
        <f aca="false">IF(H479="","",IFERROR(INDEX(Settings!$G$2:$G$4,MATCH(H479,Settings!$F$2:$F$4,0)),""))</f>
        <v/>
      </c>
      <c r="J479" s="40"/>
      <c r="K479" s="50"/>
      <c r="L479" s="17"/>
      <c r="M479" s="40"/>
      <c r="N479" s="40"/>
      <c r="O479" s="45" t="str">
        <f aca="false">IF(N479="","",WORKDAY(N479,Settings!$S$4))</f>
        <v/>
      </c>
      <c r="P479" s="17"/>
      <c r="Q479" s="44" t="str">
        <f aca="true">IF(C479="","",IF(P479="Backed out",IF(S479="Paid","Refunded – closed",IF(R479="","Refund – log reason first","Refund in progress")),IF(K479="","Awaiting payment",IF(N479="",IF(M479="","Schedule free video","Free video in production"),IF(P479="Approved","Active",IF(TODAY()&gt;O479,"Active – plan went ahead","Decision pending – "&amp;NETWORKDAYS(TODAY(),O479)&amp;" working day(s) left"))))))</f>
        <v/>
      </c>
      <c r="R479" s="17"/>
      <c r="S479" s="17"/>
      <c r="T479" s="50"/>
      <c r="U479" s="40"/>
      <c r="V479" s="40"/>
      <c r="W479" s="45" t="str">
        <f aca="false">IF(V479="","",EDATE(V479,Settings!$S$6))</f>
        <v/>
      </c>
      <c r="X479" s="17"/>
      <c r="Y479" s="17"/>
      <c r="Z479" s="17"/>
    </row>
    <row r="480" customFormat="false" ht="15" hidden="false" customHeight="false" outlineLevel="0" collapsed="false">
      <c r="A480" s="17"/>
      <c r="B480" s="17"/>
      <c r="C480" s="17"/>
      <c r="D480" s="17"/>
      <c r="E480" s="42"/>
      <c r="F480" s="17"/>
      <c r="G480" s="17"/>
      <c r="H480" s="17"/>
      <c r="I480" s="49" t="str">
        <f aca="false">IF(H480="","",IFERROR(INDEX(Settings!$G$2:$G$4,MATCH(H480,Settings!$F$2:$F$4,0)),""))</f>
        <v/>
      </c>
      <c r="J480" s="40"/>
      <c r="K480" s="50"/>
      <c r="L480" s="17"/>
      <c r="M480" s="40"/>
      <c r="N480" s="40"/>
      <c r="O480" s="45" t="str">
        <f aca="false">IF(N480="","",WORKDAY(N480,Settings!$S$4))</f>
        <v/>
      </c>
      <c r="P480" s="17"/>
      <c r="Q480" s="44" t="str">
        <f aca="true">IF(C480="","",IF(P480="Backed out",IF(S480="Paid","Refunded – closed",IF(R480="","Refund – log reason first","Refund in progress")),IF(K480="","Awaiting payment",IF(N480="",IF(M480="","Schedule free video","Free video in production"),IF(P480="Approved","Active",IF(TODAY()&gt;O480,"Active – plan went ahead","Decision pending – "&amp;NETWORKDAYS(TODAY(),O480)&amp;" working day(s) left"))))))</f>
        <v/>
      </c>
      <c r="R480" s="17"/>
      <c r="S480" s="17"/>
      <c r="T480" s="50"/>
      <c r="U480" s="40"/>
      <c r="V480" s="40"/>
      <c r="W480" s="45" t="str">
        <f aca="false">IF(V480="","",EDATE(V480,Settings!$S$6))</f>
        <v/>
      </c>
      <c r="X480" s="17"/>
      <c r="Y480" s="17"/>
      <c r="Z480" s="17"/>
    </row>
    <row r="481" customFormat="false" ht="15" hidden="false" customHeight="false" outlineLevel="0" collapsed="false">
      <c r="A481" s="17"/>
      <c r="B481" s="17"/>
      <c r="C481" s="17"/>
      <c r="D481" s="17"/>
      <c r="E481" s="42"/>
      <c r="F481" s="17"/>
      <c r="G481" s="17"/>
      <c r="H481" s="17"/>
      <c r="I481" s="49" t="str">
        <f aca="false">IF(H481="","",IFERROR(INDEX(Settings!$G$2:$G$4,MATCH(H481,Settings!$F$2:$F$4,0)),""))</f>
        <v/>
      </c>
      <c r="J481" s="40"/>
      <c r="K481" s="50"/>
      <c r="L481" s="17"/>
      <c r="M481" s="40"/>
      <c r="N481" s="40"/>
      <c r="O481" s="45" t="str">
        <f aca="false">IF(N481="","",WORKDAY(N481,Settings!$S$4))</f>
        <v/>
      </c>
      <c r="P481" s="17"/>
      <c r="Q481" s="44" t="str">
        <f aca="true">IF(C481="","",IF(P481="Backed out",IF(S481="Paid","Refunded – closed",IF(R481="","Refund – log reason first","Refund in progress")),IF(K481="","Awaiting payment",IF(N481="",IF(M481="","Schedule free video","Free video in production"),IF(P481="Approved","Active",IF(TODAY()&gt;O481,"Active – plan went ahead","Decision pending – "&amp;NETWORKDAYS(TODAY(),O481)&amp;" working day(s) left"))))))</f>
        <v/>
      </c>
      <c r="R481" s="17"/>
      <c r="S481" s="17"/>
      <c r="T481" s="50"/>
      <c r="U481" s="40"/>
      <c r="V481" s="40"/>
      <c r="W481" s="45" t="str">
        <f aca="false">IF(V481="","",EDATE(V481,Settings!$S$6))</f>
        <v/>
      </c>
      <c r="X481" s="17"/>
      <c r="Y481" s="17"/>
      <c r="Z481" s="17"/>
    </row>
    <row r="482" customFormat="false" ht="15" hidden="false" customHeight="false" outlineLevel="0" collapsed="false">
      <c r="A482" s="17"/>
      <c r="B482" s="17"/>
      <c r="C482" s="17"/>
      <c r="D482" s="17"/>
      <c r="E482" s="42"/>
      <c r="F482" s="17"/>
      <c r="G482" s="17"/>
      <c r="H482" s="17"/>
      <c r="I482" s="49" t="str">
        <f aca="false">IF(H482="","",IFERROR(INDEX(Settings!$G$2:$G$4,MATCH(H482,Settings!$F$2:$F$4,0)),""))</f>
        <v/>
      </c>
      <c r="J482" s="40"/>
      <c r="K482" s="50"/>
      <c r="L482" s="17"/>
      <c r="M482" s="40"/>
      <c r="N482" s="40"/>
      <c r="O482" s="45" t="str">
        <f aca="false">IF(N482="","",WORKDAY(N482,Settings!$S$4))</f>
        <v/>
      </c>
      <c r="P482" s="17"/>
      <c r="Q482" s="44" t="str">
        <f aca="true">IF(C482="","",IF(P482="Backed out",IF(S482="Paid","Refunded – closed",IF(R482="","Refund – log reason first","Refund in progress")),IF(K482="","Awaiting payment",IF(N482="",IF(M482="","Schedule free video","Free video in production"),IF(P482="Approved","Active",IF(TODAY()&gt;O482,"Active – plan went ahead","Decision pending – "&amp;NETWORKDAYS(TODAY(),O482)&amp;" working day(s) left"))))))</f>
        <v/>
      </c>
      <c r="R482" s="17"/>
      <c r="S482" s="17"/>
      <c r="T482" s="50"/>
      <c r="U482" s="40"/>
      <c r="V482" s="40"/>
      <c r="W482" s="45" t="str">
        <f aca="false">IF(V482="","",EDATE(V482,Settings!$S$6))</f>
        <v/>
      </c>
      <c r="X482" s="17"/>
      <c r="Y482" s="17"/>
      <c r="Z482" s="17"/>
    </row>
    <row r="483" customFormat="false" ht="15" hidden="false" customHeight="false" outlineLevel="0" collapsed="false">
      <c r="A483" s="17"/>
      <c r="B483" s="17"/>
      <c r="C483" s="17"/>
      <c r="D483" s="17"/>
      <c r="E483" s="42"/>
      <c r="F483" s="17"/>
      <c r="G483" s="17"/>
      <c r="H483" s="17"/>
      <c r="I483" s="49" t="str">
        <f aca="false">IF(H483="","",IFERROR(INDEX(Settings!$G$2:$G$4,MATCH(H483,Settings!$F$2:$F$4,0)),""))</f>
        <v/>
      </c>
      <c r="J483" s="40"/>
      <c r="K483" s="50"/>
      <c r="L483" s="17"/>
      <c r="M483" s="40"/>
      <c r="N483" s="40"/>
      <c r="O483" s="45" t="str">
        <f aca="false">IF(N483="","",WORKDAY(N483,Settings!$S$4))</f>
        <v/>
      </c>
      <c r="P483" s="17"/>
      <c r="Q483" s="44" t="str">
        <f aca="true">IF(C483="","",IF(P483="Backed out",IF(S483="Paid","Refunded – closed",IF(R483="","Refund – log reason first","Refund in progress")),IF(K483="","Awaiting payment",IF(N483="",IF(M483="","Schedule free video","Free video in production"),IF(P483="Approved","Active",IF(TODAY()&gt;O483,"Active – plan went ahead","Decision pending – "&amp;NETWORKDAYS(TODAY(),O483)&amp;" working day(s) left"))))))</f>
        <v/>
      </c>
      <c r="R483" s="17"/>
      <c r="S483" s="17"/>
      <c r="T483" s="50"/>
      <c r="U483" s="40"/>
      <c r="V483" s="40"/>
      <c r="W483" s="45" t="str">
        <f aca="false">IF(V483="","",EDATE(V483,Settings!$S$6))</f>
        <v/>
      </c>
      <c r="X483" s="17"/>
      <c r="Y483" s="17"/>
      <c r="Z483" s="17"/>
    </row>
    <row r="484" customFormat="false" ht="15" hidden="false" customHeight="false" outlineLevel="0" collapsed="false">
      <c r="A484" s="17"/>
      <c r="B484" s="17"/>
      <c r="C484" s="17"/>
      <c r="D484" s="17"/>
      <c r="E484" s="42"/>
      <c r="F484" s="17"/>
      <c r="G484" s="17"/>
      <c r="H484" s="17"/>
      <c r="I484" s="49" t="str">
        <f aca="false">IF(H484="","",IFERROR(INDEX(Settings!$G$2:$G$4,MATCH(H484,Settings!$F$2:$F$4,0)),""))</f>
        <v/>
      </c>
      <c r="J484" s="40"/>
      <c r="K484" s="50"/>
      <c r="L484" s="17"/>
      <c r="M484" s="40"/>
      <c r="N484" s="40"/>
      <c r="O484" s="45" t="str">
        <f aca="false">IF(N484="","",WORKDAY(N484,Settings!$S$4))</f>
        <v/>
      </c>
      <c r="P484" s="17"/>
      <c r="Q484" s="44" t="str">
        <f aca="true">IF(C484="","",IF(P484="Backed out",IF(S484="Paid","Refunded – closed",IF(R484="","Refund – log reason first","Refund in progress")),IF(K484="","Awaiting payment",IF(N484="",IF(M484="","Schedule free video","Free video in production"),IF(P484="Approved","Active",IF(TODAY()&gt;O484,"Active – plan went ahead","Decision pending – "&amp;NETWORKDAYS(TODAY(),O484)&amp;" working day(s) left"))))))</f>
        <v/>
      </c>
      <c r="R484" s="17"/>
      <c r="S484" s="17"/>
      <c r="T484" s="50"/>
      <c r="U484" s="40"/>
      <c r="V484" s="40"/>
      <c r="W484" s="45" t="str">
        <f aca="false">IF(V484="","",EDATE(V484,Settings!$S$6))</f>
        <v/>
      </c>
      <c r="X484" s="17"/>
      <c r="Y484" s="17"/>
      <c r="Z484" s="17"/>
    </row>
    <row r="485" customFormat="false" ht="15" hidden="false" customHeight="false" outlineLevel="0" collapsed="false">
      <c r="A485" s="17"/>
      <c r="B485" s="17"/>
      <c r="C485" s="17"/>
      <c r="D485" s="17"/>
      <c r="E485" s="42"/>
      <c r="F485" s="17"/>
      <c r="G485" s="17"/>
      <c r="H485" s="17"/>
      <c r="I485" s="49" t="str">
        <f aca="false">IF(H485="","",IFERROR(INDEX(Settings!$G$2:$G$4,MATCH(H485,Settings!$F$2:$F$4,0)),""))</f>
        <v/>
      </c>
      <c r="J485" s="40"/>
      <c r="K485" s="50"/>
      <c r="L485" s="17"/>
      <c r="M485" s="40"/>
      <c r="N485" s="40"/>
      <c r="O485" s="45" t="str">
        <f aca="false">IF(N485="","",WORKDAY(N485,Settings!$S$4))</f>
        <v/>
      </c>
      <c r="P485" s="17"/>
      <c r="Q485" s="44" t="str">
        <f aca="true">IF(C485="","",IF(P485="Backed out",IF(S485="Paid","Refunded – closed",IF(R485="","Refund – log reason first","Refund in progress")),IF(K485="","Awaiting payment",IF(N485="",IF(M485="","Schedule free video","Free video in production"),IF(P485="Approved","Active",IF(TODAY()&gt;O485,"Active – plan went ahead","Decision pending – "&amp;NETWORKDAYS(TODAY(),O485)&amp;" working day(s) left"))))))</f>
        <v/>
      </c>
      <c r="R485" s="17"/>
      <c r="S485" s="17"/>
      <c r="T485" s="50"/>
      <c r="U485" s="40"/>
      <c r="V485" s="40"/>
      <c r="W485" s="45" t="str">
        <f aca="false">IF(V485="","",EDATE(V485,Settings!$S$6))</f>
        <v/>
      </c>
      <c r="X485" s="17"/>
      <c r="Y485" s="17"/>
      <c r="Z485" s="17"/>
    </row>
    <row r="486" customFormat="false" ht="15" hidden="false" customHeight="false" outlineLevel="0" collapsed="false">
      <c r="A486" s="17"/>
      <c r="B486" s="17"/>
      <c r="C486" s="17"/>
      <c r="D486" s="17"/>
      <c r="E486" s="42"/>
      <c r="F486" s="17"/>
      <c r="G486" s="17"/>
      <c r="H486" s="17"/>
      <c r="I486" s="49" t="str">
        <f aca="false">IF(H486="","",IFERROR(INDEX(Settings!$G$2:$G$4,MATCH(H486,Settings!$F$2:$F$4,0)),""))</f>
        <v/>
      </c>
      <c r="J486" s="40"/>
      <c r="K486" s="50"/>
      <c r="L486" s="17"/>
      <c r="M486" s="40"/>
      <c r="N486" s="40"/>
      <c r="O486" s="45" t="str">
        <f aca="false">IF(N486="","",WORKDAY(N486,Settings!$S$4))</f>
        <v/>
      </c>
      <c r="P486" s="17"/>
      <c r="Q486" s="44" t="str">
        <f aca="true">IF(C486="","",IF(P486="Backed out",IF(S486="Paid","Refunded – closed",IF(R486="","Refund – log reason first","Refund in progress")),IF(K486="","Awaiting payment",IF(N486="",IF(M486="","Schedule free video","Free video in production"),IF(P486="Approved","Active",IF(TODAY()&gt;O486,"Active – plan went ahead","Decision pending – "&amp;NETWORKDAYS(TODAY(),O486)&amp;" working day(s) left"))))))</f>
        <v/>
      </c>
      <c r="R486" s="17"/>
      <c r="S486" s="17"/>
      <c r="T486" s="50"/>
      <c r="U486" s="40"/>
      <c r="V486" s="40"/>
      <c r="W486" s="45" t="str">
        <f aca="false">IF(V486="","",EDATE(V486,Settings!$S$6))</f>
        <v/>
      </c>
      <c r="X486" s="17"/>
      <c r="Y486" s="17"/>
      <c r="Z486" s="17"/>
    </row>
    <row r="487" customFormat="false" ht="15" hidden="false" customHeight="false" outlineLevel="0" collapsed="false">
      <c r="A487" s="17"/>
      <c r="B487" s="17"/>
      <c r="C487" s="17"/>
      <c r="D487" s="17"/>
      <c r="E487" s="42"/>
      <c r="F487" s="17"/>
      <c r="G487" s="17"/>
      <c r="H487" s="17"/>
      <c r="I487" s="49" t="str">
        <f aca="false">IF(H487="","",IFERROR(INDEX(Settings!$G$2:$G$4,MATCH(H487,Settings!$F$2:$F$4,0)),""))</f>
        <v/>
      </c>
      <c r="J487" s="40"/>
      <c r="K487" s="50"/>
      <c r="L487" s="17"/>
      <c r="M487" s="40"/>
      <c r="N487" s="40"/>
      <c r="O487" s="45" t="str">
        <f aca="false">IF(N487="","",WORKDAY(N487,Settings!$S$4))</f>
        <v/>
      </c>
      <c r="P487" s="17"/>
      <c r="Q487" s="44" t="str">
        <f aca="true">IF(C487="","",IF(P487="Backed out",IF(S487="Paid","Refunded – closed",IF(R487="","Refund – log reason first","Refund in progress")),IF(K487="","Awaiting payment",IF(N487="",IF(M487="","Schedule free video","Free video in production"),IF(P487="Approved","Active",IF(TODAY()&gt;O487,"Active – plan went ahead","Decision pending – "&amp;NETWORKDAYS(TODAY(),O487)&amp;" working day(s) left"))))))</f>
        <v/>
      </c>
      <c r="R487" s="17"/>
      <c r="S487" s="17"/>
      <c r="T487" s="50"/>
      <c r="U487" s="40"/>
      <c r="V487" s="40"/>
      <c r="W487" s="45" t="str">
        <f aca="false">IF(V487="","",EDATE(V487,Settings!$S$6))</f>
        <v/>
      </c>
      <c r="X487" s="17"/>
      <c r="Y487" s="17"/>
      <c r="Z487" s="17"/>
    </row>
    <row r="488" customFormat="false" ht="15" hidden="false" customHeight="false" outlineLevel="0" collapsed="false">
      <c r="A488" s="17"/>
      <c r="B488" s="17"/>
      <c r="C488" s="17"/>
      <c r="D488" s="17"/>
      <c r="E488" s="42"/>
      <c r="F488" s="17"/>
      <c r="G488" s="17"/>
      <c r="H488" s="17"/>
      <c r="I488" s="49" t="str">
        <f aca="false">IF(H488="","",IFERROR(INDEX(Settings!$G$2:$G$4,MATCH(H488,Settings!$F$2:$F$4,0)),""))</f>
        <v/>
      </c>
      <c r="J488" s="40"/>
      <c r="K488" s="50"/>
      <c r="L488" s="17"/>
      <c r="M488" s="40"/>
      <c r="N488" s="40"/>
      <c r="O488" s="45" t="str">
        <f aca="false">IF(N488="","",WORKDAY(N488,Settings!$S$4))</f>
        <v/>
      </c>
      <c r="P488" s="17"/>
      <c r="Q488" s="44" t="str">
        <f aca="true">IF(C488="","",IF(P488="Backed out",IF(S488="Paid","Refunded – closed",IF(R488="","Refund – log reason first","Refund in progress")),IF(K488="","Awaiting payment",IF(N488="",IF(M488="","Schedule free video","Free video in production"),IF(P488="Approved","Active",IF(TODAY()&gt;O488,"Active – plan went ahead","Decision pending – "&amp;NETWORKDAYS(TODAY(),O488)&amp;" working day(s) left"))))))</f>
        <v/>
      </c>
      <c r="R488" s="17"/>
      <c r="S488" s="17"/>
      <c r="T488" s="50"/>
      <c r="U488" s="40"/>
      <c r="V488" s="40"/>
      <c r="W488" s="45" t="str">
        <f aca="false">IF(V488="","",EDATE(V488,Settings!$S$6))</f>
        <v/>
      </c>
      <c r="X488" s="17"/>
      <c r="Y488" s="17"/>
      <c r="Z488" s="17"/>
    </row>
    <row r="489" customFormat="false" ht="15" hidden="false" customHeight="false" outlineLevel="0" collapsed="false">
      <c r="A489" s="17"/>
      <c r="B489" s="17"/>
      <c r="C489" s="17"/>
      <c r="D489" s="17"/>
      <c r="E489" s="42"/>
      <c r="F489" s="17"/>
      <c r="G489" s="17"/>
      <c r="H489" s="17"/>
      <c r="I489" s="49" t="str">
        <f aca="false">IF(H489="","",IFERROR(INDEX(Settings!$G$2:$G$4,MATCH(H489,Settings!$F$2:$F$4,0)),""))</f>
        <v/>
      </c>
      <c r="J489" s="40"/>
      <c r="K489" s="50"/>
      <c r="L489" s="17"/>
      <c r="M489" s="40"/>
      <c r="N489" s="40"/>
      <c r="O489" s="45" t="str">
        <f aca="false">IF(N489="","",WORKDAY(N489,Settings!$S$4))</f>
        <v/>
      </c>
      <c r="P489" s="17"/>
      <c r="Q489" s="44" t="str">
        <f aca="true">IF(C489="","",IF(P489="Backed out",IF(S489="Paid","Refunded – closed",IF(R489="","Refund – log reason first","Refund in progress")),IF(K489="","Awaiting payment",IF(N489="",IF(M489="","Schedule free video","Free video in production"),IF(P489="Approved","Active",IF(TODAY()&gt;O489,"Active – plan went ahead","Decision pending – "&amp;NETWORKDAYS(TODAY(),O489)&amp;" working day(s) left"))))))</f>
        <v/>
      </c>
      <c r="R489" s="17"/>
      <c r="S489" s="17"/>
      <c r="T489" s="50"/>
      <c r="U489" s="40"/>
      <c r="V489" s="40"/>
      <c r="W489" s="45" t="str">
        <f aca="false">IF(V489="","",EDATE(V489,Settings!$S$6))</f>
        <v/>
      </c>
      <c r="X489" s="17"/>
      <c r="Y489" s="17"/>
      <c r="Z489" s="17"/>
    </row>
    <row r="490" customFormat="false" ht="15" hidden="false" customHeight="false" outlineLevel="0" collapsed="false">
      <c r="A490" s="17"/>
      <c r="B490" s="17"/>
      <c r="C490" s="17"/>
      <c r="D490" s="17"/>
      <c r="E490" s="42"/>
      <c r="F490" s="17"/>
      <c r="G490" s="17"/>
      <c r="H490" s="17"/>
      <c r="I490" s="49" t="str">
        <f aca="false">IF(H490="","",IFERROR(INDEX(Settings!$G$2:$G$4,MATCH(H490,Settings!$F$2:$F$4,0)),""))</f>
        <v/>
      </c>
      <c r="J490" s="40"/>
      <c r="K490" s="50"/>
      <c r="L490" s="17"/>
      <c r="M490" s="40"/>
      <c r="N490" s="40"/>
      <c r="O490" s="45" t="str">
        <f aca="false">IF(N490="","",WORKDAY(N490,Settings!$S$4))</f>
        <v/>
      </c>
      <c r="P490" s="17"/>
      <c r="Q490" s="44" t="str">
        <f aca="true">IF(C490="","",IF(P490="Backed out",IF(S490="Paid","Refunded – closed",IF(R490="","Refund – log reason first","Refund in progress")),IF(K490="","Awaiting payment",IF(N490="",IF(M490="","Schedule free video","Free video in production"),IF(P490="Approved","Active",IF(TODAY()&gt;O490,"Active – plan went ahead","Decision pending – "&amp;NETWORKDAYS(TODAY(),O490)&amp;" working day(s) left"))))))</f>
        <v/>
      </c>
      <c r="R490" s="17"/>
      <c r="S490" s="17"/>
      <c r="T490" s="50"/>
      <c r="U490" s="40"/>
      <c r="V490" s="40"/>
      <c r="W490" s="45" t="str">
        <f aca="false">IF(V490="","",EDATE(V490,Settings!$S$6))</f>
        <v/>
      </c>
      <c r="X490" s="17"/>
      <c r="Y490" s="17"/>
      <c r="Z490" s="17"/>
    </row>
    <row r="491" customFormat="false" ht="15" hidden="false" customHeight="false" outlineLevel="0" collapsed="false">
      <c r="A491" s="17"/>
      <c r="B491" s="17"/>
      <c r="C491" s="17"/>
      <c r="D491" s="17"/>
      <c r="E491" s="42"/>
      <c r="F491" s="17"/>
      <c r="G491" s="17"/>
      <c r="H491" s="17"/>
      <c r="I491" s="49" t="str">
        <f aca="false">IF(H491="","",IFERROR(INDEX(Settings!$G$2:$G$4,MATCH(H491,Settings!$F$2:$F$4,0)),""))</f>
        <v/>
      </c>
      <c r="J491" s="40"/>
      <c r="K491" s="50"/>
      <c r="L491" s="17"/>
      <c r="M491" s="40"/>
      <c r="N491" s="40"/>
      <c r="O491" s="45" t="str">
        <f aca="false">IF(N491="","",WORKDAY(N491,Settings!$S$4))</f>
        <v/>
      </c>
      <c r="P491" s="17"/>
      <c r="Q491" s="44" t="str">
        <f aca="true">IF(C491="","",IF(P491="Backed out",IF(S491="Paid","Refunded – closed",IF(R491="","Refund – log reason first","Refund in progress")),IF(K491="","Awaiting payment",IF(N491="",IF(M491="","Schedule free video","Free video in production"),IF(P491="Approved","Active",IF(TODAY()&gt;O491,"Active – plan went ahead","Decision pending – "&amp;NETWORKDAYS(TODAY(),O491)&amp;" working day(s) left"))))))</f>
        <v/>
      </c>
      <c r="R491" s="17"/>
      <c r="S491" s="17"/>
      <c r="T491" s="50"/>
      <c r="U491" s="40"/>
      <c r="V491" s="40"/>
      <c r="W491" s="45" t="str">
        <f aca="false">IF(V491="","",EDATE(V491,Settings!$S$6))</f>
        <v/>
      </c>
      <c r="X491" s="17"/>
      <c r="Y491" s="17"/>
      <c r="Z491" s="17"/>
    </row>
    <row r="492" customFormat="false" ht="15" hidden="false" customHeight="false" outlineLevel="0" collapsed="false">
      <c r="A492" s="17"/>
      <c r="B492" s="17"/>
      <c r="C492" s="17"/>
      <c r="D492" s="17"/>
      <c r="E492" s="42"/>
      <c r="F492" s="17"/>
      <c r="G492" s="17"/>
      <c r="H492" s="17"/>
      <c r="I492" s="49" t="str">
        <f aca="false">IF(H492="","",IFERROR(INDEX(Settings!$G$2:$G$4,MATCH(H492,Settings!$F$2:$F$4,0)),""))</f>
        <v/>
      </c>
      <c r="J492" s="40"/>
      <c r="K492" s="50"/>
      <c r="L492" s="17"/>
      <c r="M492" s="40"/>
      <c r="N492" s="40"/>
      <c r="O492" s="45" t="str">
        <f aca="false">IF(N492="","",WORKDAY(N492,Settings!$S$4))</f>
        <v/>
      </c>
      <c r="P492" s="17"/>
      <c r="Q492" s="44" t="str">
        <f aca="true">IF(C492="","",IF(P492="Backed out",IF(S492="Paid","Refunded – closed",IF(R492="","Refund – log reason first","Refund in progress")),IF(K492="","Awaiting payment",IF(N492="",IF(M492="","Schedule free video","Free video in production"),IF(P492="Approved","Active",IF(TODAY()&gt;O492,"Active – plan went ahead","Decision pending – "&amp;NETWORKDAYS(TODAY(),O492)&amp;" working day(s) left"))))))</f>
        <v/>
      </c>
      <c r="R492" s="17"/>
      <c r="S492" s="17"/>
      <c r="T492" s="50"/>
      <c r="U492" s="40"/>
      <c r="V492" s="40"/>
      <c r="W492" s="45" t="str">
        <f aca="false">IF(V492="","",EDATE(V492,Settings!$S$6))</f>
        <v/>
      </c>
      <c r="X492" s="17"/>
      <c r="Y492" s="17"/>
      <c r="Z492" s="17"/>
    </row>
    <row r="493" customFormat="false" ht="15" hidden="false" customHeight="false" outlineLevel="0" collapsed="false">
      <c r="A493" s="17"/>
      <c r="B493" s="17"/>
      <c r="C493" s="17"/>
      <c r="D493" s="17"/>
      <c r="E493" s="42"/>
      <c r="F493" s="17"/>
      <c r="G493" s="17"/>
      <c r="H493" s="17"/>
      <c r="I493" s="49" t="str">
        <f aca="false">IF(H493="","",IFERROR(INDEX(Settings!$G$2:$G$4,MATCH(H493,Settings!$F$2:$F$4,0)),""))</f>
        <v/>
      </c>
      <c r="J493" s="40"/>
      <c r="K493" s="50"/>
      <c r="L493" s="17"/>
      <c r="M493" s="40"/>
      <c r="N493" s="40"/>
      <c r="O493" s="45" t="str">
        <f aca="false">IF(N493="","",WORKDAY(N493,Settings!$S$4))</f>
        <v/>
      </c>
      <c r="P493" s="17"/>
      <c r="Q493" s="44" t="str">
        <f aca="true">IF(C493="","",IF(P493="Backed out",IF(S493="Paid","Refunded – closed",IF(R493="","Refund – log reason first","Refund in progress")),IF(K493="","Awaiting payment",IF(N493="",IF(M493="","Schedule free video","Free video in production"),IF(P493="Approved","Active",IF(TODAY()&gt;O493,"Active – plan went ahead","Decision pending – "&amp;NETWORKDAYS(TODAY(),O493)&amp;" working day(s) left"))))))</f>
        <v/>
      </c>
      <c r="R493" s="17"/>
      <c r="S493" s="17"/>
      <c r="T493" s="50"/>
      <c r="U493" s="40"/>
      <c r="V493" s="40"/>
      <c r="W493" s="45" t="str">
        <f aca="false">IF(V493="","",EDATE(V493,Settings!$S$6))</f>
        <v/>
      </c>
      <c r="X493" s="17"/>
      <c r="Y493" s="17"/>
      <c r="Z493" s="17"/>
    </row>
    <row r="494" customFormat="false" ht="15" hidden="false" customHeight="false" outlineLevel="0" collapsed="false">
      <c r="A494" s="17"/>
      <c r="B494" s="17"/>
      <c r="C494" s="17"/>
      <c r="D494" s="17"/>
      <c r="E494" s="42"/>
      <c r="F494" s="17"/>
      <c r="G494" s="17"/>
      <c r="H494" s="17"/>
      <c r="I494" s="49" t="str">
        <f aca="false">IF(H494="","",IFERROR(INDEX(Settings!$G$2:$G$4,MATCH(H494,Settings!$F$2:$F$4,0)),""))</f>
        <v/>
      </c>
      <c r="J494" s="40"/>
      <c r="K494" s="50"/>
      <c r="L494" s="17"/>
      <c r="M494" s="40"/>
      <c r="N494" s="40"/>
      <c r="O494" s="45" t="str">
        <f aca="false">IF(N494="","",WORKDAY(N494,Settings!$S$4))</f>
        <v/>
      </c>
      <c r="P494" s="17"/>
      <c r="Q494" s="44" t="str">
        <f aca="true">IF(C494="","",IF(P494="Backed out",IF(S494="Paid","Refunded – closed",IF(R494="","Refund – log reason first","Refund in progress")),IF(K494="","Awaiting payment",IF(N494="",IF(M494="","Schedule free video","Free video in production"),IF(P494="Approved","Active",IF(TODAY()&gt;O494,"Active – plan went ahead","Decision pending – "&amp;NETWORKDAYS(TODAY(),O494)&amp;" working day(s) left"))))))</f>
        <v/>
      </c>
      <c r="R494" s="17"/>
      <c r="S494" s="17"/>
      <c r="T494" s="50"/>
      <c r="U494" s="40"/>
      <c r="V494" s="40"/>
      <c r="W494" s="45" t="str">
        <f aca="false">IF(V494="","",EDATE(V494,Settings!$S$6))</f>
        <v/>
      </c>
      <c r="X494" s="17"/>
      <c r="Y494" s="17"/>
      <c r="Z494" s="17"/>
    </row>
    <row r="495" customFormat="false" ht="15" hidden="false" customHeight="false" outlineLevel="0" collapsed="false">
      <c r="A495" s="17"/>
      <c r="B495" s="17"/>
      <c r="C495" s="17"/>
      <c r="D495" s="17"/>
      <c r="E495" s="42"/>
      <c r="F495" s="17"/>
      <c r="G495" s="17"/>
      <c r="H495" s="17"/>
      <c r="I495" s="49" t="str">
        <f aca="false">IF(H495="","",IFERROR(INDEX(Settings!$G$2:$G$4,MATCH(H495,Settings!$F$2:$F$4,0)),""))</f>
        <v/>
      </c>
      <c r="J495" s="40"/>
      <c r="K495" s="50"/>
      <c r="L495" s="17"/>
      <c r="M495" s="40"/>
      <c r="N495" s="40"/>
      <c r="O495" s="45" t="str">
        <f aca="false">IF(N495="","",WORKDAY(N495,Settings!$S$4))</f>
        <v/>
      </c>
      <c r="P495" s="17"/>
      <c r="Q495" s="44" t="str">
        <f aca="true">IF(C495="","",IF(P495="Backed out",IF(S495="Paid","Refunded – closed",IF(R495="","Refund – log reason first","Refund in progress")),IF(K495="","Awaiting payment",IF(N495="",IF(M495="","Schedule free video","Free video in production"),IF(P495="Approved","Active",IF(TODAY()&gt;O495,"Active – plan went ahead","Decision pending – "&amp;NETWORKDAYS(TODAY(),O495)&amp;" working day(s) left"))))))</f>
        <v/>
      </c>
      <c r="R495" s="17"/>
      <c r="S495" s="17"/>
      <c r="T495" s="50"/>
      <c r="U495" s="40"/>
      <c r="V495" s="40"/>
      <c r="W495" s="45" t="str">
        <f aca="false">IF(V495="","",EDATE(V495,Settings!$S$6))</f>
        <v/>
      </c>
      <c r="X495" s="17"/>
      <c r="Y495" s="17"/>
      <c r="Z495" s="17"/>
    </row>
    <row r="496" customFormat="false" ht="15" hidden="false" customHeight="false" outlineLevel="0" collapsed="false">
      <c r="A496" s="17"/>
      <c r="B496" s="17"/>
      <c r="C496" s="17"/>
      <c r="D496" s="17"/>
      <c r="E496" s="42"/>
      <c r="F496" s="17"/>
      <c r="G496" s="17"/>
      <c r="H496" s="17"/>
      <c r="I496" s="49" t="str">
        <f aca="false">IF(H496="","",IFERROR(INDEX(Settings!$G$2:$G$4,MATCH(H496,Settings!$F$2:$F$4,0)),""))</f>
        <v/>
      </c>
      <c r="J496" s="40"/>
      <c r="K496" s="50"/>
      <c r="L496" s="17"/>
      <c r="M496" s="40"/>
      <c r="N496" s="40"/>
      <c r="O496" s="45" t="str">
        <f aca="false">IF(N496="","",WORKDAY(N496,Settings!$S$4))</f>
        <v/>
      </c>
      <c r="P496" s="17"/>
      <c r="Q496" s="44" t="str">
        <f aca="true">IF(C496="","",IF(P496="Backed out",IF(S496="Paid","Refunded – closed",IF(R496="","Refund – log reason first","Refund in progress")),IF(K496="","Awaiting payment",IF(N496="",IF(M496="","Schedule free video","Free video in production"),IF(P496="Approved","Active",IF(TODAY()&gt;O496,"Active – plan went ahead","Decision pending – "&amp;NETWORKDAYS(TODAY(),O496)&amp;" working day(s) left"))))))</f>
        <v/>
      </c>
      <c r="R496" s="17"/>
      <c r="S496" s="17"/>
      <c r="T496" s="50"/>
      <c r="U496" s="40"/>
      <c r="V496" s="40"/>
      <c r="W496" s="45" t="str">
        <f aca="false">IF(V496="","",EDATE(V496,Settings!$S$6))</f>
        <v/>
      </c>
      <c r="X496" s="17"/>
      <c r="Y496" s="17"/>
      <c r="Z496" s="17"/>
    </row>
    <row r="497" customFormat="false" ht="15" hidden="false" customHeight="false" outlineLevel="0" collapsed="false">
      <c r="A497" s="17"/>
      <c r="B497" s="17"/>
      <c r="C497" s="17"/>
      <c r="D497" s="17"/>
      <c r="E497" s="42"/>
      <c r="F497" s="17"/>
      <c r="G497" s="17"/>
      <c r="H497" s="17"/>
      <c r="I497" s="49" t="str">
        <f aca="false">IF(H497="","",IFERROR(INDEX(Settings!$G$2:$G$4,MATCH(H497,Settings!$F$2:$F$4,0)),""))</f>
        <v/>
      </c>
      <c r="J497" s="40"/>
      <c r="K497" s="50"/>
      <c r="L497" s="17"/>
      <c r="M497" s="40"/>
      <c r="N497" s="40"/>
      <c r="O497" s="45" t="str">
        <f aca="false">IF(N497="","",WORKDAY(N497,Settings!$S$4))</f>
        <v/>
      </c>
      <c r="P497" s="17"/>
      <c r="Q497" s="44" t="str">
        <f aca="true">IF(C497="","",IF(P497="Backed out",IF(S497="Paid","Refunded – closed",IF(R497="","Refund – log reason first","Refund in progress")),IF(K497="","Awaiting payment",IF(N497="",IF(M497="","Schedule free video","Free video in production"),IF(P497="Approved","Active",IF(TODAY()&gt;O497,"Active – plan went ahead","Decision pending – "&amp;NETWORKDAYS(TODAY(),O497)&amp;" working day(s) left"))))))</f>
        <v/>
      </c>
      <c r="R497" s="17"/>
      <c r="S497" s="17"/>
      <c r="T497" s="50"/>
      <c r="U497" s="40"/>
      <c r="V497" s="40"/>
      <c r="W497" s="45" t="str">
        <f aca="false">IF(V497="","",EDATE(V497,Settings!$S$6))</f>
        <v/>
      </c>
      <c r="X497" s="17"/>
      <c r="Y497" s="17"/>
      <c r="Z497" s="17"/>
    </row>
    <row r="498" customFormat="false" ht="15" hidden="false" customHeight="false" outlineLevel="0" collapsed="false">
      <c r="A498" s="17"/>
      <c r="B498" s="17"/>
      <c r="C498" s="17"/>
      <c r="D498" s="17"/>
      <c r="E498" s="42"/>
      <c r="F498" s="17"/>
      <c r="G498" s="17"/>
      <c r="H498" s="17"/>
      <c r="I498" s="49" t="str">
        <f aca="false">IF(H498="","",IFERROR(INDEX(Settings!$G$2:$G$4,MATCH(H498,Settings!$F$2:$F$4,0)),""))</f>
        <v/>
      </c>
      <c r="J498" s="40"/>
      <c r="K498" s="50"/>
      <c r="L498" s="17"/>
      <c r="M498" s="40"/>
      <c r="N498" s="40"/>
      <c r="O498" s="45" t="str">
        <f aca="false">IF(N498="","",WORKDAY(N498,Settings!$S$4))</f>
        <v/>
      </c>
      <c r="P498" s="17"/>
      <c r="Q498" s="44" t="str">
        <f aca="true">IF(C498="","",IF(P498="Backed out",IF(S498="Paid","Refunded – closed",IF(R498="","Refund – log reason first","Refund in progress")),IF(K498="","Awaiting payment",IF(N498="",IF(M498="","Schedule free video","Free video in production"),IF(P498="Approved","Active",IF(TODAY()&gt;O498,"Active – plan went ahead","Decision pending – "&amp;NETWORKDAYS(TODAY(),O498)&amp;" working day(s) left"))))))</f>
        <v/>
      </c>
      <c r="R498" s="17"/>
      <c r="S498" s="17"/>
      <c r="T498" s="50"/>
      <c r="U498" s="40"/>
      <c r="V498" s="40"/>
      <c r="W498" s="45" t="str">
        <f aca="false">IF(V498="","",EDATE(V498,Settings!$S$6))</f>
        <v/>
      </c>
      <c r="X498" s="17"/>
      <c r="Y498" s="17"/>
      <c r="Z498" s="17"/>
    </row>
    <row r="499" customFormat="false" ht="15" hidden="false" customHeight="false" outlineLevel="0" collapsed="false">
      <c r="A499" s="17"/>
      <c r="B499" s="17"/>
      <c r="C499" s="17"/>
      <c r="D499" s="17"/>
      <c r="E499" s="42"/>
      <c r="F499" s="17"/>
      <c r="G499" s="17"/>
      <c r="H499" s="17"/>
      <c r="I499" s="49" t="str">
        <f aca="false">IF(H499="","",IFERROR(INDEX(Settings!$G$2:$G$4,MATCH(H499,Settings!$F$2:$F$4,0)),""))</f>
        <v/>
      </c>
      <c r="J499" s="40"/>
      <c r="K499" s="50"/>
      <c r="L499" s="17"/>
      <c r="M499" s="40"/>
      <c r="N499" s="40"/>
      <c r="O499" s="45" t="str">
        <f aca="false">IF(N499="","",WORKDAY(N499,Settings!$S$4))</f>
        <v/>
      </c>
      <c r="P499" s="17"/>
      <c r="Q499" s="44" t="str">
        <f aca="true">IF(C499="","",IF(P499="Backed out",IF(S499="Paid","Refunded – closed",IF(R499="","Refund – log reason first","Refund in progress")),IF(K499="","Awaiting payment",IF(N499="",IF(M499="","Schedule free video","Free video in production"),IF(P499="Approved","Active",IF(TODAY()&gt;O499,"Active – plan went ahead","Decision pending – "&amp;NETWORKDAYS(TODAY(),O499)&amp;" working day(s) left"))))))</f>
        <v/>
      </c>
      <c r="R499" s="17"/>
      <c r="S499" s="17"/>
      <c r="T499" s="50"/>
      <c r="U499" s="40"/>
      <c r="V499" s="40"/>
      <c r="W499" s="45" t="str">
        <f aca="false">IF(V499="","",EDATE(V499,Settings!$S$6))</f>
        <v/>
      </c>
      <c r="X499" s="17"/>
      <c r="Y499" s="17"/>
      <c r="Z499" s="17"/>
    </row>
    <row r="500" customFormat="false" ht="15" hidden="false" customHeight="false" outlineLevel="0" collapsed="false">
      <c r="A500" s="17"/>
      <c r="B500" s="17"/>
      <c r="C500" s="17"/>
      <c r="D500" s="17"/>
      <c r="E500" s="42"/>
      <c r="F500" s="17"/>
      <c r="G500" s="17"/>
      <c r="H500" s="17"/>
      <c r="I500" s="49" t="str">
        <f aca="false">IF(H500="","",IFERROR(INDEX(Settings!$G$2:$G$4,MATCH(H500,Settings!$F$2:$F$4,0)),""))</f>
        <v/>
      </c>
      <c r="J500" s="40"/>
      <c r="K500" s="50"/>
      <c r="L500" s="17"/>
      <c r="M500" s="40"/>
      <c r="N500" s="40"/>
      <c r="O500" s="45" t="str">
        <f aca="false">IF(N500="","",WORKDAY(N500,Settings!$S$4))</f>
        <v/>
      </c>
      <c r="P500" s="17"/>
      <c r="Q500" s="44" t="str">
        <f aca="true">IF(C500="","",IF(P500="Backed out",IF(S500="Paid","Refunded – closed",IF(R500="","Refund – log reason first","Refund in progress")),IF(K500="","Awaiting payment",IF(N500="",IF(M500="","Schedule free video","Free video in production"),IF(P500="Approved","Active",IF(TODAY()&gt;O500,"Active – plan went ahead","Decision pending – "&amp;NETWORKDAYS(TODAY(),O500)&amp;" working day(s) left"))))))</f>
        <v/>
      </c>
      <c r="R500" s="17"/>
      <c r="S500" s="17"/>
      <c r="T500" s="50"/>
      <c r="U500" s="40"/>
      <c r="V500" s="40"/>
      <c r="W500" s="45" t="str">
        <f aca="false">IF(V500="","",EDATE(V500,Settings!$S$6))</f>
        <v/>
      </c>
      <c r="X500" s="17"/>
      <c r="Y500" s="17"/>
      <c r="Z500" s="17"/>
    </row>
    <row r="501" customFormat="false" ht="15" hidden="false" customHeight="false" outlineLevel="0" collapsed="false">
      <c r="A501" s="17"/>
      <c r="B501" s="17"/>
      <c r="C501" s="17"/>
      <c r="D501" s="17"/>
      <c r="E501" s="42"/>
      <c r="F501" s="17"/>
      <c r="G501" s="17"/>
      <c r="H501" s="17"/>
      <c r="I501" s="49" t="str">
        <f aca="false">IF(H501="","",IFERROR(INDEX(Settings!$G$2:$G$4,MATCH(H501,Settings!$F$2:$F$4,0)),""))</f>
        <v/>
      </c>
      <c r="J501" s="40"/>
      <c r="K501" s="50"/>
      <c r="L501" s="17"/>
      <c r="M501" s="40"/>
      <c r="N501" s="40"/>
      <c r="O501" s="45" t="str">
        <f aca="false">IF(N501="","",WORKDAY(N501,Settings!$S$4))</f>
        <v/>
      </c>
      <c r="P501" s="17"/>
      <c r="Q501" s="44" t="str">
        <f aca="true">IF(C501="","",IF(P501="Backed out",IF(S501="Paid","Refunded – closed",IF(R501="","Refund – log reason first","Refund in progress")),IF(K501="","Awaiting payment",IF(N501="",IF(M501="","Schedule free video","Free video in production"),IF(P501="Approved","Active",IF(TODAY()&gt;O501,"Active – plan went ahead","Decision pending – "&amp;NETWORKDAYS(TODAY(),O501)&amp;" working day(s) left"))))))</f>
        <v/>
      </c>
      <c r="R501" s="17"/>
      <c r="S501" s="17"/>
      <c r="T501" s="50"/>
      <c r="U501" s="40"/>
      <c r="V501" s="40"/>
      <c r="W501" s="45" t="str">
        <f aca="false">IF(V501="","",EDATE(V501,Settings!$S$6))</f>
        <v/>
      </c>
      <c r="X501" s="17"/>
      <c r="Y501" s="17"/>
      <c r="Z501" s="17"/>
    </row>
  </sheetData>
  <autoFilter ref="A1:Z501"/>
  <conditionalFormatting sqref="Q2:Q501">
    <cfRule type="expression" priority="2" aboveAverage="0" equalAverage="0" bottom="0" percent="0" rank="0" text="" dxfId="20">
      <formula>LEFT(Q2,6)="Active"</formula>
    </cfRule>
    <cfRule type="expression" priority="3" aboveAverage="0" equalAverage="0" bottom="0" percent="0" rank="0" text="" dxfId="11">
      <formula>LEFT(Q2,8)="Decision"</formula>
    </cfRule>
    <cfRule type="expression" priority="4" aboveAverage="0" equalAverage="0" bottom="0" percent="0" rank="0" text="" dxfId="9">
      <formula>LEFT(Q2,6)="Refund"</formula>
    </cfRule>
    <cfRule type="expression" priority="5" aboveAverage="0" equalAverage="0" bottom="0" percent="0" rank="0" text="" dxfId="10">
      <formula>Q2="Awaiting payment"</formula>
    </cfRule>
  </conditionalFormatting>
  <dataValidations count="12"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Settings!$F$2:$F$4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L2:L501" type="list">
      <formula1>Settings!$I$2:$I$6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P2:P501" type="list">
      <formula1>Settings!$J$2:$J$4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R2:R501" type="list">
      <formula1>Settings!$K$2:$K$7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S2:S501" type="list">
      <formula1>Settings!$L$2:$L$4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X2:X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Y2:Y501" type="list">
      <formula1>Settings!$E$2:$E$5</formula1>
      <formula2>0</formula2>
    </dataValidation>
    <dataValidation allowBlank="true" error="Enter a date - double-click the cell for a calendar." errorStyle="stop" errorTitle="Not a date" operator="between" showDropDown="false" showErrorMessage="false" showInputMessage="false" sqref="J2:J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M2:M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N2:N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U2:U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V2:V501" type="date">
      <formula1>DATE(2020,1,1)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N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4"/>
    <col collapsed="false" customWidth="true" hidden="false" outlineLevel="0" max="6" min="4" style="0" width="16"/>
    <col collapsed="false" customWidth="true" hidden="false" outlineLevel="0" max="7" min="7" style="0" width="22"/>
    <col collapsed="false" customWidth="true" hidden="false" outlineLevel="0" max="11" min="8" style="0" width="16"/>
    <col collapsed="false" customWidth="true" hidden="false" outlineLevel="0" max="12" min="12" style="0" width="26"/>
    <col collapsed="false" customWidth="true" hidden="false" outlineLevel="0" max="14" min="13" style="0" width="30"/>
  </cols>
  <sheetData>
    <row r="1" customFormat="false" ht="31.5" hidden="false" customHeight="true" outlineLevel="0" collapsed="false">
      <c r="A1" s="29" t="s">
        <v>245</v>
      </c>
      <c r="B1" s="29" t="s">
        <v>217</v>
      </c>
      <c r="C1" s="30" t="s">
        <v>148</v>
      </c>
      <c r="D1" s="29" t="s">
        <v>246</v>
      </c>
      <c r="E1" s="29" t="s">
        <v>247</v>
      </c>
      <c r="F1" s="29" t="s">
        <v>248</v>
      </c>
      <c r="G1" s="29" t="s">
        <v>249</v>
      </c>
      <c r="H1" s="29" t="s">
        <v>235</v>
      </c>
      <c r="I1" s="29" t="s">
        <v>227</v>
      </c>
      <c r="J1" s="29" t="s">
        <v>250</v>
      </c>
      <c r="K1" s="29" t="s">
        <v>251</v>
      </c>
      <c r="L1" s="29" t="s">
        <v>252</v>
      </c>
      <c r="M1" s="29" t="s">
        <v>175</v>
      </c>
      <c r="N1" s="30" t="s">
        <v>253</v>
      </c>
    </row>
    <row r="2" customFormat="false" ht="15" hidden="false" customHeight="false" outlineLevel="0" collapsed="false">
      <c r="A2" s="31" t="s">
        <v>254</v>
      </c>
      <c r="B2" s="31" t="s">
        <v>236</v>
      </c>
      <c r="C2" s="37" t="str">
        <f aca="false">IF(B2="","",IFERROR(INDEX(Clients!$C$2:$C$501,MATCH(B2,Clients!$A$2:$A$501,0)),"Client ID not found"))</f>
        <v>Example Salon (EXAMPLE)</v>
      </c>
      <c r="D2" s="31" t="s">
        <v>37</v>
      </c>
      <c r="E2" s="32" t="n">
        <v>46309</v>
      </c>
      <c r="F2" s="33" t="n">
        <v>0.416666666666667</v>
      </c>
      <c r="G2" s="31" t="s">
        <v>255</v>
      </c>
      <c r="H2" s="31" t="s">
        <v>58</v>
      </c>
      <c r="I2" s="31" t="s">
        <v>256</v>
      </c>
      <c r="J2" s="32" t="n">
        <v>46314</v>
      </c>
      <c r="K2" s="31" t="n">
        <v>1</v>
      </c>
      <c r="L2" s="31"/>
      <c r="M2" s="31" t="s">
        <v>193</v>
      </c>
      <c r="N2" s="36" t="str">
        <f aca="true">IF(A2="","",IF(N(K2)&gt;Settings!$S$7,"Over revision limit",IF(AND(D2="Free video",J2="",E2&lt;&gt;"",TODAY()&gt;WORKDAY(E2,Settings!$S$5)),"LATE – free video promised in 5 working days",IF(AND(E2&lt;&gt;"",E2=TODAY()),"Shooting today",""))))</f>
        <v/>
      </c>
    </row>
    <row r="3" customFormat="false" ht="15" hidden="false" customHeight="false" outlineLevel="0" collapsed="false">
      <c r="A3" s="17"/>
      <c r="B3" s="17"/>
      <c r="C3" s="44" t="str">
        <f aca="false">IF(B3="","",IFERROR(INDEX(Clients!$C$2:$C$501,MATCH(B3,Clients!$A$2:$A$501,0)),"Client ID not found"))</f>
        <v/>
      </c>
      <c r="D3" s="17"/>
      <c r="E3" s="40"/>
      <c r="F3" s="41"/>
      <c r="G3" s="17"/>
      <c r="H3" s="17"/>
      <c r="I3" s="17"/>
      <c r="J3" s="40"/>
      <c r="K3" s="17"/>
      <c r="L3" s="17"/>
      <c r="M3" s="17"/>
      <c r="N3" s="44" t="str">
        <f aca="true">IF(A3="","",IF(N(K3)&gt;Settings!$S$7,"Over revision limit",IF(AND(D3="Free video",J3="",E3&lt;&gt;"",TODAY()&gt;WORKDAY(E3,Settings!$S$5)),"LATE – free video promised in 5 working days",IF(AND(E3&lt;&gt;"",E3=TODAY()),"Shooting today",""))))</f>
        <v/>
      </c>
    </row>
    <row r="4" customFormat="false" ht="15" hidden="false" customHeight="false" outlineLevel="0" collapsed="false">
      <c r="A4" s="17"/>
      <c r="B4" s="17"/>
      <c r="C4" s="44" t="str">
        <f aca="false">IF(B4="","",IFERROR(INDEX(Clients!$C$2:$C$501,MATCH(B4,Clients!$A$2:$A$501,0)),"Client ID not found"))</f>
        <v/>
      </c>
      <c r="D4" s="17"/>
      <c r="E4" s="40"/>
      <c r="F4" s="41"/>
      <c r="G4" s="17"/>
      <c r="H4" s="17"/>
      <c r="I4" s="17"/>
      <c r="J4" s="40"/>
      <c r="K4" s="17"/>
      <c r="L4" s="17"/>
      <c r="M4" s="17"/>
      <c r="N4" s="44" t="str">
        <f aca="true">IF(A4="","",IF(N(K4)&gt;Settings!$S$7,"Over revision limit",IF(AND(D4="Free video",J4="",E4&lt;&gt;"",TODAY()&gt;WORKDAY(E4,Settings!$S$5)),"LATE – free video promised in 5 working days",IF(AND(E4&lt;&gt;"",E4=TODAY()),"Shooting today",""))))</f>
        <v/>
      </c>
    </row>
    <row r="5" customFormat="false" ht="15" hidden="false" customHeight="false" outlineLevel="0" collapsed="false">
      <c r="A5" s="17"/>
      <c r="B5" s="17"/>
      <c r="C5" s="44" t="str">
        <f aca="false">IF(B5="","",IFERROR(INDEX(Clients!$C$2:$C$501,MATCH(B5,Clients!$A$2:$A$501,0)),"Client ID not found"))</f>
        <v/>
      </c>
      <c r="D5" s="17"/>
      <c r="E5" s="40"/>
      <c r="F5" s="41"/>
      <c r="G5" s="17"/>
      <c r="H5" s="17"/>
      <c r="I5" s="17"/>
      <c r="J5" s="40"/>
      <c r="K5" s="17"/>
      <c r="L5" s="17"/>
      <c r="M5" s="17"/>
      <c r="N5" s="44" t="str">
        <f aca="true">IF(A5="","",IF(N(K5)&gt;Settings!$S$7,"Over revision limit",IF(AND(D5="Free video",J5="",E5&lt;&gt;"",TODAY()&gt;WORKDAY(E5,Settings!$S$5)),"LATE – free video promised in 5 working days",IF(AND(E5&lt;&gt;"",E5=TODAY()),"Shooting today",""))))</f>
        <v/>
      </c>
    </row>
    <row r="6" customFormat="false" ht="15" hidden="false" customHeight="false" outlineLevel="0" collapsed="false">
      <c r="A6" s="17"/>
      <c r="B6" s="17"/>
      <c r="C6" s="44" t="str">
        <f aca="false">IF(B6="","",IFERROR(INDEX(Clients!$C$2:$C$501,MATCH(B6,Clients!$A$2:$A$501,0)),"Client ID not found"))</f>
        <v/>
      </c>
      <c r="D6" s="17"/>
      <c r="E6" s="40"/>
      <c r="F6" s="41"/>
      <c r="G6" s="17"/>
      <c r="H6" s="17"/>
      <c r="I6" s="17"/>
      <c r="J6" s="40"/>
      <c r="K6" s="17"/>
      <c r="L6" s="17"/>
      <c r="M6" s="17"/>
      <c r="N6" s="44" t="str">
        <f aca="true">IF(A6="","",IF(N(K6)&gt;Settings!$S$7,"Over revision limit",IF(AND(D6="Free video",J6="",E6&lt;&gt;"",TODAY()&gt;WORKDAY(E6,Settings!$S$5)),"LATE – free video promised in 5 working days",IF(AND(E6&lt;&gt;"",E6=TODAY()),"Shooting today",""))))</f>
        <v/>
      </c>
    </row>
    <row r="7" customFormat="false" ht="15" hidden="false" customHeight="false" outlineLevel="0" collapsed="false">
      <c r="A7" s="17"/>
      <c r="B7" s="17"/>
      <c r="C7" s="44" t="str">
        <f aca="false">IF(B7="","",IFERROR(INDEX(Clients!$C$2:$C$501,MATCH(B7,Clients!$A$2:$A$501,0)),"Client ID not found"))</f>
        <v/>
      </c>
      <c r="D7" s="17"/>
      <c r="E7" s="40"/>
      <c r="F7" s="41"/>
      <c r="G7" s="17"/>
      <c r="H7" s="17"/>
      <c r="I7" s="17"/>
      <c r="J7" s="40"/>
      <c r="K7" s="17"/>
      <c r="L7" s="17"/>
      <c r="M7" s="17"/>
      <c r="N7" s="44" t="str">
        <f aca="true">IF(A7="","",IF(N(K7)&gt;Settings!$S$7,"Over revision limit",IF(AND(D7="Free video",J7="",E7&lt;&gt;"",TODAY()&gt;WORKDAY(E7,Settings!$S$5)),"LATE – free video promised in 5 working days",IF(AND(E7&lt;&gt;"",E7=TODAY()),"Shooting today",""))))</f>
        <v/>
      </c>
    </row>
    <row r="8" customFormat="false" ht="15" hidden="false" customHeight="false" outlineLevel="0" collapsed="false">
      <c r="A8" s="17"/>
      <c r="B8" s="17"/>
      <c r="C8" s="44" t="str">
        <f aca="false">IF(B8="","",IFERROR(INDEX(Clients!$C$2:$C$501,MATCH(B8,Clients!$A$2:$A$501,0)),"Client ID not found"))</f>
        <v/>
      </c>
      <c r="D8" s="17"/>
      <c r="E8" s="40"/>
      <c r="F8" s="41"/>
      <c r="G8" s="17"/>
      <c r="H8" s="17"/>
      <c r="I8" s="17"/>
      <c r="J8" s="40"/>
      <c r="K8" s="17"/>
      <c r="L8" s="17"/>
      <c r="M8" s="17"/>
      <c r="N8" s="44" t="str">
        <f aca="true">IF(A8="","",IF(N(K8)&gt;Settings!$S$7,"Over revision limit",IF(AND(D8="Free video",J8="",E8&lt;&gt;"",TODAY()&gt;WORKDAY(E8,Settings!$S$5)),"LATE – free video promised in 5 working days",IF(AND(E8&lt;&gt;"",E8=TODAY()),"Shooting today",""))))</f>
        <v/>
      </c>
    </row>
    <row r="9" customFormat="false" ht="15" hidden="false" customHeight="false" outlineLevel="0" collapsed="false">
      <c r="A9" s="17"/>
      <c r="B9" s="17"/>
      <c r="C9" s="44" t="str">
        <f aca="false">IF(B9="","",IFERROR(INDEX(Clients!$C$2:$C$501,MATCH(B9,Clients!$A$2:$A$501,0)),"Client ID not found"))</f>
        <v/>
      </c>
      <c r="D9" s="17"/>
      <c r="E9" s="40"/>
      <c r="F9" s="41"/>
      <c r="G9" s="17"/>
      <c r="H9" s="17"/>
      <c r="I9" s="17"/>
      <c r="J9" s="40"/>
      <c r="K9" s="17"/>
      <c r="L9" s="17"/>
      <c r="M9" s="17"/>
      <c r="N9" s="44" t="str">
        <f aca="true">IF(A9="","",IF(N(K9)&gt;Settings!$S$7,"Over revision limit",IF(AND(D9="Free video",J9="",E9&lt;&gt;"",TODAY()&gt;WORKDAY(E9,Settings!$S$5)),"LATE – free video promised in 5 working days",IF(AND(E9&lt;&gt;"",E9=TODAY()),"Shooting today",""))))</f>
        <v/>
      </c>
    </row>
    <row r="10" customFormat="false" ht="15" hidden="false" customHeight="false" outlineLevel="0" collapsed="false">
      <c r="A10" s="17"/>
      <c r="B10" s="17"/>
      <c r="C10" s="44" t="str">
        <f aca="false">IF(B10="","",IFERROR(INDEX(Clients!$C$2:$C$501,MATCH(B10,Clients!$A$2:$A$501,0)),"Client ID not found"))</f>
        <v/>
      </c>
      <c r="D10" s="17"/>
      <c r="E10" s="40"/>
      <c r="F10" s="41"/>
      <c r="G10" s="17"/>
      <c r="H10" s="17"/>
      <c r="I10" s="17"/>
      <c r="J10" s="40"/>
      <c r="K10" s="17"/>
      <c r="L10" s="17"/>
      <c r="M10" s="17"/>
      <c r="N10" s="44" t="str">
        <f aca="true">IF(A10="","",IF(N(K10)&gt;Settings!$S$7,"Over revision limit",IF(AND(D10="Free video",J10="",E10&lt;&gt;"",TODAY()&gt;WORKDAY(E10,Settings!$S$5)),"LATE – free video promised in 5 working days",IF(AND(E10&lt;&gt;"",E10=TODAY()),"Shooting today",""))))</f>
        <v/>
      </c>
    </row>
    <row r="11" customFormat="false" ht="15" hidden="false" customHeight="false" outlineLevel="0" collapsed="false">
      <c r="A11" s="17"/>
      <c r="B11" s="17"/>
      <c r="C11" s="44" t="str">
        <f aca="false">IF(B11="","",IFERROR(INDEX(Clients!$C$2:$C$501,MATCH(B11,Clients!$A$2:$A$501,0)),"Client ID not found"))</f>
        <v/>
      </c>
      <c r="D11" s="17"/>
      <c r="E11" s="40"/>
      <c r="F11" s="41"/>
      <c r="G11" s="17"/>
      <c r="H11" s="17"/>
      <c r="I11" s="17"/>
      <c r="J11" s="40"/>
      <c r="K11" s="17"/>
      <c r="L11" s="17"/>
      <c r="M11" s="17"/>
      <c r="N11" s="44" t="str">
        <f aca="true">IF(A11="","",IF(N(K11)&gt;Settings!$S$7,"Over revision limit",IF(AND(D11="Free video",J11="",E11&lt;&gt;"",TODAY()&gt;WORKDAY(E11,Settings!$S$5)),"LATE – free video promised in 5 working days",IF(AND(E11&lt;&gt;"",E11=TODAY()),"Shooting today",""))))</f>
        <v/>
      </c>
    </row>
    <row r="12" customFormat="false" ht="15" hidden="false" customHeight="false" outlineLevel="0" collapsed="false">
      <c r="A12" s="17"/>
      <c r="B12" s="17"/>
      <c r="C12" s="44" t="str">
        <f aca="false">IF(B12="","",IFERROR(INDEX(Clients!$C$2:$C$501,MATCH(B12,Clients!$A$2:$A$501,0)),"Client ID not found"))</f>
        <v/>
      </c>
      <c r="D12" s="17"/>
      <c r="E12" s="40"/>
      <c r="F12" s="41"/>
      <c r="G12" s="17"/>
      <c r="H12" s="17"/>
      <c r="I12" s="17"/>
      <c r="J12" s="40"/>
      <c r="K12" s="17"/>
      <c r="L12" s="17"/>
      <c r="M12" s="17"/>
      <c r="N12" s="44" t="str">
        <f aca="true">IF(A12="","",IF(N(K12)&gt;Settings!$S$7,"Over revision limit",IF(AND(D12="Free video",J12="",E12&lt;&gt;"",TODAY()&gt;WORKDAY(E12,Settings!$S$5)),"LATE – free video promised in 5 working days",IF(AND(E12&lt;&gt;"",E12=TODAY()),"Shooting today",""))))</f>
        <v/>
      </c>
    </row>
    <row r="13" customFormat="false" ht="15" hidden="false" customHeight="false" outlineLevel="0" collapsed="false">
      <c r="A13" s="17"/>
      <c r="B13" s="17"/>
      <c r="C13" s="44" t="str">
        <f aca="false">IF(B13="","",IFERROR(INDEX(Clients!$C$2:$C$501,MATCH(B13,Clients!$A$2:$A$501,0)),"Client ID not found"))</f>
        <v/>
      </c>
      <c r="D13" s="17"/>
      <c r="E13" s="40"/>
      <c r="F13" s="41"/>
      <c r="G13" s="17"/>
      <c r="H13" s="17"/>
      <c r="I13" s="17"/>
      <c r="J13" s="40"/>
      <c r="K13" s="17"/>
      <c r="L13" s="17"/>
      <c r="M13" s="17"/>
      <c r="N13" s="44" t="str">
        <f aca="true">IF(A13="","",IF(N(K13)&gt;Settings!$S$7,"Over revision limit",IF(AND(D13="Free video",J13="",E13&lt;&gt;"",TODAY()&gt;WORKDAY(E13,Settings!$S$5)),"LATE – free video promised in 5 working days",IF(AND(E13&lt;&gt;"",E13=TODAY()),"Shooting today",""))))</f>
        <v/>
      </c>
    </row>
    <row r="14" customFormat="false" ht="15" hidden="false" customHeight="false" outlineLevel="0" collapsed="false">
      <c r="A14" s="17"/>
      <c r="B14" s="17"/>
      <c r="C14" s="44" t="str">
        <f aca="false">IF(B14="","",IFERROR(INDEX(Clients!$C$2:$C$501,MATCH(B14,Clients!$A$2:$A$501,0)),"Client ID not found"))</f>
        <v/>
      </c>
      <c r="D14" s="17"/>
      <c r="E14" s="40"/>
      <c r="F14" s="41"/>
      <c r="G14" s="17"/>
      <c r="H14" s="17"/>
      <c r="I14" s="17"/>
      <c r="J14" s="40"/>
      <c r="K14" s="17"/>
      <c r="L14" s="17"/>
      <c r="M14" s="17"/>
      <c r="N14" s="44" t="str">
        <f aca="true">IF(A14="","",IF(N(K14)&gt;Settings!$S$7,"Over revision limit",IF(AND(D14="Free video",J14="",E14&lt;&gt;"",TODAY()&gt;WORKDAY(E14,Settings!$S$5)),"LATE – free video promised in 5 working days",IF(AND(E14&lt;&gt;"",E14=TODAY()),"Shooting today",""))))</f>
        <v/>
      </c>
    </row>
    <row r="15" customFormat="false" ht="15" hidden="false" customHeight="false" outlineLevel="0" collapsed="false">
      <c r="A15" s="17"/>
      <c r="B15" s="17"/>
      <c r="C15" s="44" t="str">
        <f aca="false">IF(B15="","",IFERROR(INDEX(Clients!$C$2:$C$501,MATCH(B15,Clients!$A$2:$A$501,0)),"Client ID not found"))</f>
        <v/>
      </c>
      <c r="D15" s="17"/>
      <c r="E15" s="40"/>
      <c r="F15" s="41"/>
      <c r="G15" s="17"/>
      <c r="H15" s="17"/>
      <c r="I15" s="17"/>
      <c r="J15" s="40"/>
      <c r="K15" s="17"/>
      <c r="L15" s="17"/>
      <c r="M15" s="17"/>
      <c r="N15" s="44" t="str">
        <f aca="true">IF(A15="","",IF(N(K15)&gt;Settings!$S$7,"Over revision limit",IF(AND(D15="Free video",J15="",E15&lt;&gt;"",TODAY()&gt;WORKDAY(E15,Settings!$S$5)),"LATE – free video promised in 5 working days",IF(AND(E15&lt;&gt;"",E15=TODAY()),"Shooting today",""))))</f>
        <v/>
      </c>
    </row>
    <row r="16" customFormat="false" ht="15" hidden="false" customHeight="false" outlineLevel="0" collapsed="false">
      <c r="A16" s="17"/>
      <c r="B16" s="17"/>
      <c r="C16" s="44" t="str">
        <f aca="false">IF(B16="","",IFERROR(INDEX(Clients!$C$2:$C$501,MATCH(B16,Clients!$A$2:$A$501,0)),"Client ID not found"))</f>
        <v/>
      </c>
      <c r="D16" s="17"/>
      <c r="E16" s="40"/>
      <c r="F16" s="41"/>
      <c r="G16" s="17"/>
      <c r="H16" s="17"/>
      <c r="I16" s="17"/>
      <c r="J16" s="40"/>
      <c r="K16" s="17"/>
      <c r="L16" s="17"/>
      <c r="M16" s="17"/>
      <c r="N16" s="44" t="str">
        <f aca="true">IF(A16="","",IF(N(K16)&gt;Settings!$S$7,"Over revision limit",IF(AND(D16="Free video",J16="",E16&lt;&gt;"",TODAY()&gt;WORKDAY(E16,Settings!$S$5)),"LATE – free video promised in 5 working days",IF(AND(E16&lt;&gt;"",E16=TODAY()),"Shooting today",""))))</f>
        <v/>
      </c>
    </row>
    <row r="17" customFormat="false" ht="15" hidden="false" customHeight="false" outlineLevel="0" collapsed="false">
      <c r="A17" s="17"/>
      <c r="B17" s="17"/>
      <c r="C17" s="44" t="str">
        <f aca="false">IF(B17="","",IFERROR(INDEX(Clients!$C$2:$C$501,MATCH(B17,Clients!$A$2:$A$501,0)),"Client ID not found"))</f>
        <v/>
      </c>
      <c r="D17" s="17"/>
      <c r="E17" s="40"/>
      <c r="F17" s="41"/>
      <c r="G17" s="17"/>
      <c r="H17" s="17"/>
      <c r="I17" s="17"/>
      <c r="J17" s="40"/>
      <c r="K17" s="17"/>
      <c r="L17" s="17"/>
      <c r="M17" s="17"/>
      <c r="N17" s="44" t="str">
        <f aca="true">IF(A17="","",IF(N(K17)&gt;Settings!$S$7,"Over revision limit",IF(AND(D17="Free video",J17="",E17&lt;&gt;"",TODAY()&gt;WORKDAY(E17,Settings!$S$5)),"LATE – free video promised in 5 working days",IF(AND(E17&lt;&gt;"",E17=TODAY()),"Shooting today",""))))</f>
        <v/>
      </c>
    </row>
    <row r="18" customFormat="false" ht="15" hidden="false" customHeight="false" outlineLevel="0" collapsed="false">
      <c r="A18" s="17"/>
      <c r="B18" s="17"/>
      <c r="C18" s="44" t="str">
        <f aca="false">IF(B18="","",IFERROR(INDEX(Clients!$C$2:$C$501,MATCH(B18,Clients!$A$2:$A$501,0)),"Client ID not found"))</f>
        <v/>
      </c>
      <c r="D18" s="17"/>
      <c r="E18" s="40"/>
      <c r="F18" s="41"/>
      <c r="G18" s="17"/>
      <c r="H18" s="17"/>
      <c r="I18" s="17"/>
      <c r="J18" s="40"/>
      <c r="K18" s="17"/>
      <c r="L18" s="17"/>
      <c r="M18" s="17"/>
      <c r="N18" s="44" t="str">
        <f aca="true">IF(A18="","",IF(N(K18)&gt;Settings!$S$7,"Over revision limit",IF(AND(D18="Free video",J18="",E18&lt;&gt;"",TODAY()&gt;WORKDAY(E18,Settings!$S$5)),"LATE – free video promised in 5 working days",IF(AND(E18&lt;&gt;"",E18=TODAY()),"Shooting today",""))))</f>
        <v/>
      </c>
    </row>
    <row r="19" customFormat="false" ht="15" hidden="false" customHeight="false" outlineLevel="0" collapsed="false">
      <c r="A19" s="17"/>
      <c r="B19" s="17"/>
      <c r="C19" s="44" t="str">
        <f aca="false">IF(B19="","",IFERROR(INDEX(Clients!$C$2:$C$501,MATCH(B19,Clients!$A$2:$A$501,0)),"Client ID not found"))</f>
        <v/>
      </c>
      <c r="D19" s="17"/>
      <c r="E19" s="40"/>
      <c r="F19" s="41"/>
      <c r="G19" s="17"/>
      <c r="H19" s="17"/>
      <c r="I19" s="17"/>
      <c r="J19" s="40"/>
      <c r="K19" s="17"/>
      <c r="L19" s="17"/>
      <c r="M19" s="17"/>
      <c r="N19" s="44" t="str">
        <f aca="true">IF(A19="","",IF(N(K19)&gt;Settings!$S$7,"Over revision limit",IF(AND(D19="Free video",J19="",E19&lt;&gt;"",TODAY()&gt;WORKDAY(E19,Settings!$S$5)),"LATE – free video promised in 5 working days",IF(AND(E19&lt;&gt;"",E19=TODAY()),"Shooting today",""))))</f>
        <v/>
      </c>
    </row>
    <row r="20" customFormat="false" ht="15" hidden="false" customHeight="false" outlineLevel="0" collapsed="false">
      <c r="A20" s="17"/>
      <c r="B20" s="17"/>
      <c r="C20" s="44" t="str">
        <f aca="false">IF(B20="","",IFERROR(INDEX(Clients!$C$2:$C$501,MATCH(B20,Clients!$A$2:$A$501,0)),"Client ID not found"))</f>
        <v/>
      </c>
      <c r="D20" s="17"/>
      <c r="E20" s="40"/>
      <c r="F20" s="41"/>
      <c r="G20" s="17"/>
      <c r="H20" s="17"/>
      <c r="I20" s="17"/>
      <c r="J20" s="40"/>
      <c r="K20" s="17"/>
      <c r="L20" s="17"/>
      <c r="M20" s="17"/>
      <c r="N20" s="44" t="str">
        <f aca="true">IF(A20="","",IF(N(K20)&gt;Settings!$S$7,"Over revision limit",IF(AND(D20="Free video",J20="",E20&lt;&gt;"",TODAY()&gt;WORKDAY(E20,Settings!$S$5)),"LATE – free video promised in 5 working days",IF(AND(E20&lt;&gt;"",E20=TODAY()),"Shooting today",""))))</f>
        <v/>
      </c>
    </row>
    <row r="21" customFormat="false" ht="15" hidden="false" customHeight="false" outlineLevel="0" collapsed="false">
      <c r="A21" s="17"/>
      <c r="B21" s="17"/>
      <c r="C21" s="44" t="str">
        <f aca="false">IF(B21="","",IFERROR(INDEX(Clients!$C$2:$C$501,MATCH(B21,Clients!$A$2:$A$501,0)),"Client ID not found"))</f>
        <v/>
      </c>
      <c r="D21" s="17"/>
      <c r="E21" s="40"/>
      <c r="F21" s="41"/>
      <c r="G21" s="17"/>
      <c r="H21" s="17"/>
      <c r="I21" s="17"/>
      <c r="J21" s="40"/>
      <c r="K21" s="17"/>
      <c r="L21" s="17"/>
      <c r="M21" s="17"/>
      <c r="N21" s="44" t="str">
        <f aca="true">IF(A21="","",IF(N(K21)&gt;Settings!$S$7,"Over revision limit",IF(AND(D21="Free video",J21="",E21&lt;&gt;"",TODAY()&gt;WORKDAY(E21,Settings!$S$5)),"LATE – free video promised in 5 working days",IF(AND(E21&lt;&gt;"",E21=TODAY()),"Shooting today",""))))</f>
        <v/>
      </c>
    </row>
    <row r="22" customFormat="false" ht="15" hidden="false" customHeight="false" outlineLevel="0" collapsed="false">
      <c r="A22" s="17"/>
      <c r="B22" s="17"/>
      <c r="C22" s="44" t="str">
        <f aca="false">IF(B22="","",IFERROR(INDEX(Clients!$C$2:$C$501,MATCH(B22,Clients!$A$2:$A$501,0)),"Client ID not found"))</f>
        <v/>
      </c>
      <c r="D22" s="17"/>
      <c r="E22" s="40"/>
      <c r="F22" s="41"/>
      <c r="G22" s="17"/>
      <c r="H22" s="17"/>
      <c r="I22" s="17"/>
      <c r="J22" s="40"/>
      <c r="K22" s="17"/>
      <c r="L22" s="17"/>
      <c r="M22" s="17"/>
      <c r="N22" s="44" t="str">
        <f aca="true">IF(A22="","",IF(N(K22)&gt;Settings!$S$7,"Over revision limit",IF(AND(D22="Free video",J22="",E22&lt;&gt;"",TODAY()&gt;WORKDAY(E22,Settings!$S$5)),"LATE – free video promised in 5 working days",IF(AND(E22&lt;&gt;"",E22=TODAY()),"Shooting today",""))))</f>
        <v/>
      </c>
    </row>
    <row r="23" customFormat="false" ht="15" hidden="false" customHeight="false" outlineLevel="0" collapsed="false">
      <c r="A23" s="17"/>
      <c r="B23" s="17"/>
      <c r="C23" s="44" t="str">
        <f aca="false">IF(B23="","",IFERROR(INDEX(Clients!$C$2:$C$501,MATCH(B23,Clients!$A$2:$A$501,0)),"Client ID not found"))</f>
        <v/>
      </c>
      <c r="D23" s="17"/>
      <c r="E23" s="40"/>
      <c r="F23" s="41"/>
      <c r="G23" s="17"/>
      <c r="H23" s="17"/>
      <c r="I23" s="17"/>
      <c r="J23" s="40"/>
      <c r="K23" s="17"/>
      <c r="L23" s="17"/>
      <c r="M23" s="17"/>
      <c r="N23" s="44" t="str">
        <f aca="true">IF(A23="","",IF(N(K23)&gt;Settings!$S$7,"Over revision limit",IF(AND(D23="Free video",J23="",E23&lt;&gt;"",TODAY()&gt;WORKDAY(E23,Settings!$S$5)),"LATE – free video promised in 5 working days",IF(AND(E23&lt;&gt;"",E23=TODAY()),"Shooting today",""))))</f>
        <v/>
      </c>
    </row>
    <row r="24" customFormat="false" ht="15" hidden="false" customHeight="false" outlineLevel="0" collapsed="false">
      <c r="A24" s="17"/>
      <c r="B24" s="17"/>
      <c r="C24" s="44" t="str">
        <f aca="false">IF(B24="","",IFERROR(INDEX(Clients!$C$2:$C$501,MATCH(B24,Clients!$A$2:$A$501,0)),"Client ID not found"))</f>
        <v/>
      </c>
      <c r="D24" s="17"/>
      <c r="E24" s="40"/>
      <c r="F24" s="41"/>
      <c r="G24" s="17"/>
      <c r="H24" s="17"/>
      <c r="I24" s="17"/>
      <c r="J24" s="40"/>
      <c r="K24" s="17"/>
      <c r="L24" s="17"/>
      <c r="M24" s="17"/>
      <c r="N24" s="44" t="str">
        <f aca="true">IF(A24="","",IF(N(K24)&gt;Settings!$S$7,"Over revision limit",IF(AND(D24="Free video",J24="",E24&lt;&gt;"",TODAY()&gt;WORKDAY(E24,Settings!$S$5)),"LATE – free video promised in 5 working days",IF(AND(E24&lt;&gt;"",E24=TODAY()),"Shooting today",""))))</f>
        <v/>
      </c>
    </row>
    <row r="25" customFormat="false" ht="15" hidden="false" customHeight="false" outlineLevel="0" collapsed="false">
      <c r="A25" s="17"/>
      <c r="B25" s="17"/>
      <c r="C25" s="44" t="str">
        <f aca="false">IF(B25="","",IFERROR(INDEX(Clients!$C$2:$C$501,MATCH(B25,Clients!$A$2:$A$501,0)),"Client ID not found"))</f>
        <v/>
      </c>
      <c r="D25" s="17"/>
      <c r="E25" s="40"/>
      <c r="F25" s="41"/>
      <c r="G25" s="17"/>
      <c r="H25" s="17"/>
      <c r="I25" s="17"/>
      <c r="J25" s="40"/>
      <c r="K25" s="17"/>
      <c r="L25" s="17"/>
      <c r="M25" s="17"/>
      <c r="N25" s="44" t="str">
        <f aca="true">IF(A25="","",IF(N(K25)&gt;Settings!$S$7,"Over revision limit",IF(AND(D25="Free video",J25="",E25&lt;&gt;"",TODAY()&gt;WORKDAY(E25,Settings!$S$5)),"LATE – free video promised in 5 working days",IF(AND(E25&lt;&gt;"",E25=TODAY()),"Shooting today",""))))</f>
        <v/>
      </c>
    </row>
    <row r="26" customFormat="false" ht="15" hidden="false" customHeight="false" outlineLevel="0" collapsed="false">
      <c r="A26" s="17"/>
      <c r="B26" s="17"/>
      <c r="C26" s="44" t="str">
        <f aca="false">IF(B26="","",IFERROR(INDEX(Clients!$C$2:$C$501,MATCH(B26,Clients!$A$2:$A$501,0)),"Client ID not found"))</f>
        <v/>
      </c>
      <c r="D26" s="17"/>
      <c r="E26" s="40"/>
      <c r="F26" s="41"/>
      <c r="G26" s="17"/>
      <c r="H26" s="17"/>
      <c r="I26" s="17"/>
      <c r="J26" s="40"/>
      <c r="K26" s="17"/>
      <c r="L26" s="17"/>
      <c r="M26" s="17"/>
      <c r="N26" s="44" t="str">
        <f aca="true">IF(A26="","",IF(N(K26)&gt;Settings!$S$7,"Over revision limit",IF(AND(D26="Free video",J26="",E26&lt;&gt;"",TODAY()&gt;WORKDAY(E26,Settings!$S$5)),"LATE – free video promised in 5 working days",IF(AND(E26&lt;&gt;"",E26=TODAY()),"Shooting today",""))))</f>
        <v/>
      </c>
    </row>
    <row r="27" customFormat="false" ht="15" hidden="false" customHeight="false" outlineLevel="0" collapsed="false">
      <c r="A27" s="17"/>
      <c r="B27" s="17"/>
      <c r="C27" s="44" t="str">
        <f aca="false">IF(B27="","",IFERROR(INDEX(Clients!$C$2:$C$501,MATCH(B27,Clients!$A$2:$A$501,0)),"Client ID not found"))</f>
        <v/>
      </c>
      <c r="D27" s="17"/>
      <c r="E27" s="40"/>
      <c r="F27" s="41"/>
      <c r="G27" s="17"/>
      <c r="H27" s="17"/>
      <c r="I27" s="17"/>
      <c r="J27" s="40"/>
      <c r="K27" s="17"/>
      <c r="L27" s="17"/>
      <c r="M27" s="17"/>
      <c r="N27" s="44" t="str">
        <f aca="true">IF(A27="","",IF(N(K27)&gt;Settings!$S$7,"Over revision limit",IF(AND(D27="Free video",J27="",E27&lt;&gt;"",TODAY()&gt;WORKDAY(E27,Settings!$S$5)),"LATE – free video promised in 5 working days",IF(AND(E27&lt;&gt;"",E27=TODAY()),"Shooting today",""))))</f>
        <v/>
      </c>
    </row>
    <row r="28" customFormat="false" ht="15" hidden="false" customHeight="false" outlineLevel="0" collapsed="false">
      <c r="A28" s="17"/>
      <c r="B28" s="17"/>
      <c r="C28" s="44" t="str">
        <f aca="false">IF(B28="","",IFERROR(INDEX(Clients!$C$2:$C$501,MATCH(B28,Clients!$A$2:$A$501,0)),"Client ID not found"))</f>
        <v/>
      </c>
      <c r="D28" s="17"/>
      <c r="E28" s="40"/>
      <c r="F28" s="41"/>
      <c r="G28" s="17"/>
      <c r="H28" s="17"/>
      <c r="I28" s="17"/>
      <c r="J28" s="40"/>
      <c r="K28" s="17"/>
      <c r="L28" s="17"/>
      <c r="M28" s="17"/>
      <c r="N28" s="44" t="str">
        <f aca="true">IF(A28="","",IF(N(K28)&gt;Settings!$S$7,"Over revision limit",IF(AND(D28="Free video",J28="",E28&lt;&gt;"",TODAY()&gt;WORKDAY(E28,Settings!$S$5)),"LATE – free video promised in 5 working days",IF(AND(E28&lt;&gt;"",E28=TODAY()),"Shooting today",""))))</f>
        <v/>
      </c>
    </row>
    <row r="29" customFormat="false" ht="15" hidden="false" customHeight="false" outlineLevel="0" collapsed="false">
      <c r="A29" s="17"/>
      <c r="B29" s="17"/>
      <c r="C29" s="44" t="str">
        <f aca="false">IF(B29="","",IFERROR(INDEX(Clients!$C$2:$C$501,MATCH(B29,Clients!$A$2:$A$501,0)),"Client ID not found"))</f>
        <v/>
      </c>
      <c r="D29" s="17"/>
      <c r="E29" s="40"/>
      <c r="F29" s="41"/>
      <c r="G29" s="17"/>
      <c r="H29" s="17"/>
      <c r="I29" s="17"/>
      <c r="J29" s="40"/>
      <c r="K29" s="17"/>
      <c r="L29" s="17"/>
      <c r="M29" s="17"/>
      <c r="N29" s="44" t="str">
        <f aca="true">IF(A29="","",IF(N(K29)&gt;Settings!$S$7,"Over revision limit",IF(AND(D29="Free video",J29="",E29&lt;&gt;"",TODAY()&gt;WORKDAY(E29,Settings!$S$5)),"LATE – free video promised in 5 working days",IF(AND(E29&lt;&gt;"",E29=TODAY()),"Shooting today",""))))</f>
        <v/>
      </c>
    </row>
    <row r="30" customFormat="false" ht="15" hidden="false" customHeight="false" outlineLevel="0" collapsed="false">
      <c r="A30" s="17"/>
      <c r="B30" s="17"/>
      <c r="C30" s="44" t="str">
        <f aca="false">IF(B30="","",IFERROR(INDEX(Clients!$C$2:$C$501,MATCH(B30,Clients!$A$2:$A$501,0)),"Client ID not found"))</f>
        <v/>
      </c>
      <c r="D30" s="17"/>
      <c r="E30" s="40"/>
      <c r="F30" s="41"/>
      <c r="G30" s="17"/>
      <c r="H30" s="17"/>
      <c r="I30" s="17"/>
      <c r="J30" s="40"/>
      <c r="K30" s="17"/>
      <c r="L30" s="17"/>
      <c r="M30" s="17"/>
      <c r="N30" s="44" t="str">
        <f aca="true">IF(A30="","",IF(N(K30)&gt;Settings!$S$7,"Over revision limit",IF(AND(D30="Free video",J30="",E30&lt;&gt;"",TODAY()&gt;WORKDAY(E30,Settings!$S$5)),"LATE – free video promised in 5 working days",IF(AND(E30&lt;&gt;"",E30=TODAY()),"Shooting today",""))))</f>
        <v/>
      </c>
    </row>
    <row r="31" customFormat="false" ht="15" hidden="false" customHeight="false" outlineLevel="0" collapsed="false">
      <c r="A31" s="17"/>
      <c r="B31" s="17"/>
      <c r="C31" s="44" t="str">
        <f aca="false">IF(B31="","",IFERROR(INDEX(Clients!$C$2:$C$501,MATCH(B31,Clients!$A$2:$A$501,0)),"Client ID not found"))</f>
        <v/>
      </c>
      <c r="D31" s="17"/>
      <c r="E31" s="40"/>
      <c r="F31" s="41"/>
      <c r="G31" s="17"/>
      <c r="H31" s="17"/>
      <c r="I31" s="17"/>
      <c r="J31" s="40"/>
      <c r="K31" s="17"/>
      <c r="L31" s="17"/>
      <c r="M31" s="17"/>
      <c r="N31" s="44" t="str">
        <f aca="true">IF(A31="","",IF(N(K31)&gt;Settings!$S$7,"Over revision limit",IF(AND(D31="Free video",J31="",E31&lt;&gt;"",TODAY()&gt;WORKDAY(E31,Settings!$S$5)),"LATE – free video promised in 5 working days",IF(AND(E31&lt;&gt;"",E31=TODAY()),"Shooting today",""))))</f>
        <v/>
      </c>
    </row>
    <row r="32" customFormat="false" ht="15" hidden="false" customHeight="false" outlineLevel="0" collapsed="false">
      <c r="A32" s="17"/>
      <c r="B32" s="17"/>
      <c r="C32" s="44" t="str">
        <f aca="false">IF(B32="","",IFERROR(INDEX(Clients!$C$2:$C$501,MATCH(B32,Clients!$A$2:$A$501,0)),"Client ID not found"))</f>
        <v/>
      </c>
      <c r="D32" s="17"/>
      <c r="E32" s="40"/>
      <c r="F32" s="41"/>
      <c r="G32" s="17"/>
      <c r="H32" s="17"/>
      <c r="I32" s="17"/>
      <c r="J32" s="40"/>
      <c r="K32" s="17"/>
      <c r="L32" s="17"/>
      <c r="M32" s="17"/>
      <c r="N32" s="44" t="str">
        <f aca="true">IF(A32="","",IF(N(K32)&gt;Settings!$S$7,"Over revision limit",IF(AND(D32="Free video",J32="",E32&lt;&gt;"",TODAY()&gt;WORKDAY(E32,Settings!$S$5)),"LATE – free video promised in 5 working days",IF(AND(E32&lt;&gt;"",E32=TODAY()),"Shooting today",""))))</f>
        <v/>
      </c>
    </row>
    <row r="33" customFormat="false" ht="15" hidden="false" customHeight="false" outlineLevel="0" collapsed="false">
      <c r="A33" s="17"/>
      <c r="B33" s="17"/>
      <c r="C33" s="44" t="str">
        <f aca="false">IF(B33="","",IFERROR(INDEX(Clients!$C$2:$C$501,MATCH(B33,Clients!$A$2:$A$501,0)),"Client ID not found"))</f>
        <v/>
      </c>
      <c r="D33" s="17"/>
      <c r="E33" s="40"/>
      <c r="F33" s="41"/>
      <c r="G33" s="17"/>
      <c r="H33" s="17"/>
      <c r="I33" s="17"/>
      <c r="J33" s="40"/>
      <c r="K33" s="17"/>
      <c r="L33" s="17"/>
      <c r="M33" s="17"/>
      <c r="N33" s="44" t="str">
        <f aca="true">IF(A33="","",IF(N(K33)&gt;Settings!$S$7,"Over revision limit",IF(AND(D33="Free video",J33="",E33&lt;&gt;"",TODAY()&gt;WORKDAY(E33,Settings!$S$5)),"LATE – free video promised in 5 working days",IF(AND(E33&lt;&gt;"",E33=TODAY()),"Shooting today",""))))</f>
        <v/>
      </c>
    </row>
    <row r="34" customFormat="false" ht="15" hidden="false" customHeight="false" outlineLevel="0" collapsed="false">
      <c r="A34" s="17"/>
      <c r="B34" s="17"/>
      <c r="C34" s="44" t="str">
        <f aca="false">IF(B34="","",IFERROR(INDEX(Clients!$C$2:$C$501,MATCH(B34,Clients!$A$2:$A$501,0)),"Client ID not found"))</f>
        <v/>
      </c>
      <c r="D34" s="17"/>
      <c r="E34" s="40"/>
      <c r="F34" s="41"/>
      <c r="G34" s="17"/>
      <c r="H34" s="17"/>
      <c r="I34" s="17"/>
      <c r="J34" s="40"/>
      <c r="K34" s="17"/>
      <c r="L34" s="17"/>
      <c r="M34" s="17"/>
      <c r="N34" s="44" t="str">
        <f aca="true">IF(A34="","",IF(N(K34)&gt;Settings!$S$7,"Over revision limit",IF(AND(D34="Free video",J34="",E34&lt;&gt;"",TODAY()&gt;WORKDAY(E34,Settings!$S$5)),"LATE – free video promised in 5 working days",IF(AND(E34&lt;&gt;"",E34=TODAY()),"Shooting today",""))))</f>
        <v/>
      </c>
    </row>
    <row r="35" customFormat="false" ht="15" hidden="false" customHeight="false" outlineLevel="0" collapsed="false">
      <c r="A35" s="17"/>
      <c r="B35" s="17"/>
      <c r="C35" s="44" t="str">
        <f aca="false">IF(B35="","",IFERROR(INDEX(Clients!$C$2:$C$501,MATCH(B35,Clients!$A$2:$A$501,0)),"Client ID not found"))</f>
        <v/>
      </c>
      <c r="D35" s="17"/>
      <c r="E35" s="40"/>
      <c r="F35" s="41"/>
      <c r="G35" s="17"/>
      <c r="H35" s="17"/>
      <c r="I35" s="17"/>
      <c r="J35" s="40"/>
      <c r="K35" s="17"/>
      <c r="L35" s="17"/>
      <c r="M35" s="17"/>
      <c r="N35" s="44" t="str">
        <f aca="true">IF(A35="","",IF(N(K35)&gt;Settings!$S$7,"Over revision limit",IF(AND(D35="Free video",J35="",E35&lt;&gt;"",TODAY()&gt;WORKDAY(E35,Settings!$S$5)),"LATE – free video promised in 5 working days",IF(AND(E35&lt;&gt;"",E35=TODAY()),"Shooting today",""))))</f>
        <v/>
      </c>
    </row>
    <row r="36" customFormat="false" ht="15" hidden="false" customHeight="false" outlineLevel="0" collapsed="false">
      <c r="A36" s="17"/>
      <c r="B36" s="17"/>
      <c r="C36" s="44" t="str">
        <f aca="false">IF(B36="","",IFERROR(INDEX(Clients!$C$2:$C$501,MATCH(B36,Clients!$A$2:$A$501,0)),"Client ID not found"))</f>
        <v/>
      </c>
      <c r="D36" s="17"/>
      <c r="E36" s="40"/>
      <c r="F36" s="41"/>
      <c r="G36" s="17"/>
      <c r="H36" s="17"/>
      <c r="I36" s="17"/>
      <c r="J36" s="40"/>
      <c r="K36" s="17"/>
      <c r="L36" s="17"/>
      <c r="M36" s="17"/>
      <c r="N36" s="44" t="str">
        <f aca="true">IF(A36="","",IF(N(K36)&gt;Settings!$S$7,"Over revision limit",IF(AND(D36="Free video",J36="",E36&lt;&gt;"",TODAY()&gt;WORKDAY(E36,Settings!$S$5)),"LATE – free video promised in 5 working days",IF(AND(E36&lt;&gt;"",E36=TODAY()),"Shooting today",""))))</f>
        <v/>
      </c>
    </row>
    <row r="37" customFormat="false" ht="15" hidden="false" customHeight="false" outlineLevel="0" collapsed="false">
      <c r="A37" s="17"/>
      <c r="B37" s="17"/>
      <c r="C37" s="44" t="str">
        <f aca="false">IF(B37="","",IFERROR(INDEX(Clients!$C$2:$C$501,MATCH(B37,Clients!$A$2:$A$501,0)),"Client ID not found"))</f>
        <v/>
      </c>
      <c r="D37" s="17"/>
      <c r="E37" s="40"/>
      <c r="F37" s="41"/>
      <c r="G37" s="17"/>
      <c r="H37" s="17"/>
      <c r="I37" s="17"/>
      <c r="J37" s="40"/>
      <c r="K37" s="17"/>
      <c r="L37" s="17"/>
      <c r="M37" s="17"/>
      <c r="N37" s="44" t="str">
        <f aca="true">IF(A37="","",IF(N(K37)&gt;Settings!$S$7,"Over revision limit",IF(AND(D37="Free video",J37="",E37&lt;&gt;"",TODAY()&gt;WORKDAY(E37,Settings!$S$5)),"LATE – free video promised in 5 working days",IF(AND(E37&lt;&gt;"",E37=TODAY()),"Shooting today",""))))</f>
        <v/>
      </c>
    </row>
    <row r="38" customFormat="false" ht="15" hidden="false" customHeight="false" outlineLevel="0" collapsed="false">
      <c r="A38" s="17"/>
      <c r="B38" s="17"/>
      <c r="C38" s="44" t="str">
        <f aca="false">IF(B38="","",IFERROR(INDEX(Clients!$C$2:$C$501,MATCH(B38,Clients!$A$2:$A$501,0)),"Client ID not found"))</f>
        <v/>
      </c>
      <c r="D38" s="17"/>
      <c r="E38" s="40"/>
      <c r="F38" s="41"/>
      <c r="G38" s="17"/>
      <c r="H38" s="17"/>
      <c r="I38" s="17"/>
      <c r="J38" s="40"/>
      <c r="K38" s="17"/>
      <c r="L38" s="17"/>
      <c r="M38" s="17"/>
      <c r="N38" s="44" t="str">
        <f aca="true">IF(A38="","",IF(N(K38)&gt;Settings!$S$7,"Over revision limit",IF(AND(D38="Free video",J38="",E38&lt;&gt;"",TODAY()&gt;WORKDAY(E38,Settings!$S$5)),"LATE – free video promised in 5 working days",IF(AND(E38&lt;&gt;"",E38=TODAY()),"Shooting today",""))))</f>
        <v/>
      </c>
    </row>
    <row r="39" customFormat="false" ht="15" hidden="false" customHeight="false" outlineLevel="0" collapsed="false">
      <c r="A39" s="17"/>
      <c r="B39" s="17"/>
      <c r="C39" s="44" t="str">
        <f aca="false">IF(B39="","",IFERROR(INDEX(Clients!$C$2:$C$501,MATCH(B39,Clients!$A$2:$A$501,0)),"Client ID not found"))</f>
        <v/>
      </c>
      <c r="D39" s="17"/>
      <c r="E39" s="40"/>
      <c r="F39" s="41"/>
      <c r="G39" s="17"/>
      <c r="H39" s="17"/>
      <c r="I39" s="17"/>
      <c r="J39" s="40"/>
      <c r="K39" s="17"/>
      <c r="L39" s="17"/>
      <c r="M39" s="17"/>
      <c r="N39" s="44" t="str">
        <f aca="true">IF(A39="","",IF(N(K39)&gt;Settings!$S$7,"Over revision limit",IF(AND(D39="Free video",J39="",E39&lt;&gt;"",TODAY()&gt;WORKDAY(E39,Settings!$S$5)),"LATE – free video promised in 5 working days",IF(AND(E39&lt;&gt;"",E39=TODAY()),"Shooting today",""))))</f>
        <v/>
      </c>
    </row>
    <row r="40" customFormat="false" ht="15" hidden="false" customHeight="false" outlineLevel="0" collapsed="false">
      <c r="A40" s="17"/>
      <c r="B40" s="17"/>
      <c r="C40" s="44" t="str">
        <f aca="false">IF(B40="","",IFERROR(INDEX(Clients!$C$2:$C$501,MATCH(B40,Clients!$A$2:$A$501,0)),"Client ID not found"))</f>
        <v/>
      </c>
      <c r="D40" s="17"/>
      <c r="E40" s="40"/>
      <c r="F40" s="41"/>
      <c r="G40" s="17"/>
      <c r="H40" s="17"/>
      <c r="I40" s="17"/>
      <c r="J40" s="40"/>
      <c r="K40" s="17"/>
      <c r="L40" s="17"/>
      <c r="M40" s="17"/>
      <c r="N40" s="44" t="str">
        <f aca="true">IF(A40="","",IF(N(K40)&gt;Settings!$S$7,"Over revision limit",IF(AND(D40="Free video",J40="",E40&lt;&gt;"",TODAY()&gt;WORKDAY(E40,Settings!$S$5)),"LATE – free video promised in 5 working days",IF(AND(E40&lt;&gt;"",E40=TODAY()),"Shooting today",""))))</f>
        <v/>
      </c>
    </row>
    <row r="41" customFormat="false" ht="15" hidden="false" customHeight="false" outlineLevel="0" collapsed="false">
      <c r="A41" s="17"/>
      <c r="B41" s="17"/>
      <c r="C41" s="44" t="str">
        <f aca="false">IF(B41="","",IFERROR(INDEX(Clients!$C$2:$C$501,MATCH(B41,Clients!$A$2:$A$501,0)),"Client ID not found"))</f>
        <v/>
      </c>
      <c r="D41" s="17"/>
      <c r="E41" s="40"/>
      <c r="F41" s="41"/>
      <c r="G41" s="17"/>
      <c r="H41" s="17"/>
      <c r="I41" s="17"/>
      <c r="J41" s="40"/>
      <c r="K41" s="17"/>
      <c r="L41" s="17"/>
      <c r="M41" s="17"/>
      <c r="N41" s="44" t="str">
        <f aca="true">IF(A41="","",IF(N(K41)&gt;Settings!$S$7,"Over revision limit",IF(AND(D41="Free video",J41="",E41&lt;&gt;"",TODAY()&gt;WORKDAY(E41,Settings!$S$5)),"LATE – free video promised in 5 working days",IF(AND(E41&lt;&gt;"",E41=TODAY()),"Shooting today",""))))</f>
        <v/>
      </c>
    </row>
    <row r="42" customFormat="false" ht="15" hidden="false" customHeight="false" outlineLevel="0" collapsed="false">
      <c r="A42" s="17"/>
      <c r="B42" s="17"/>
      <c r="C42" s="44" t="str">
        <f aca="false">IF(B42="","",IFERROR(INDEX(Clients!$C$2:$C$501,MATCH(B42,Clients!$A$2:$A$501,0)),"Client ID not found"))</f>
        <v/>
      </c>
      <c r="D42" s="17"/>
      <c r="E42" s="40"/>
      <c r="F42" s="41"/>
      <c r="G42" s="17"/>
      <c r="H42" s="17"/>
      <c r="I42" s="17"/>
      <c r="J42" s="40"/>
      <c r="K42" s="17"/>
      <c r="L42" s="17"/>
      <c r="M42" s="17"/>
      <c r="N42" s="44" t="str">
        <f aca="true">IF(A42="","",IF(N(K42)&gt;Settings!$S$7,"Over revision limit",IF(AND(D42="Free video",J42="",E42&lt;&gt;"",TODAY()&gt;WORKDAY(E42,Settings!$S$5)),"LATE – free video promised in 5 working days",IF(AND(E42&lt;&gt;"",E42=TODAY()),"Shooting today",""))))</f>
        <v/>
      </c>
    </row>
    <row r="43" customFormat="false" ht="15" hidden="false" customHeight="false" outlineLevel="0" collapsed="false">
      <c r="A43" s="17"/>
      <c r="B43" s="17"/>
      <c r="C43" s="44" t="str">
        <f aca="false">IF(B43="","",IFERROR(INDEX(Clients!$C$2:$C$501,MATCH(B43,Clients!$A$2:$A$501,0)),"Client ID not found"))</f>
        <v/>
      </c>
      <c r="D43" s="17"/>
      <c r="E43" s="40"/>
      <c r="F43" s="41"/>
      <c r="G43" s="17"/>
      <c r="H43" s="17"/>
      <c r="I43" s="17"/>
      <c r="J43" s="40"/>
      <c r="K43" s="17"/>
      <c r="L43" s="17"/>
      <c r="M43" s="17"/>
      <c r="N43" s="44" t="str">
        <f aca="true">IF(A43="","",IF(N(K43)&gt;Settings!$S$7,"Over revision limit",IF(AND(D43="Free video",J43="",E43&lt;&gt;"",TODAY()&gt;WORKDAY(E43,Settings!$S$5)),"LATE – free video promised in 5 working days",IF(AND(E43&lt;&gt;"",E43=TODAY()),"Shooting today",""))))</f>
        <v/>
      </c>
    </row>
    <row r="44" customFormat="false" ht="15" hidden="false" customHeight="false" outlineLevel="0" collapsed="false">
      <c r="A44" s="17"/>
      <c r="B44" s="17"/>
      <c r="C44" s="44" t="str">
        <f aca="false">IF(B44="","",IFERROR(INDEX(Clients!$C$2:$C$501,MATCH(B44,Clients!$A$2:$A$501,0)),"Client ID not found"))</f>
        <v/>
      </c>
      <c r="D44" s="17"/>
      <c r="E44" s="40"/>
      <c r="F44" s="41"/>
      <c r="G44" s="17"/>
      <c r="H44" s="17"/>
      <c r="I44" s="17"/>
      <c r="J44" s="40"/>
      <c r="K44" s="17"/>
      <c r="L44" s="17"/>
      <c r="M44" s="17"/>
      <c r="N44" s="44" t="str">
        <f aca="true">IF(A44="","",IF(N(K44)&gt;Settings!$S$7,"Over revision limit",IF(AND(D44="Free video",J44="",E44&lt;&gt;"",TODAY()&gt;WORKDAY(E44,Settings!$S$5)),"LATE – free video promised in 5 working days",IF(AND(E44&lt;&gt;"",E44=TODAY()),"Shooting today",""))))</f>
        <v/>
      </c>
    </row>
    <row r="45" customFormat="false" ht="15" hidden="false" customHeight="false" outlineLevel="0" collapsed="false">
      <c r="A45" s="17"/>
      <c r="B45" s="17"/>
      <c r="C45" s="44" t="str">
        <f aca="false">IF(B45="","",IFERROR(INDEX(Clients!$C$2:$C$501,MATCH(B45,Clients!$A$2:$A$501,0)),"Client ID not found"))</f>
        <v/>
      </c>
      <c r="D45" s="17"/>
      <c r="E45" s="40"/>
      <c r="F45" s="41"/>
      <c r="G45" s="17"/>
      <c r="H45" s="17"/>
      <c r="I45" s="17"/>
      <c r="J45" s="40"/>
      <c r="K45" s="17"/>
      <c r="L45" s="17"/>
      <c r="M45" s="17"/>
      <c r="N45" s="44" t="str">
        <f aca="true">IF(A45="","",IF(N(K45)&gt;Settings!$S$7,"Over revision limit",IF(AND(D45="Free video",J45="",E45&lt;&gt;"",TODAY()&gt;WORKDAY(E45,Settings!$S$5)),"LATE – free video promised in 5 working days",IF(AND(E45&lt;&gt;"",E45=TODAY()),"Shooting today",""))))</f>
        <v/>
      </c>
    </row>
    <row r="46" customFormat="false" ht="15" hidden="false" customHeight="false" outlineLevel="0" collapsed="false">
      <c r="A46" s="17"/>
      <c r="B46" s="17"/>
      <c r="C46" s="44" t="str">
        <f aca="false">IF(B46="","",IFERROR(INDEX(Clients!$C$2:$C$501,MATCH(B46,Clients!$A$2:$A$501,0)),"Client ID not found"))</f>
        <v/>
      </c>
      <c r="D46" s="17"/>
      <c r="E46" s="40"/>
      <c r="F46" s="41"/>
      <c r="G46" s="17"/>
      <c r="H46" s="17"/>
      <c r="I46" s="17"/>
      <c r="J46" s="40"/>
      <c r="K46" s="17"/>
      <c r="L46" s="17"/>
      <c r="M46" s="17"/>
      <c r="N46" s="44" t="str">
        <f aca="true">IF(A46="","",IF(N(K46)&gt;Settings!$S$7,"Over revision limit",IF(AND(D46="Free video",J46="",E46&lt;&gt;"",TODAY()&gt;WORKDAY(E46,Settings!$S$5)),"LATE – free video promised in 5 working days",IF(AND(E46&lt;&gt;"",E46=TODAY()),"Shooting today",""))))</f>
        <v/>
      </c>
    </row>
    <row r="47" customFormat="false" ht="15" hidden="false" customHeight="false" outlineLevel="0" collapsed="false">
      <c r="A47" s="17"/>
      <c r="B47" s="17"/>
      <c r="C47" s="44" t="str">
        <f aca="false">IF(B47="","",IFERROR(INDEX(Clients!$C$2:$C$501,MATCH(B47,Clients!$A$2:$A$501,0)),"Client ID not found"))</f>
        <v/>
      </c>
      <c r="D47" s="17"/>
      <c r="E47" s="40"/>
      <c r="F47" s="41"/>
      <c r="G47" s="17"/>
      <c r="H47" s="17"/>
      <c r="I47" s="17"/>
      <c r="J47" s="40"/>
      <c r="K47" s="17"/>
      <c r="L47" s="17"/>
      <c r="M47" s="17"/>
      <c r="N47" s="44" t="str">
        <f aca="true">IF(A47="","",IF(N(K47)&gt;Settings!$S$7,"Over revision limit",IF(AND(D47="Free video",J47="",E47&lt;&gt;"",TODAY()&gt;WORKDAY(E47,Settings!$S$5)),"LATE – free video promised in 5 working days",IF(AND(E47&lt;&gt;"",E47=TODAY()),"Shooting today",""))))</f>
        <v/>
      </c>
    </row>
    <row r="48" customFormat="false" ht="15" hidden="false" customHeight="false" outlineLevel="0" collapsed="false">
      <c r="A48" s="17"/>
      <c r="B48" s="17"/>
      <c r="C48" s="44" t="str">
        <f aca="false">IF(B48="","",IFERROR(INDEX(Clients!$C$2:$C$501,MATCH(B48,Clients!$A$2:$A$501,0)),"Client ID not found"))</f>
        <v/>
      </c>
      <c r="D48" s="17"/>
      <c r="E48" s="40"/>
      <c r="F48" s="41"/>
      <c r="G48" s="17"/>
      <c r="H48" s="17"/>
      <c r="I48" s="17"/>
      <c r="J48" s="40"/>
      <c r="K48" s="17"/>
      <c r="L48" s="17"/>
      <c r="M48" s="17"/>
      <c r="N48" s="44" t="str">
        <f aca="true">IF(A48="","",IF(N(K48)&gt;Settings!$S$7,"Over revision limit",IF(AND(D48="Free video",J48="",E48&lt;&gt;"",TODAY()&gt;WORKDAY(E48,Settings!$S$5)),"LATE – free video promised in 5 working days",IF(AND(E48&lt;&gt;"",E48=TODAY()),"Shooting today",""))))</f>
        <v/>
      </c>
    </row>
    <row r="49" customFormat="false" ht="15" hidden="false" customHeight="false" outlineLevel="0" collapsed="false">
      <c r="A49" s="17"/>
      <c r="B49" s="17"/>
      <c r="C49" s="44" t="str">
        <f aca="false">IF(B49="","",IFERROR(INDEX(Clients!$C$2:$C$501,MATCH(B49,Clients!$A$2:$A$501,0)),"Client ID not found"))</f>
        <v/>
      </c>
      <c r="D49" s="17"/>
      <c r="E49" s="40"/>
      <c r="F49" s="41"/>
      <c r="G49" s="17"/>
      <c r="H49" s="17"/>
      <c r="I49" s="17"/>
      <c r="J49" s="40"/>
      <c r="K49" s="17"/>
      <c r="L49" s="17"/>
      <c r="M49" s="17"/>
      <c r="N49" s="44" t="str">
        <f aca="true">IF(A49="","",IF(N(K49)&gt;Settings!$S$7,"Over revision limit",IF(AND(D49="Free video",J49="",E49&lt;&gt;"",TODAY()&gt;WORKDAY(E49,Settings!$S$5)),"LATE – free video promised in 5 working days",IF(AND(E49&lt;&gt;"",E49=TODAY()),"Shooting today",""))))</f>
        <v/>
      </c>
    </row>
    <row r="50" customFormat="false" ht="15" hidden="false" customHeight="false" outlineLevel="0" collapsed="false">
      <c r="A50" s="17"/>
      <c r="B50" s="17"/>
      <c r="C50" s="44" t="str">
        <f aca="false">IF(B50="","",IFERROR(INDEX(Clients!$C$2:$C$501,MATCH(B50,Clients!$A$2:$A$501,0)),"Client ID not found"))</f>
        <v/>
      </c>
      <c r="D50" s="17"/>
      <c r="E50" s="40"/>
      <c r="F50" s="41"/>
      <c r="G50" s="17"/>
      <c r="H50" s="17"/>
      <c r="I50" s="17"/>
      <c r="J50" s="40"/>
      <c r="K50" s="17"/>
      <c r="L50" s="17"/>
      <c r="M50" s="17"/>
      <c r="N50" s="44" t="str">
        <f aca="true">IF(A50="","",IF(N(K50)&gt;Settings!$S$7,"Over revision limit",IF(AND(D50="Free video",J50="",E50&lt;&gt;"",TODAY()&gt;WORKDAY(E50,Settings!$S$5)),"LATE – free video promised in 5 working days",IF(AND(E50&lt;&gt;"",E50=TODAY()),"Shooting today",""))))</f>
        <v/>
      </c>
    </row>
    <row r="51" customFormat="false" ht="15" hidden="false" customHeight="false" outlineLevel="0" collapsed="false">
      <c r="A51" s="17"/>
      <c r="B51" s="17"/>
      <c r="C51" s="44" t="str">
        <f aca="false">IF(B51="","",IFERROR(INDEX(Clients!$C$2:$C$501,MATCH(B51,Clients!$A$2:$A$501,0)),"Client ID not found"))</f>
        <v/>
      </c>
      <c r="D51" s="17"/>
      <c r="E51" s="40"/>
      <c r="F51" s="41"/>
      <c r="G51" s="17"/>
      <c r="H51" s="17"/>
      <c r="I51" s="17"/>
      <c r="J51" s="40"/>
      <c r="K51" s="17"/>
      <c r="L51" s="17"/>
      <c r="M51" s="17"/>
      <c r="N51" s="44" t="str">
        <f aca="true">IF(A51="","",IF(N(K51)&gt;Settings!$S$7,"Over revision limit",IF(AND(D51="Free video",J51="",E51&lt;&gt;"",TODAY()&gt;WORKDAY(E51,Settings!$S$5)),"LATE – free video promised in 5 working days",IF(AND(E51&lt;&gt;"",E51=TODAY()),"Shooting today",""))))</f>
        <v/>
      </c>
    </row>
    <row r="52" customFormat="false" ht="15" hidden="false" customHeight="false" outlineLevel="0" collapsed="false">
      <c r="A52" s="17"/>
      <c r="B52" s="17"/>
      <c r="C52" s="44" t="str">
        <f aca="false">IF(B52="","",IFERROR(INDEX(Clients!$C$2:$C$501,MATCH(B52,Clients!$A$2:$A$501,0)),"Client ID not found"))</f>
        <v/>
      </c>
      <c r="D52" s="17"/>
      <c r="E52" s="40"/>
      <c r="F52" s="41"/>
      <c r="G52" s="17"/>
      <c r="H52" s="17"/>
      <c r="I52" s="17"/>
      <c r="J52" s="40"/>
      <c r="K52" s="17"/>
      <c r="L52" s="17"/>
      <c r="M52" s="17"/>
      <c r="N52" s="44" t="str">
        <f aca="true">IF(A52="","",IF(N(K52)&gt;Settings!$S$7,"Over revision limit",IF(AND(D52="Free video",J52="",E52&lt;&gt;"",TODAY()&gt;WORKDAY(E52,Settings!$S$5)),"LATE – free video promised in 5 working days",IF(AND(E52&lt;&gt;"",E52=TODAY()),"Shooting today",""))))</f>
        <v/>
      </c>
    </row>
    <row r="53" customFormat="false" ht="15" hidden="false" customHeight="false" outlineLevel="0" collapsed="false">
      <c r="A53" s="17"/>
      <c r="B53" s="17"/>
      <c r="C53" s="44" t="str">
        <f aca="false">IF(B53="","",IFERROR(INDEX(Clients!$C$2:$C$501,MATCH(B53,Clients!$A$2:$A$501,0)),"Client ID not found"))</f>
        <v/>
      </c>
      <c r="D53" s="17"/>
      <c r="E53" s="40"/>
      <c r="F53" s="41"/>
      <c r="G53" s="17"/>
      <c r="H53" s="17"/>
      <c r="I53" s="17"/>
      <c r="J53" s="40"/>
      <c r="K53" s="17"/>
      <c r="L53" s="17"/>
      <c r="M53" s="17"/>
      <c r="N53" s="44" t="str">
        <f aca="true">IF(A53="","",IF(N(K53)&gt;Settings!$S$7,"Over revision limit",IF(AND(D53="Free video",J53="",E53&lt;&gt;"",TODAY()&gt;WORKDAY(E53,Settings!$S$5)),"LATE – free video promised in 5 working days",IF(AND(E53&lt;&gt;"",E53=TODAY()),"Shooting today",""))))</f>
        <v/>
      </c>
    </row>
    <row r="54" customFormat="false" ht="15" hidden="false" customHeight="false" outlineLevel="0" collapsed="false">
      <c r="A54" s="17"/>
      <c r="B54" s="17"/>
      <c r="C54" s="44" t="str">
        <f aca="false">IF(B54="","",IFERROR(INDEX(Clients!$C$2:$C$501,MATCH(B54,Clients!$A$2:$A$501,0)),"Client ID not found"))</f>
        <v/>
      </c>
      <c r="D54" s="17"/>
      <c r="E54" s="40"/>
      <c r="F54" s="41"/>
      <c r="G54" s="17"/>
      <c r="H54" s="17"/>
      <c r="I54" s="17"/>
      <c r="J54" s="40"/>
      <c r="K54" s="17"/>
      <c r="L54" s="17"/>
      <c r="M54" s="17"/>
      <c r="N54" s="44" t="str">
        <f aca="true">IF(A54="","",IF(N(K54)&gt;Settings!$S$7,"Over revision limit",IF(AND(D54="Free video",J54="",E54&lt;&gt;"",TODAY()&gt;WORKDAY(E54,Settings!$S$5)),"LATE – free video promised in 5 working days",IF(AND(E54&lt;&gt;"",E54=TODAY()),"Shooting today",""))))</f>
        <v/>
      </c>
    </row>
    <row r="55" customFormat="false" ht="15" hidden="false" customHeight="false" outlineLevel="0" collapsed="false">
      <c r="A55" s="17"/>
      <c r="B55" s="17"/>
      <c r="C55" s="44" t="str">
        <f aca="false">IF(B55="","",IFERROR(INDEX(Clients!$C$2:$C$501,MATCH(B55,Clients!$A$2:$A$501,0)),"Client ID not found"))</f>
        <v/>
      </c>
      <c r="D55" s="17"/>
      <c r="E55" s="40"/>
      <c r="F55" s="41"/>
      <c r="G55" s="17"/>
      <c r="H55" s="17"/>
      <c r="I55" s="17"/>
      <c r="J55" s="40"/>
      <c r="K55" s="17"/>
      <c r="L55" s="17"/>
      <c r="M55" s="17"/>
      <c r="N55" s="44" t="str">
        <f aca="true">IF(A55="","",IF(N(K55)&gt;Settings!$S$7,"Over revision limit",IF(AND(D55="Free video",J55="",E55&lt;&gt;"",TODAY()&gt;WORKDAY(E55,Settings!$S$5)),"LATE – free video promised in 5 working days",IF(AND(E55&lt;&gt;"",E55=TODAY()),"Shooting today",""))))</f>
        <v/>
      </c>
    </row>
    <row r="56" customFormat="false" ht="15" hidden="false" customHeight="false" outlineLevel="0" collapsed="false">
      <c r="A56" s="17"/>
      <c r="B56" s="17"/>
      <c r="C56" s="44" t="str">
        <f aca="false">IF(B56="","",IFERROR(INDEX(Clients!$C$2:$C$501,MATCH(B56,Clients!$A$2:$A$501,0)),"Client ID not found"))</f>
        <v/>
      </c>
      <c r="D56" s="17"/>
      <c r="E56" s="40"/>
      <c r="F56" s="41"/>
      <c r="G56" s="17"/>
      <c r="H56" s="17"/>
      <c r="I56" s="17"/>
      <c r="J56" s="40"/>
      <c r="K56" s="17"/>
      <c r="L56" s="17"/>
      <c r="M56" s="17"/>
      <c r="N56" s="44" t="str">
        <f aca="true">IF(A56="","",IF(N(K56)&gt;Settings!$S$7,"Over revision limit",IF(AND(D56="Free video",J56="",E56&lt;&gt;"",TODAY()&gt;WORKDAY(E56,Settings!$S$5)),"LATE – free video promised in 5 working days",IF(AND(E56&lt;&gt;"",E56=TODAY()),"Shooting today",""))))</f>
        <v/>
      </c>
    </row>
    <row r="57" customFormat="false" ht="15" hidden="false" customHeight="false" outlineLevel="0" collapsed="false">
      <c r="A57" s="17"/>
      <c r="B57" s="17"/>
      <c r="C57" s="44" t="str">
        <f aca="false">IF(B57="","",IFERROR(INDEX(Clients!$C$2:$C$501,MATCH(B57,Clients!$A$2:$A$501,0)),"Client ID not found"))</f>
        <v/>
      </c>
      <c r="D57" s="17"/>
      <c r="E57" s="40"/>
      <c r="F57" s="41"/>
      <c r="G57" s="17"/>
      <c r="H57" s="17"/>
      <c r="I57" s="17"/>
      <c r="J57" s="40"/>
      <c r="K57" s="17"/>
      <c r="L57" s="17"/>
      <c r="M57" s="17"/>
      <c r="N57" s="44" t="str">
        <f aca="true">IF(A57="","",IF(N(K57)&gt;Settings!$S$7,"Over revision limit",IF(AND(D57="Free video",J57="",E57&lt;&gt;"",TODAY()&gt;WORKDAY(E57,Settings!$S$5)),"LATE – free video promised in 5 working days",IF(AND(E57&lt;&gt;"",E57=TODAY()),"Shooting today",""))))</f>
        <v/>
      </c>
    </row>
    <row r="58" customFormat="false" ht="15" hidden="false" customHeight="false" outlineLevel="0" collapsed="false">
      <c r="A58" s="17"/>
      <c r="B58" s="17"/>
      <c r="C58" s="44" t="str">
        <f aca="false">IF(B58="","",IFERROR(INDEX(Clients!$C$2:$C$501,MATCH(B58,Clients!$A$2:$A$501,0)),"Client ID not found"))</f>
        <v/>
      </c>
      <c r="D58" s="17"/>
      <c r="E58" s="40"/>
      <c r="F58" s="41"/>
      <c r="G58" s="17"/>
      <c r="H58" s="17"/>
      <c r="I58" s="17"/>
      <c r="J58" s="40"/>
      <c r="K58" s="17"/>
      <c r="L58" s="17"/>
      <c r="M58" s="17"/>
      <c r="N58" s="44" t="str">
        <f aca="true">IF(A58="","",IF(N(K58)&gt;Settings!$S$7,"Over revision limit",IF(AND(D58="Free video",J58="",E58&lt;&gt;"",TODAY()&gt;WORKDAY(E58,Settings!$S$5)),"LATE – free video promised in 5 working days",IF(AND(E58&lt;&gt;"",E58=TODAY()),"Shooting today",""))))</f>
        <v/>
      </c>
    </row>
    <row r="59" customFormat="false" ht="15" hidden="false" customHeight="false" outlineLevel="0" collapsed="false">
      <c r="A59" s="17"/>
      <c r="B59" s="17"/>
      <c r="C59" s="44" t="str">
        <f aca="false">IF(B59="","",IFERROR(INDEX(Clients!$C$2:$C$501,MATCH(B59,Clients!$A$2:$A$501,0)),"Client ID not found"))</f>
        <v/>
      </c>
      <c r="D59" s="17"/>
      <c r="E59" s="40"/>
      <c r="F59" s="41"/>
      <c r="G59" s="17"/>
      <c r="H59" s="17"/>
      <c r="I59" s="17"/>
      <c r="J59" s="40"/>
      <c r="K59" s="17"/>
      <c r="L59" s="17"/>
      <c r="M59" s="17"/>
      <c r="N59" s="44" t="str">
        <f aca="true">IF(A59="","",IF(N(K59)&gt;Settings!$S$7,"Over revision limit",IF(AND(D59="Free video",J59="",E59&lt;&gt;"",TODAY()&gt;WORKDAY(E59,Settings!$S$5)),"LATE – free video promised in 5 working days",IF(AND(E59&lt;&gt;"",E59=TODAY()),"Shooting today",""))))</f>
        <v/>
      </c>
    </row>
    <row r="60" customFormat="false" ht="15" hidden="false" customHeight="false" outlineLevel="0" collapsed="false">
      <c r="A60" s="17"/>
      <c r="B60" s="17"/>
      <c r="C60" s="44" t="str">
        <f aca="false">IF(B60="","",IFERROR(INDEX(Clients!$C$2:$C$501,MATCH(B60,Clients!$A$2:$A$501,0)),"Client ID not found"))</f>
        <v/>
      </c>
      <c r="D60" s="17"/>
      <c r="E60" s="40"/>
      <c r="F60" s="41"/>
      <c r="G60" s="17"/>
      <c r="H60" s="17"/>
      <c r="I60" s="17"/>
      <c r="J60" s="40"/>
      <c r="K60" s="17"/>
      <c r="L60" s="17"/>
      <c r="M60" s="17"/>
      <c r="N60" s="44" t="str">
        <f aca="true">IF(A60="","",IF(N(K60)&gt;Settings!$S$7,"Over revision limit",IF(AND(D60="Free video",J60="",E60&lt;&gt;"",TODAY()&gt;WORKDAY(E60,Settings!$S$5)),"LATE – free video promised in 5 working days",IF(AND(E60&lt;&gt;"",E60=TODAY()),"Shooting today",""))))</f>
        <v/>
      </c>
    </row>
    <row r="61" customFormat="false" ht="15" hidden="false" customHeight="false" outlineLevel="0" collapsed="false">
      <c r="A61" s="17"/>
      <c r="B61" s="17"/>
      <c r="C61" s="44" t="str">
        <f aca="false">IF(B61="","",IFERROR(INDEX(Clients!$C$2:$C$501,MATCH(B61,Clients!$A$2:$A$501,0)),"Client ID not found"))</f>
        <v/>
      </c>
      <c r="D61" s="17"/>
      <c r="E61" s="40"/>
      <c r="F61" s="41"/>
      <c r="G61" s="17"/>
      <c r="H61" s="17"/>
      <c r="I61" s="17"/>
      <c r="J61" s="40"/>
      <c r="K61" s="17"/>
      <c r="L61" s="17"/>
      <c r="M61" s="17"/>
      <c r="N61" s="44" t="str">
        <f aca="true">IF(A61="","",IF(N(K61)&gt;Settings!$S$7,"Over revision limit",IF(AND(D61="Free video",J61="",E61&lt;&gt;"",TODAY()&gt;WORKDAY(E61,Settings!$S$5)),"LATE – free video promised in 5 working days",IF(AND(E61&lt;&gt;"",E61=TODAY()),"Shooting today",""))))</f>
        <v/>
      </c>
    </row>
    <row r="62" customFormat="false" ht="15" hidden="false" customHeight="false" outlineLevel="0" collapsed="false">
      <c r="A62" s="17"/>
      <c r="B62" s="17"/>
      <c r="C62" s="44" t="str">
        <f aca="false">IF(B62="","",IFERROR(INDEX(Clients!$C$2:$C$501,MATCH(B62,Clients!$A$2:$A$501,0)),"Client ID not found"))</f>
        <v/>
      </c>
      <c r="D62" s="17"/>
      <c r="E62" s="40"/>
      <c r="F62" s="41"/>
      <c r="G62" s="17"/>
      <c r="H62" s="17"/>
      <c r="I62" s="17"/>
      <c r="J62" s="40"/>
      <c r="K62" s="17"/>
      <c r="L62" s="17"/>
      <c r="M62" s="17"/>
      <c r="N62" s="44" t="str">
        <f aca="true">IF(A62="","",IF(N(K62)&gt;Settings!$S$7,"Over revision limit",IF(AND(D62="Free video",J62="",E62&lt;&gt;"",TODAY()&gt;WORKDAY(E62,Settings!$S$5)),"LATE – free video promised in 5 working days",IF(AND(E62&lt;&gt;"",E62=TODAY()),"Shooting today",""))))</f>
        <v/>
      </c>
    </row>
    <row r="63" customFormat="false" ht="15" hidden="false" customHeight="false" outlineLevel="0" collapsed="false">
      <c r="A63" s="17"/>
      <c r="B63" s="17"/>
      <c r="C63" s="44" t="str">
        <f aca="false">IF(B63="","",IFERROR(INDEX(Clients!$C$2:$C$501,MATCH(B63,Clients!$A$2:$A$501,0)),"Client ID not found"))</f>
        <v/>
      </c>
      <c r="D63" s="17"/>
      <c r="E63" s="40"/>
      <c r="F63" s="41"/>
      <c r="G63" s="17"/>
      <c r="H63" s="17"/>
      <c r="I63" s="17"/>
      <c r="J63" s="40"/>
      <c r="K63" s="17"/>
      <c r="L63" s="17"/>
      <c r="M63" s="17"/>
      <c r="N63" s="44" t="str">
        <f aca="true">IF(A63="","",IF(N(K63)&gt;Settings!$S$7,"Over revision limit",IF(AND(D63="Free video",J63="",E63&lt;&gt;"",TODAY()&gt;WORKDAY(E63,Settings!$S$5)),"LATE – free video promised in 5 working days",IF(AND(E63&lt;&gt;"",E63=TODAY()),"Shooting today",""))))</f>
        <v/>
      </c>
    </row>
    <row r="64" customFormat="false" ht="15" hidden="false" customHeight="false" outlineLevel="0" collapsed="false">
      <c r="A64" s="17"/>
      <c r="B64" s="17"/>
      <c r="C64" s="44" t="str">
        <f aca="false">IF(B64="","",IFERROR(INDEX(Clients!$C$2:$C$501,MATCH(B64,Clients!$A$2:$A$501,0)),"Client ID not found"))</f>
        <v/>
      </c>
      <c r="D64" s="17"/>
      <c r="E64" s="40"/>
      <c r="F64" s="41"/>
      <c r="G64" s="17"/>
      <c r="H64" s="17"/>
      <c r="I64" s="17"/>
      <c r="J64" s="40"/>
      <c r="K64" s="17"/>
      <c r="L64" s="17"/>
      <c r="M64" s="17"/>
      <c r="N64" s="44" t="str">
        <f aca="true">IF(A64="","",IF(N(K64)&gt;Settings!$S$7,"Over revision limit",IF(AND(D64="Free video",J64="",E64&lt;&gt;"",TODAY()&gt;WORKDAY(E64,Settings!$S$5)),"LATE – free video promised in 5 working days",IF(AND(E64&lt;&gt;"",E64=TODAY()),"Shooting today",""))))</f>
        <v/>
      </c>
    </row>
    <row r="65" customFormat="false" ht="15" hidden="false" customHeight="false" outlineLevel="0" collapsed="false">
      <c r="A65" s="17"/>
      <c r="B65" s="17"/>
      <c r="C65" s="44" t="str">
        <f aca="false">IF(B65="","",IFERROR(INDEX(Clients!$C$2:$C$501,MATCH(B65,Clients!$A$2:$A$501,0)),"Client ID not found"))</f>
        <v/>
      </c>
      <c r="D65" s="17"/>
      <c r="E65" s="40"/>
      <c r="F65" s="41"/>
      <c r="G65" s="17"/>
      <c r="H65" s="17"/>
      <c r="I65" s="17"/>
      <c r="J65" s="40"/>
      <c r="K65" s="17"/>
      <c r="L65" s="17"/>
      <c r="M65" s="17"/>
      <c r="N65" s="44" t="str">
        <f aca="true">IF(A65="","",IF(N(K65)&gt;Settings!$S$7,"Over revision limit",IF(AND(D65="Free video",J65="",E65&lt;&gt;"",TODAY()&gt;WORKDAY(E65,Settings!$S$5)),"LATE – free video promised in 5 working days",IF(AND(E65&lt;&gt;"",E65=TODAY()),"Shooting today",""))))</f>
        <v/>
      </c>
    </row>
    <row r="66" customFormat="false" ht="15" hidden="false" customHeight="false" outlineLevel="0" collapsed="false">
      <c r="A66" s="17"/>
      <c r="B66" s="17"/>
      <c r="C66" s="44" t="str">
        <f aca="false">IF(B66="","",IFERROR(INDEX(Clients!$C$2:$C$501,MATCH(B66,Clients!$A$2:$A$501,0)),"Client ID not found"))</f>
        <v/>
      </c>
      <c r="D66" s="17"/>
      <c r="E66" s="40"/>
      <c r="F66" s="41"/>
      <c r="G66" s="17"/>
      <c r="H66" s="17"/>
      <c r="I66" s="17"/>
      <c r="J66" s="40"/>
      <c r="K66" s="17"/>
      <c r="L66" s="17"/>
      <c r="M66" s="17"/>
      <c r="N66" s="44" t="str">
        <f aca="true">IF(A66="","",IF(N(K66)&gt;Settings!$S$7,"Over revision limit",IF(AND(D66="Free video",J66="",E66&lt;&gt;"",TODAY()&gt;WORKDAY(E66,Settings!$S$5)),"LATE – free video promised in 5 working days",IF(AND(E66&lt;&gt;"",E66=TODAY()),"Shooting today",""))))</f>
        <v/>
      </c>
    </row>
    <row r="67" customFormat="false" ht="15" hidden="false" customHeight="false" outlineLevel="0" collapsed="false">
      <c r="A67" s="17"/>
      <c r="B67" s="17"/>
      <c r="C67" s="44" t="str">
        <f aca="false">IF(B67="","",IFERROR(INDEX(Clients!$C$2:$C$501,MATCH(B67,Clients!$A$2:$A$501,0)),"Client ID not found"))</f>
        <v/>
      </c>
      <c r="D67" s="17"/>
      <c r="E67" s="40"/>
      <c r="F67" s="41"/>
      <c r="G67" s="17"/>
      <c r="H67" s="17"/>
      <c r="I67" s="17"/>
      <c r="J67" s="40"/>
      <c r="K67" s="17"/>
      <c r="L67" s="17"/>
      <c r="M67" s="17"/>
      <c r="N67" s="44" t="str">
        <f aca="true">IF(A67="","",IF(N(K67)&gt;Settings!$S$7,"Over revision limit",IF(AND(D67="Free video",J67="",E67&lt;&gt;"",TODAY()&gt;WORKDAY(E67,Settings!$S$5)),"LATE – free video promised in 5 working days",IF(AND(E67&lt;&gt;"",E67=TODAY()),"Shooting today",""))))</f>
        <v/>
      </c>
    </row>
    <row r="68" customFormat="false" ht="15" hidden="false" customHeight="false" outlineLevel="0" collapsed="false">
      <c r="A68" s="17"/>
      <c r="B68" s="17"/>
      <c r="C68" s="44" t="str">
        <f aca="false">IF(B68="","",IFERROR(INDEX(Clients!$C$2:$C$501,MATCH(B68,Clients!$A$2:$A$501,0)),"Client ID not found"))</f>
        <v/>
      </c>
      <c r="D68" s="17"/>
      <c r="E68" s="40"/>
      <c r="F68" s="41"/>
      <c r="G68" s="17"/>
      <c r="H68" s="17"/>
      <c r="I68" s="17"/>
      <c r="J68" s="40"/>
      <c r="K68" s="17"/>
      <c r="L68" s="17"/>
      <c r="M68" s="17"/>
      <c r="N68" s="44" t="str">
        <f aca="true">IF(A68="","",IF(N(K68)&gt;Settings!$S$7,"Over revision limit",IF(AND(D68="Free video",J68="",E68&lt;&gt;"",TODAY()&gt;WORKDAY(E68,Settings!$S$5)),"LATE – free video promised in 5 working days",IF(AND(E68&lt;&gt;"",E68=TODAY()),"Shooting today",""))))</f>
        <v/>
      </c>
    </row>
    <row r="69" customFormat="false" ht="15" hidden="false" customHeight="false" outlineLevel="0" collapsed="false">
      <c r="A69" s="17"/>
      <c r="B69" s="17"/>
      <c r="C69" s="44" t="str">
        <f aca="false">IF(B69="","",IFERROR(INDEX(Clients!$C$2:$C$501,MATCH(B69,Clients!$A$2:$A$501,0)),"Client ID not found"))</f>
        <v/>
      </c>
      <c r="D69" s="17"/>
      <c r="E69" s="40"/>
      <c r="F69" s="41"/>
      <c r="G69" s="17"/>
      <c r="H69" s="17"/>
      <c r="I69" s="17"/>
      <c r="J69" s="40"/>
      <c r="K69" s="17"/>
      <c r="L69" s="17"/>
      <c r="M69" s="17"/>
      <c r="N69" s="44" t="str">
        <f aca="true">IF(A69="","",IF(N(K69)&gt;Settings!$S$7,"Over revision limit",IF(AND(D69="Free video",J69="",E69&lt;&gt;"",TODAY()&gt;WORKDAY(E69,Settings!$S$5)),"LATE – free video promised in 5 working days",IF(AND(E69&lt;&gt;"",E69=TODAY()),"Shooting today",""))))</f>
        <v/>
      </c>
    </row>
    <row r="70" customFormat="false" ht="15" hidden="false" customHeight="false" outlineLevel="0" collapsed="false">
      <c r="A70" s="17"/>
      <c r="B70" s="17"/>
      <c r="C70" s="44" t="str">
        <f aca="false">IF(B70="","",IFERROR(INDEX(Clients!$C$2:$C$501,MATCH(B70,Clients!$A$2:$A$501,0)),"Client ID not found"))</f>
        <v/>
      </c>
      <c r="D70" s="17"/>
      <c r="E70" s="40"/>
      <c r="F70" s="41"/>
      <c r="G70" s="17"/>
      <c r="H70" s="17"/>
      <c r="I70" s="17"/>
      <c r="J70" s="40"/>
      <c r="K70" s="17"/>
      <c r="L70" s="17"/>
      <c r="M70" s="17"/>
      <c r="N70" s="44" t="str">
        <f aca="true">IF(A70="","",IF(N(K70)&gt;Settings!$S$7,"Over revision limit",IF(AND(D70="Free video",J70="",E70&lt;&gt;"",TODAY()&gt;WORKDAY(E70,Settings!$S$5)),"LATE – free video promised in 5 working days",IF(AND(E70&lt;&gt;"",E70=TODAY()),"Shooting today",""))))</f>
        <v/>
      </c>
    </row>
    <row r="71" customFormat="false" ht="15" hidden="false" customHeight="false" outlineLevel="0" collapsed="false">
      <c r="A71" s="17"/>
      <c r="B71" s="17"/>
      <c r="C71" s="44" t="str">
        <f aca="false">IF(B71="","",IFERROR(INDEX(Clients!$C$2:$C$501,MATCH(B71,Clients!$A$2:$A$501,0)),"Client ID not found"))</f>
        <v/>
      </c>
      <c r="D71" s="17"/>
      <c r="E71" s="40"/>
      <c r="F71" s="41"/>
      <c r="G71" s="17"/>
      <c r="H71" s="17"/>
      <c r="I71" s="17"/>
      <c r="J71" s="40"/>
      <c r="K71" s="17"/>
      <c r="L71" s="17"/>
      <c r="M71" s="17"/>
      <c r="N71" s="44" t="str">
        <f aca="true">IF(A71="","",IF(N(K71)&gt;Settings!$S$7,"Over revision limit",IF(AND(D71="Free video",J71="",E71&lt;&gt;"",TODAY()&gt;WORKDAY(E71,Settings!$S$5)),"LATE – free video promised in 5 working days",IF(AND(E71&lt;&gt;"",E71=TODAY()),"Shooting today",""))))</f>
        <v/>
      </c>
    </row>
    <row r="72" customFormat="false" ht="15" hidden="false" customHeight="false" outlineLevel="0" collapsed="false">
      <c r="A72" s="17"/>
      <c r="B72" s="17"/>
      <c r="C72" s="44" t="str">
        <f aca="false">IF(B72="","",IFERROR(INDEX(Clients!$C$2:$C$501,MATCH(B72,Clients!$A$2:$A$501,0)),"Client ID not found"))</f>
        <v/>
      </c>
      <c r="D72" s="17"/>
      <c r="E72" s="40"/>
      <c r="F72" s="41"/>
      <c r="G72" s="17"/>
      <c r="H72" s="17"/>
      <c r="I72" s="17"/>
      <c r="J72" s="40"/>
      <c r="K72" s="17"/>
      <c r="L72" s="17"/>
      <c r="M72" s="17"/>
      <c r="N72" s="44" t="str">
        <f aca="true">IF(A72="","",IF(N(K72)&gt;Settings!$S$7,"Over revision limit",IF(AND(D72="Free video",J72="",E72&lt;&gt;"",TODAY()&gt;WORKDAY(E72,Settings!$S$5)),"LATE – free video promised in 5 working days",IF(AND(E72&lt;&gt;"",E72=TODAY()),"Shooting today",""))))</f>
        <v/>
      </c>
    </row>
    <row r="73" customFormat="false" ht="15" hidden="false" customHeight="false" outlineLevel="0" collapsed="false">
      <c r="A73" s="17"/>
      <c r="B73" s="17"/>
      <c r="C73" s="44" t="str">
        <f aca="false">IF(B73="","",IFERROR(INDEX(Clients!$C$2:$C$501,MATCH(B73,Clients!$A$2:$A$501,0)),"Client ID not found"))</f>
        <v/>
      </c>
      <c r="D73" s="17"/>
      <c r="E73" s="40"/>
      <c r="F73" s="41"/>
      <c r="G73" s="17"/>
      <c r="H73" s="17"/>
      <c r="I73" s="17"/>
      <c r="J73" s="40"/>
      <c r="K73" s="17"/>
      <c r="L73" s="17"/>
      <c r="M73" s="17"/>
      <c r="N73" s="44" t="str">
        <f aca="true">IF(A73="","",IF(N(K73)&gt;Settings!$S$7,"Over revision limit",IF(AND(D73="Free video",J73="",E73&lt;&gt;"",TODAY()&gt;WORKDAY(E73,Settings!$S$5)),"LATE – free video promised in 5 working days",IF(AND(E73&lt;&gt;"",E73=TODAY()),"Shooting today",""))))</f>
        <v/>
      </c>
    </row>
    <row r="74" customFormat="false" ht="15" hidden="false" customHeight="false" outlineLevel="0" collapsed="false">
      <c r="A74" s="17"/>
      <c r="B74" s="17"/>
      <c r="C74" s="44" t="str">
        <f aca="false">IF(B74="","",IFERROR(INDEX(Clients!$C$2:$C$501,MATCH(B74,Clients!$A$2:$A$501,0)),"Client ID not found"))</f>
        <v/>
      </c>
      <c r="D74" s="17"/>
      <c r="E74" s="40"/>
      <c r="F74" s="41"/>
      <c r="G74" s="17"/>
      <c r="H74" s="17"/>
      <c r="I74" s="17"/>
      <c r="J74" s="40"/>
      <c r="K74" s="17"/>
      <c r="L74" s="17"/>
      <c r="M74" s="17"/>
      <c r="N74" s="44" t="str">
        <f aca="true">IF(A74="","",IF(N(K74)&gt;Settings!$S$7,"Over revision limit",IF(AND(D74="Free video",J74="",E74&lt;&gt;"",TODAY()&gt;WORKDAY(E74,Settings!$S$5)),"LATE – free video promised in 5 working days",IF(AND(E74&lt;&gt;"",E74=TODAY()),"Shooting today",""))))</f>
        <v/>
      </c>
    </row>
    <row r="75" customFormat="false" ht="15" hidden="false" customHeight="false" outlineLevel="0" collapsed="false">
      <c r="A75" s="17"/>
      <c r="B75" s="17"/>
      <c r="C75" s="44" t="str">
        <f aca="false">IF(B75="","",IFERROR(INDEX(Clients!$C$2:$C$501,MATCH(B75,Clients!$A$2:$A$501,0)),"Client ID not found"))</f>
        <v/>
      </c>
      <c r="D75" s="17"/>
      <c r="E75" s="40"/>
      <c r="F75" s="41"/>
      <c r="G75" s="17"/>
      <c r="H75" s="17"/>
      <c r="I75" s="17"/>
      <c r="J75" s="40"/>
      <c r="K75" s="17"/>
      <c r="L75" s="17"/>
      <c r="M75" s="17"/>
      <c r="N75" s="44" t="str">
        <f aca="true">IF(A75="","",IF(N(K75)&gt;Settings!$S$7,"Over revision limit",IF(AND(D75="Free video",J75="",E75&lt;&gt;"",TODAY()&gt;WORKDAY(E75,Settings!$S$5)),"LATE – free video promised in 5 working days",IF(AND(E75&lt;&gt;"",E75=TODAY()),"Shooting today",""))))</f>
        <v/>
      </c>
    </row>
    <row r="76" customFormat="false" ht="15" hidden="false" customHeight="false" outlineLevel="0" collapsed="false">
      <c r="A76" s="17"/>
      <c r="B76" s="17"/>
      <c r="C76" s="44" t="str">
        <f aca="false">IF(B76="","",IFERROR(INDEX(Clients!$C$2:$C$501,MATCH(B76,Clients!$A$2:$A$501,0)),"Client ID not found"))</f>
        <v/>
      </c>
      <c r="D76" s="17"/>
      <c r="E76" s="40"/>
      <c r="F76" s="41"/>
      <c r="G76" s="17"/>
      <c r="H76" s="17"/>
      <c r="I76" s="17"/>
      <c r="J76" s="40"/>
      <c r="K76" s="17"/>
      <c r="L76" s="17"/>
      <c r="M76" s="17"/>
      <c r="N76" s="44" t="str">
        <f aca="true">IF(A76="","",IF(N(K76)&gt;Settings!$S$7,"Over revision limit",IF(AND(D76="Free video",J76="",E76&lt;&gt;"",TODAY()&gt;WORKDAY(E76,Settings!$S$5)),"LATE – free video promised in 5 working days",IF(AND(E76&lt;&gt;"",E76=TODAY()),"Shooting today",""))))</f>
        <v/>
      </c>
    </row>
    <row r="77" customFormat="false" ht="15" hidden="false" customHeight="false" outlineLevel="0" collapsed="false">
      <c r="A77" s="17"/>
      <c r="B77" s="17"/>
      <c r="C77" s="44" t="str">
        <f aca="false">IF(B77="","",IFERROR(INDEX(Clients!$C$2:$C$501,MATCH(B77,Clients!$A$2:$A$501,0)),"Client ID not found"))</f>
        <v/>
      </c>
      <c r="D77" s="17"/>
      <c r="E77" s="40"/>
      <c r="F77" s="41"/>
      <c r="G77" s="17"/>
      <c r="H77" s="17"/>
      <c r="I77" s="17"/>
      <c r="J77" s="40"/>
      <c r="K77" s="17"/>
      <c r="L77" s="17"/>
      <c r="M77" s="17"/>
      <c r="N77" s="44" t="str">
        <f aca="true">IF(A77="","",IF(N(K77)&gt;Settings!$S$7,"Over revision limit",IF(AND(D77="Free video",J77="",E77&lt;&gt;"",TODAY()&gt;WORKDAY(E77,Settings!$S$5)),"LATE – free video promised in 5 working days",IF(AND(E77&lt;&gt;"",E77=TODAY()),"Shooting today",""))))</f>
        <v/>
      </c>
    </row>
    <row r="78" customFormat="false" ht="15" hidden="false" customHeight="false" outlineLevel="0" collapsed="false">
      <c r="A78" s="17"/>
      <c r="B78" s="17"/>
      <c r="C78" s="44" t="str">
        <f aca="false">IF(B78="","",IFERROR(INDEX(Clients!$C$2:$C$501,MATCH(B78,Clients!$A$2:$A$501,0)),"Client ID not found"))</f>
        <v/>
      </c>
      <c r="D78" s="17"/>
      <c r="E78" s="40"/>
      <c r="F78" s="41"/>
      <c r="G78" s="17"/>
      <c r="H78" s="17"/>
      <c r="I78" s="17"/>
      <c r="J78" s="40"/>
      <c r="K78" s="17"/>
      <c r="L78" s="17"/>
      <c r="M78" s="17"/>
      <c r="N78" s="44" t="str">
        <f aca="true">IF(A78="","",IF(N(K78)&gt;Settings!$S$7,"Over revision limit",IF(AND(D78="Free video",J78="",E78&lt;&gt;"",TODAY()&gt;WORKDAY(E78,Settings!$S$5)),"LATE – free video promised in 5 working days",IF(AND(E78&lt;&gt;"",E78=TODAY()),"Shooting today",""))))</f>
        <v/>
      </c>
    </row>
    <row r="79" customFormat="false" ht="15" hidden="false" customHeight="false" outlineLevel="0" collapsed="false">
      <c r="A79" s="17"/>
      <c r="B79" s="17"/>
      <c r="C79" s="44" t="str">
        <f aca="false">IF(B79="","",IFERROR(INDEX(Clients!$C$2:$C$501,MATCH(B79,Clients!$A$2:$A$501,0)),"Client ID not found"))</f>
        <v/>
      </c>
      <c r="D79" s="17"/>
      <c r="E79" s="40"/>
      <c r="F79" s="41"/>
      <c r="G79" s="17"/>
      <c r="H79" s="17"/>
      <c r="I79" s="17"/>
      <c r="J79" s="40"/>
      <c r="K79" s="17"/>
      <c r="L79" s="17"/>
      <c r="M79" s="17"/>
      <c r="N79" s="44" t="str">
        <f aca="true">IF(A79="","",IF(N(K79)&gt;Settings!$S$7,"Over revision limit",IF(AND(D79="Free video",J79="",E79&lt;&gt;"",TODAY()&gt;WORKDAY(E79,Settings!$S$5)),"LATE – free video promised in 5 working days",IF(AND(E79&lt;&gt;"",E79=TODAY()),"Shooting today",""))))</f>
        <v/>
      </c>
    </row>
    <row r="80" customFormat="false" ht="15" hidden="false" customHeight="false" outlineLevel="0" collapsed="false">
      <c r="A80" s="17"/>
      <c r="B80" s="17"/>
      <c r="C80" s="44" t="str">
        <f aca="false">IF(B80="","",IFERROR(INDEX(Clients!$C$2:$C$501,MATCH(B80,Clients!$A$2:$A$501,0)),"Client ID not found"))</f>
        <v/>
      </c>
      <c r="D80" s="17"/>
      <c r="E80" s="40"/>
      <c r="F80" s="41"/>
      <c r="G80" s="17"/>
      <c r="H80" s="17"/>
      <c r="I80" s="17"/>
      <c r="J80" s="40"/>
      <c r="K80" s="17"/>
      <c r="L80" s="17"/>
      <c r="M80" s="17"/>
      <c r="N80" s="44" t="str">
        <f aca="true">IF(A80="","",IF(N(K80)&gt;Settings!$S$7,"Over revision limit",IF(AND(D80="Free video",J80="",E80&lt;&gt;"",TODAY()&gt;WORKDAY(E80,Settings!$S$5)),"LATE – free video promised in 5 working days",IF(AND(E80&lt;&gt;"",E80=TODAY()),"Shooting today",""))))</f>
        <v/>
      </c>
    </row>
    <row r="81" customFormat="false" ht="15" hidden="false" customHeight="false" outlineLevel="0" collapsed="false">
      <c r="A81" s="17"/>
      <c r="B81" s="17"/>
      <c r="C81" s="44" t="str">
        <f aca="false">IF(B81="","",IFERROR(INDEX(Clients!$C$2:$C$501,MATCH(B81,Clients!$A$2:$A$501,0)),"Client ID not found"))</f>
        <v/>
      </c>
      <c r="D81" s="17"/>
      <c r="E81" s="40"/>
      <c r="F81" s="41"/>
      <c r="G81" s="17"/>
      <c r="H81" s="17"/>
      <c r="I81" s="17"/>
      <c r="J81" s="40"/>
      <c r="K81" s="17"/>
      <c r="L81" s="17"/>
      <c r="M81" s="17"/>
      <c r="N81" s="44" t="str">
        <f aca="true">IF(A81="","",IF(N(K81)&gt;Settings!$S$7,"Over revision limit",IF(AND(D81="Free video",J81="",E81&lt;&gt;"",TODAY()&gt;WORKDAY(E81,Settings!$S$5)),"LATE – free video promised in 5 working days",IF(AND(E81&lt;&gt;"",E81=TODAY()),"Shooting today",""))))</f>
        <v/>
      </c>
    </row>
    <row r="82" customFormat="false" ht="15" hidden="false" customHeight="false" outlineLevel="0" collapsed="false">
      <c r="A82" s="17"/>
      <c r="B82" s="17"/>
      <c r="C82" s="44" t="str">
        <f aca="false">IF(B82="","",IFERROR(INDEX(Clients!$C$2:$C$501,MATCH(B82,Clients!$A$2:$A$501,0)),"Client ID not found"))</f>
        <v/>
      </c>
      <c r="D82" s="17"/>
      <c r="E82" s="40"/>
      <c r="F82" s="41"/>
      <c r="G82" s="17"/>
      <c r="H82" s="17"/>
      <c r="I82" s="17"/>
      <c r="J82" s="40"/>
      <c r="K82" s="17"/>
      <c r="L82" s="17"/>
      <c r="M82" s="17"/>
      <c r="N82" s="44" t="str">
        <f aca="true">IF(A82="","",IF(N(K82)&gt;Settings!$S$7,"Over revision limit",IF(AND(D82="Free video",J82="",E82&lt;&gt;"",TODAY()&gt;WORKDAY(E82,Settings!$S$5)),"LATE – free video promised in 5 working days",IF(AND(E82&lt;&gt;"",E82=TODAY()),"Shooting today",""))))</f>
        <v/>
      </c>
    </row>
    <row r="83" customFormat="false" ht="15" hidden="false" customHeight="false" outlineLevel="0" collapsed="false">
      <c r="A83" s="17"/>
      <c r="B83" s="17"/>
      <c r="C83" s="44" t="str">
        <f aca="false">IF(B83="","",IFERROR(INDEX(Clients!$C$2:$C$501,MATCH(B83,Clients!$A$2:$A$501,0)),"Client ID not found"))</f>
        <v/>
      </c>
      <c r="D83" s="17"/>
      <c r="E83" s="40"/>
      <c r="F83" s="41"/>
      <c r="G83" s="17"/>
      <c r="H83" s="17"/>
      <c r="I83" s="17"/>
      <c r="J83" s="40"/>
      <c r="K83" s="17"/>
      <c r="L83" s="17"/>
      <c r="M83" s="17"/>
      <c r="N83" s="44" t="str">
        <f aca="true">IF(A83="","",IF(N(K83)&gt;Settings!$S$7,"Over revision limit",IF(AND(D83="Free video",J83="",E83&lt;&gt;"",TODAY()&gt;WORKDAY(E83,Settings!$S$5)),"LATE – free video promised in 5 working days",IF(AND(E83&lt;&gt;"",E83=TODAY()),"Shooting today",""))))</f>
        <v/>
      </c>
    </row>
    <row r="84" customFormat="false" ht="15" hidden="false" customHeight="false" outlineLevel="0" collapsed="false">
      <c r="A84" s="17"/>
      <c r="B84" s="17"/>
      <c r="C84" s="44" t="str">
        <f aca="false">IF(B84="","",IFERROR(INDEX(Clients!$C$2:$C$501,MATCH(B84,Clients!$A$2:$A$501,0)),"Client ID not found"))</f>
        <v/>
      </c>
      <c r="D84" s="17"/>
      <c r="E84" s="40"/>
      <c r="F84" s="41"/>
      <c r="G84" s="17"/>
      <c r="H84" s="17"/>
      <c r="I84" s="17"/>
      <c r="J84" s="40"/>
      <c r="K84" s="17"/>
      <c r="L84" s="17"/>
      <c r="M84" s="17"/>
      <c r="N84" s="44" t="str">
        <f aca="true">IF(A84="","",IF(N(K84)&gt;Settings!$S$7,"Over revision limit",IF(AND(D84="Free video",J84="",E84&lt;&gt;"",TODAY()&gt;WORKDAY(E84,Settings!$S$5)),"LATE – free video promised in 5 working days",IF(AND(E84&lt;&gt;"",E84=TODAY()),"Shooting today",""))))</f>
        <v/>
      </c>
    </row>
    <row r="85" customFormat="false" ht="15" hidden="false" customHeight="false" outlineLevel="0" collapsed="false">
      <c r="A85" s="17"/>
      <c r="B85" s="17"/>
      <c r="C85" s="44" t="str">
        <f aca="false">IF(B85="","",IFERROR(INDEX(Clients!$C$2:$C$501,MATCH(B85,Clients!$A$2:$A$501,0)),"Client ID not found"))</f>
        <v/>
      </c>
      <c r="D85" s="17"/>
      <c r="E85" s="40"/>
      <c r="F85" s="41"/>
      <c r="G85" s="17"/>
      <c r="H85" s="17"/>
      <c r="I85" s="17"/>
      <c r="J85" s="40"/>
      <c r="K85" s="17"/>
      <c r="L85" s="17"/>
      <c r="M85" s="17"/>
      <c r="N85" s="44" t="str">
        <f aca="true">IF(A85="","",IF(N(K85)&gt;Settings!$S$7,"Over revision limit",IF(AND(D85="Free video",J85="",E85&lt;&gt;"",TODAY()&gt;WORKDAY(E85,Settings!$S$5)),"LATE – free video promised in 5 working days",IF(AND(E85&lt;&gt;"",E85=TODAY()),"Shooting today",""))))</f>
        <v/>
      </c>
    </row>
    <row r="86" customFormat="false" ht="15" hidden="false" customHeight="false" outlineLevel="0" collapsed="false">
      <c r="A86" s="17"/>
      <c r="B86" s="17"/>
      <c r="C86" s="44" t="str">
        <f aca="false">IF(B86="","",IFERROR(INDEX(Clients!$C$2:$C$501,MATCH(B86,Clients!$A$2:$A$501,0)),"Client ID not found"))</f>
        <v/>
      </c>
      <c r="D86" s="17"/>
      <c r="E86" s="40"/>
      <c r="F86" s="41"/>
      <c r="G86" s="17"/>
      <c r="H86" s="17"/>
      <c r="I86" s="17"/>
      <c r="J86" s="40"/>
      <c r="K86" s="17"/>
      <c r="L86" s="17"/>
      <c r="M86" s="17"/>
      <c r="N86" s="44" t="str">
        <f aca="true">IF(A86="","",IF(N(K86)&gt;Settings!$S$7,"Over revision limit",IF(AND(D86="Free video",J86="",E86&lt;&gt;"",TODAY()&gt;WORKDAY(E86,Settings!$S$5)),"LATE – free video promised in 5 working days",IF(AND(E86&lt;&gt;"",E86=TODAY()),"Shooting today",""))))</f>
        <v/>
      </c>
    </row>
    <row r="87" customFormat="false" ht="15" hidden="false" customHeight="false" outlineLevel="0" collapsed="false">
      <c r="A87" s="17"/>
      <c r="B87" s="17"/>
      <c r="C87" s="44" t="str">
        <f aca="false">IF(B87="","",IFERROR(INDEX(Clients!$C$2:$C$501,MATCH(B87,Clients!$A$2:$A$501,0)),"Client ID not found"))</f>
        <v/>
      </c>
      <c r="D87" s="17"/>
      <c r="E87" s="40"/>
      <c r="F87" s="41"/>
      <c r="G87" s="17"/>
      <c r="H87" s="17"/>
      <c r="I87" s="17"/>
      <c r="J87" s="40"/>
      <c r="K87" s="17"/>
      <c r="L87" s="17"/>
      <c r="M87" s="17"/>
      <c r="N87" s="44" t="str">
        <f aca="true">IF(A87="","",IF(N(K87)&gt;Settings!$S$7,"Over revision limit",IF(AND(D87="Free video",J87="",E87&lt;&gt;"",TODAY()&gt;WORKDAY(E87,Settings!$S$5)),"LATE – free video promised in 5 working days",IF(AND(E87&lt;&gt;"",E87=TODAY()),"Shooting today",""))))</f>
        <v/>
      </c>
    </row>
    <row r="88" customFormat="false" ht="15" hidden="false" customHeight="false" outlineLevel="0" collapsed="false">
      <c r="A88" s="17"/>
      <c r="B88" s="17"/>
      <c r="C88" s="44" t="str">
        <f aca="false">IF(B88="","",IFERROR(INDEX(Clients!$C$2:$C$501,MATCH(B88,Clients!$A$2:$A$501,0)),"Client ID not found"))</f>
        <v/>
      </c>
      <c r="D88" s="17"/>
      <c r="E88" s="40"/>
      <c r="F88" s="41"/>
      <c r="G88" s="17"/>
      <c r="H88" s="17"/>
      <c r="I88" s="17"/>
      <c r="J88" s="40"/>
      <c r="K88" s="17"/>
      <c r="L88" s="17"/>
      <c r="M88" s="17"/>
      <c r="N88" s="44" t="str">
        <f aca="true">IF(A88="","",IF(N(K88)&gt;Settings!$S$7,"Over revision limit",IF(AND(D88="Free video",J88="",E88&lt;&gt;"",TODAY()&gt;WORKDAY(E88,Settings!$S$5)),"LATE – free video promised in 5 working days",IF(AND(E88&lt;&gt;"",E88=TODAY()),"Shooting today",""))))</f>
        <v/>
      </c>
    </row>
    <row r="89" customFormat="false" ht="15" hidden="false" customHeight="false" outlineLevel="0" collapsed="false">
      <c r="A89" s="17"/>
      <c r="B89" s="17"/>
      <c r="C89" s="44" t="str">
        <f aca="false">IF(B89="","",IFERROR(INDEX(Clients!$C$2:$C$501,MATCH(B89,Clients!$A$2:$A$501,0)),"Client ID not found"))</f>
        <v/>
      </c>
      <c r="D89" s="17"/>
      <c r="E89" s="40"/>
      <c r="F89" s="41"/>
      <c r="G89" s="17"/>
      <c r="H89" s="17"/>
      <c r="I89" s="17"/>
      <c r="J89" s="40"/>
      <c r="K89" s="17"/>
      <c r="L89" s="17"/>
      <c r="M89" s="17"/>
      <c r="N89" s="44" t="str">
        <f aca="true">IF(A89="","",IF(N(K89)&gt;Settings!$S$7,"Over revision limit",IF(AND(D89="Free video",J89="",E89&lt;&gt;"",TODAY()&gt;WORKDAY(E89,Settings!$S$5)),"LATE – free video promised in 5 working days",IF(AND(E89&lt;&gt;"",E89=TODAY()),"Shooting today",""))))</f>
        <v/>
      </c>
    </row>
    <row r="90" customFormat="false" ht="15" hidden="false" customHeight="false" outlineLevel="0" collapsed="false">
      <c r="A90" s="17"/>
      <c r="B90" s="17"/>
      <c r="C90" s="44" t="str">
        <f aca="false">IF(B90="","",IFERROR(INDEX(Clients!$C$2:$C$501,MATCH(B90,Clients!$A$2:$A$501,0)),"Client ID not found"))</f>
        <v/>
      </c>
      <c r="D90" s="17"/>
      <c r="E90" s="40"/>
      <c r="F90" s="41"/>
      <c r="G90" s="17"/>
      <c r="H90" s="17"/>
      <c r="I90" s="17"/>
      <c r="J90" s="40"/>
      <c r="K90" s="17"/>
      <c r="L90" s="17"/>
      <c r="M90" s="17"/>
      <c r="N90" s="44" t="str">
        <f aca="true">IF(A90="","",IF(N(K90)&gt;Settings!$S$7,"Over revision limit",IF(AND(D90="Free video",J90="",E90&lt;&gt;"",TODAY()&gt;WORKDAY(E90,Settings!$S$5)),"LATE – free video promised in 5 working days",IF(AND(E90&lt;&gt;"",E90=TODAY()),"Shooting today",""))))</f>
        <v/>
      </c>
    </row>
    <row r="91" customFormat="false" ht="15" hidden="false" customHeight="false" outlineLevel="0" collapsed="false">
      <c r="A91" s="17"/>
      <c r="B91" s="17"/>
      <c r="C91" s="44" t="str">
        <f aca="false">IF(B91="","",IFERROR(INDEX(Clients!$C$2:$C$501,MATCH(B91,Clients!$A$2:$A$501,0)),"Client ID not found"))</f>
        <v/>
      </c>
      <c r="D91" s="17"/>
      <c r="E91" s="40"/>
      <c r="F91" s="41"/>
      <c r="G91" s="17"/>
      <c r="H91" s="17"/>
      <c r="I91" s="17"/>
      <c r="J91" s="40"/>
      <c r="K91" s="17"/>
      <c r="L91" s="17"/>
      <c r="M91" s="17"/>
      <c r="N91" s="44" t="str">
        <f aca="true">IF(A91="","",IF(N(K91)&gt;Settings!$S$7,"Over revision limit",IF(AND(D91="Free video",J91="",E91&lt;&gt;"",TODAY()&gt;WORKDAY(E91,Settings!$S$5)),"LATE – free video promised in 5 working days",IF(AND(E91&lt;&gt;"",E91=TODAY()),"Shooting today",""))))</f>
        <v/>
      </c>
    </row>
    <row r="92" customFormat="false" ht="15" hidden="false" customHeight="false" outlineLevel="0" collapsed="false">
      <c r="A92" s="17"/>
      <c r="B92" s="17"/>
      <c r="C92" s="44" t="str">
        <f aca="false">IF(B92="","",IFERROR(INDEX(Clients!$C$2:$C$501,MATCH(B92,Clients!$A$2:$A$501,0)),"Client ID not found"))</f>
        <v/>
      </c>
      <c r="D92" s="17"/>
      <c r="E92" s="40"/>
      <c r="F92" s="41"/>
      <c r="G92" s="17"/>
      <c r="H92" s="17"/>
      <c r="I92" s="17"/>
      <c r="J92" s="40"/>
      <c r="K92" s="17"/>
      <c r="L92" s="17"/>
      <c r="M92" s="17"/>
      <c r="N92" s="44" t="str">
        <f aca="true">IF(A92="","",IF(N(K92)&gt;Settings!$S$7,"Over revision limit",IF(AND(D92="Free video",J92="",E92&lt;&gt;"",TODAY()&gt;WORKDAY(E92,Settings!$S$5)),"LATE – free video promised in 5 working days",IF(AND(E92&lt;&gt;"",E92=TODAY()),"Shooting today",""))))</f>
        <v/>
      </c>
    </row>
    <row r="93" customFormat="false" ht="15" hidden="false" customHeight="false" outlineLevel="0" collapsed="false">
      <c r="A93" s="17"/>
      <c r="B93" s="17"/>
      <c r="C93" s="44" t="str">
        <f aca="false">IF(B93="","",IFERROR(INDEX(Clients!$C$2:$C$501,MATCH(B93,Clients!$A$2:$A$501,0)),"Client ID not found"))</f>
        <v/>
      </c>
      <c r="D93" s="17"/>
      <c r="E93" s="40"/>
      <c r="F93" s="41"/>
      <c r="G93" s="17"/>
      <c r="H93" s="17"/>
      <c r="I93" s="17"/>
      <c r="J93" s="40"/>
      <c r="K93" s="17"/>
      <c r="L93" s="17"/>
      <c r="M93" s="17"/>
      <c r="N93" s="44" t="str">
        <f aca="true">IF(A93="","",IF(N(K93)&gt;Settings!$S$7,"Over revision limit",IF(AND(D93="Free video",J93="",E93&lt;&gt;"",TODAY()&gt;WORKDAY(E93,Settings!$S$5)),"LATE – free video promised in 5 working days",IF(AND(E93&lt;&gt;"",E93=TODAY()),"Shooting today",""))))</f>
        <v/>
      </c>
    </row>
    <row r="94" customFormat="false" ht="15" hidden="false" customHeight="false" outlineLevel="0" collapsed="false">
      <c r="A94" s="17"/>
      <c r="B94" s="17"/>
      <c r="C94" s="44" t="str">
        <f aca="false">IF(B94="","",IFERROR(INDEX(Clients!$C$2:$C$501,MATCH(B94,Clients!$A$2:$A$501,0)),"Client ID not found"))</f>
        <v/>
      </c>
      <c r="D94" s="17"/>
      <c r="E94" s="40"/>
      <c r="F94" s="41"/>
      <c r="G94" s="17"/>
      <c r="H94" s="17"/>
      <c r="I94" s="17"/>
      <c r="J94" s="40"/>
      <c r="K94" s="17"/>
      <c r="L94" s="17"/>
      <c r="M94" s="17"/>
      <c r="N94" s="44" t="str">
        <f aca="true">IF(A94="","",IF(N(K94)&gt;Settings!$S$7,"Over revision limit",IF(AND(D94="Free video",J94="",E94&lt;&gt;"",TODAY()&gt;WORKDAY(E94,Settings!$S$5)),"LATE – free video promised in 5 working days",IF(AND(E94&lt;&gt;"",E94=TODAY()),"Shooting today",""))))</f>
        <v/>
      </c>
    </row>
    <row r="95" customFormat="false" ht="15" hidden="false" customHeight="false" outlineLevel="0" collapsed="false">
      <c r="A95" s="17"/>
      <c r="B95" s="17"/>
      <c r="C95" s="44" t="str">
        <f aca="false">IF(B95="","",IFERROR(INDEX(Clients!$C$2:$C$501,MATCH(B95,Clients!$A$2:$A$501,0)),"Client ID not found"))</f>
        <v/>
      </c>
      <c r="D95" s="17"/>
      <c r="E95" s="40"/>
      <c r="F95" s="41"/>
      <c r="G95" s="17"/>
      <c r="H95" s="17"/>
      <c r="I95" s="17"/>
      <c r="J95" s="40"/>
      <c r="K95" s="17"/>
      <c r="L95" s="17"/>
      <c r="M95" s="17"/>
      <c r="N95" s="44" t="str">
        <f aca="true">IF(A95="","",IF(N(K95)&gt;Settings!$S$7,"Over revision limit",IF(AND(D95="Free video",J95="",E95&lt;&gt;"",TODAY()&gt;WORKDAY(E95,Settings!$S$5)),"LATE – free video promised in 5 working days",IF(AND(E95&lt;&gt;"",E95=TODAY()),"Shooting today",""))))</f>
        <v/>
      </c>
    </row>
    <row r="96" customFormat="false" ht="15" hidden="false" customHeight="false" outlineLevel="0" collapsed="false">
      <c r="A96" s="17"/>
      <c r="B96" s="17"/>
      <c r="C96" s="44" t="str">
        <f aca="false">IF(B96="","",IFERROR(INDEX(Clients!$C$2:$C$501,MATCH(B96,Clients!$A$2:$A$501,0)),"Client ID not found"))</f>
        <v/>
      </c>
      <c r="D96" s="17"/>
      <c r="E96" s="40"/>
      <c r="F96" s="41"/>
      <c r="G96" s="17"/>
      <c r="H96" s="17"/>
      <c r="I96" s="17"/>
      <c r="J96" s="40"/>
      <c r="K96" s="17"/>
      <c r="L96" s="17"/>
      <c r="M96" s="17"/>
      <c r="N96" s="44" t="str">
        <f aca="true">IF(A96="","",IF(N(K96)&gt;Settings!$S$7,"Over revision limit",IF(AND(D96="Free video",J96="",E96&lt;&gt;"",TODAY()&gt;WORKDAY(E96,Settings!$S$5)),"LATE – free video promised in 5 working days",IF(AND(E96&lt;&gt;"",E96=TODAY()),"Shooting today",""))))</f>
        <v/>
      </c>
    </row>
    <row r="97" customFormat="false" ht="15" hidden="false" customHeight="false" outlineLevel="0" collapsed="false">
      <c r="A97" s="17"/>
      <c r="B97" s="17"/>
      <c r="C97" s="44" t="str">
        <f aca="false">IF(B97="","",IFERROR(INDEX(Clients!$C$2:$C$501,MATCH(B97,Clients!$A$2:$A$501,0)),"Client ID not found"))</f>
        <v/>
      </c>
      <c r="D97" s="17"/>
      <c r="E97" s="40"/>
      <c r="F97" s="41"/>
      <c r="G97" s="17"/>
      <c r="H97" s="17"/>
      <c r="I97" s="17"/>
      <c r="J97" s="40"/>
      <c r="K97" s="17"/>
      <c r="L97" s="17"/>
      <c r="M97" s="17"/>
      <c r="N97" s="44" t="str">
        <f aca="true">IF(A97="","",IF(N(K97)&gt;Settings!$S$7,"Over revision limit",IF(AND(D97="Free video",J97="",E97&lt;&gt;"",TODAY()&gt;WORKDAY(E97,Settings!$S$5)),"LATE – free video promised in 5 working days",IF(AND(E97&lt;&gt;"",E97=TODAY()),"Shooting today",""))))</f>
        <v/>
      </c>
    </row>
    <row r="98" customFormat="false" ht="15" hidden="false" customHeight="false" outlineLevel="0" collapsed="false">
      <c r="A98" s="17"/>
      <c r="B98" s="17"/>
      <c r="C98" s="44" t="str">
        <f aca="false">IF(B98="","",IFERROR(INDEX(Clients!$C$2:$C$501,MATCH(B98,Clients!$A$2:$A$501,0)),"Client ID not found"))</f>
        <v/>
      </c>
      <c r="D98" s="17"/>
      <c r="E98" s="40"/>
      <c r="F98" s="41"/>
      <c r="G98" s="17"/>
      <c r="H98" s="17"/>
      <c r="I98" s="17"/>
      <c r="J98" s="40"/>
      <c r="K98" s="17"/>
      <c r="L98" s="17"/>
      <c r="M98" s="17"/>
      <c r="N98" s="44" t="str">
        <f aca="true">IF(A98="","",IF(N(K98)&gt;Settings!$S$7,"Over revision limit",IF(AND(D98="Free video",J98="",E98&lt;&gt;"",TODAY()&gt;WORKDAY(E98,Settings!$S$5)),"LATE – free video promised in 5 working days",IF(AND(E98&lt;&gt;"",E98=TODAY()),"Shooting today",""))))</f>
        <v/>
      </c>
    </row>
    <row r="99" customFormat="false" ht="15" hidden="false" customHeight="false" outlineLevel="0" collapsed="false">
      <c r="A99" s="17"/>
      <c r="B99" s="17"/>
      <c r="C99" s="44" t="str">
        <f aca="false">IF(B99="","",IFERROR(INDEX(Clients!$C$2:$C$501,MATCH(B99,Clients!$A$2:$A$501,0)),"Client ID not found"))</f>
        <v/>
      </c>
      <c r="D99" s="17"/>
      <c r="E99" s="40"/>
      <c r="F99" s="41"/>
      <c r="G99" s="17"/>
      <c r="H99" s="17"/>
      <c r="I99" s="17"/>
      <c r="J99" s="40"/>
      <c r="K99" s="17"/>
      <c r="L99" s="17"/>
      <c r="M99" s="17"/>
      <c r="N99" s="44" t="str">
        <f aca="true">IF(A99="","",IF(N(K99)&gt;Settings!$S$7,"Over revision limit",IF(AND(D99="Free video",J99="",E99&lt;&gt;"",TODAY()&gt;WORKDAY(E99,Settings!$S$5)),"LATE – free video promised in 5 working days",IF(AND(E99&lt;&gt;"",E99=TODAY()),"Shooting today",""))))</f>
        <v/>
      </c>
    </row>
    <row r="100" customFormat="false" ht="15" hidden="false" customHeight="false" outlineLevel="0" collapsed="false">
      <c r="A100" s="17"/>
      <c r="B100" s="17"/>
      <c r="C100" s="44" t="str">
        <f aca="false">IF(B100="","",IFERROR(INDEX(Clients!$C$2:$C$501,MATCH(B100,Clients!$A$2:$A$501,0)),"Client ID not found"))</f>
        <v/>
      </c>
      <c r="D100" s="17"/>
      <c r="E100" s="40"/>
      <c r="F100" s="41"/>
      <c r="G100" s="17"/>
      <c r="H100" s="17"/>
      <c r="I100" s="17"/>
      <c r="J100" s="40"/>
      <c r="K100" s="17"/>
      <c r="L100" s="17"/>
      <c r="M100" s="17"/>
      <c r="N100" s="44" t="str">
        <f aca="true">IF(A100="","",IF(N(K100)&gt;Settings!$S$7,"Over revision limit",IF(AND(D100="Free video",J100="",E100&lt;&gt;"",TODAY()&gt;WORKDAY(E100,Settings!$S$5)),"LATE – free video promised in 5 working days",IF(AND(E100&lt;&gt;"",E100=TODAY()),"Shooting today",""))))</f>
        <v/>
      </c>
    </row>
    <row r="101" customFormat="false" ht="15" hidden="false" customHeight="false" outlineLevel="0" collapsed="false">
      <c r="A101" s="17"/>
      <c r="B101" s="17"/>
      <c r="C101" s="44" t="str">
        <f aca="false">IF(B101="","",IFERROR(INDEX(Clients!$C$2:$C$501,MATCH(B101,Clients!$A$2:$A$501,0)),"Client ID not found"))</f>
        <v/>
      </c>
      <c r="D101" s="17"/>
      <c r="E101" s="40"/>
      <c r="F101" s="41"/>
      <c r="G101" s="17"/>
      <c r="H101" s="17"/>
      <c r="I101" s="17"/>
      <c r="J101" s="40"/>
      <c r="K101" s="17"/>
      <c r="L101" s="17"/>
      <c r="M101" s="17"/>
      <c r="N101" s="44" t="str">
        <f aca="true">IF(A101="","",IF(N(K101)&gt;Settings!$S$7,"Over revision limit",IF(AND(D101="Free video",J101="",E101&lt;&gt;"",TODAY()&gt;WORKDAY(E101,Settings!$S$5)),"LATE – free video promised in 5 working days",IF(AND(E101&lt;&gt;"",E101=TODAY()),"Shooting today",""))))</f>
        <v/>
      </c>
    </row>
    <row r="102" customFormat="false" ht="15" hidden="false" customHeight="false" outlineLevel="0" collapsed="false">
      <c r="A102" s="17"/>
      <c r="B102" s="17"/>
      <c r="C102" s="44" t="str">
        <f aca="false">IF(B102="","",IFERROR(INDEX(Clients!$C$2:$C$501,MATCH(B102,Clients!$A$2:$A$501,0)),"Client ID not found"))</f>
        <v/>
      </c>
      <c r="D102" s="17"/>
      <c r="E102" s="40"/>
      <c r="F102" s="41"/>
      <c r="G102" s="17"/>
      <c r="H102" s="17"/>
      <c r="I102" s="17"/>
      <c r="J102" s="40"/>
      <c r="K102" s="17"/>
      <c r="L102" s="17"/>
      <c r="M102" s="17"/>
      <c r="N102" s="44" t="str">
        <f aca="true">IF(A102="","",IF(N(K102)&gt;Settings!$S$7,"Over revision limit",IF(AND(D102="Free video",J102="",E102&lt;&gt;"",TODAY()&gt;WORKDAY(E102,Settings!$S$5)),"LATE – free video promised in 5 working days",IF(AND(E102&lt;&gt;"",E102=TODAY()),"Shooting today",""))))</f>
        <v/>
      </c>
    </row>
    <row r="103" customFormat="false" ht="15" hidden="false" customHeight="false" outlineLevel="0" collapsed="false">
      <c r="A103" s="17"/>
      <c r="B103" s="17"/>
      <c r="C103" s="44" t="str">
        <f aca="false">IF(B103="","",IFERROR(INDEX(Clients!$C$2:$C$501,MATCH(B103,Clients!$A$2:$A$501,0)),"Client ID not found"))</f>
        <v/>
      </c>
      <c r="D103" s="17"/>
      <c r="E103" s="40"/>
      <c r="F103" s="41"/>
      <c r="G103" s="17"/>
      <c r="H103" s="17"/>
      <c r="I103" s="17"/>
      <c r="J103" s="40"/>
      <c r="K103" s="17"/>
      <c r="L103" s="17"/>
      <c r="M103" s="17"/>
      <c r="N103" s="44" t="str">
        <f aca="true">IF(A103="","",IF(N(K103)&gt;Settings!$S$7,"Over revision limit",IF(AND(D103="Free video",J103="",E103&lt;&gt;"",TODAY()&gt;WORKDAY(E103,Settings!$S$5)),"LATE – free video promised in 5 working days",IF(AND(E103&lt;&gt;"",E103=TODAY()),"Shooting today",""))))</f>
        <v/>
      </c>
    </row>
    <row r="104" customFormat="false" ht="15" hidden="false" customHeight="false" outlineLevel="0" collapsed="false">
      <c r="A104" s="17"/>
      <c r="B104" s="17"/>
      <c r="C104" s="44" t="str">
        <f aca="false">IF(B104="","",IFERROR(INDEX(Clients!$C$2:$C$501,MATCH(B104,Clients!$A$2:$A$501,0)),"Client ID not found"))</f>
        <v/>
      </c>
      <c r="D104" s="17"/>
      <c r="E104" s="40"/>
      <c r="F104" s="41"/>
      <c r="G104" s="17"/>
      <c r="H104" s="17"/>
      <c r="I104" s="17"/>
      <c r="J104" s="40"/>
      <c r="K104" s="17"/>
      <c r="L104" s="17"/>
      <c r="M104" s="17"/>
      <c r="N104" s="44" t="str">
        <f aca="true">IF(A104="","",IF(N(K104)&gt;Settings!$S$7,"Over revision limit",IF(AND(D104="Free video",J104="",E104&lt;&gt;"",TODAY()&gt;WORKDAY(E104,Settings!$S$5)),"LATE – free video promised in 5 working days",IF(AND(E104&lt;&gt;"",E104=TODAY()),"Shooting today",""))))</f>
        <v/>
      </c>
    </row>
    <row r="105" customFormat="false" ht="15" hidden="false" customHeight="false" outlineLevel="0" collapsed="false">
      <c r="A105" s="17"/>
      <c r="B105" s="17"/>
      <c r="C105" s="44" t="str">
        <f aca="false">IF(B105="","",IFERROR(INDEX(Clients!$C$2:$C$501,MATCH(B105,Clients!$A$2:$A$501,0)),"Client ID not found"))</f>
        <v/>
      </c>
      <c r="D105" s="17"/>
      <c r="E105" s="40"/>
      <c r="F105" s="41"/>
      <c r="G105" s="17"/>
      <c r="H105" s="17"/>
      <c r="I105" s="17"/>
      <c r="J105" s="40"/>
      <c r="K105" s="17"/>
      <c r="L105" s="17"/>
      <c r="M105" s="17"/>
      <c r="N105" s="44" t="str">
        <f aca="true">IF(A105="","",IF(N(K105)&gt;Settings!$S$7,"Over revision limit",IF(AND(D105="Free video",J105="",E105&lt;&gt;"",TODAY()&gt;WORKDAY(E105,Settings!$S$5)),"LATE – free video promised in 5 working days",IF(AND(E105&lt;&gt;"",E105=TODAY()),"Shooting today",""))))</f>
        <v/>
      </c>
    </row>
    <row r="106" customFormat="false" ht="15" hidden="false" customHeight="false" outlineLevel="0" collapsed="false">
      <c r="A106" s="17"/>
      <c r="B106" s="17"/>
      <c r="C106" s="44" t="str">
        <f aca="false">IF(B106="","",IFERROR(INDEX(Clients!$C$2:$C$501,MATCH(B106,Clients!$A$2:$A$501,0)),"Client ID not found"))</f>
        <v/>
      </c>
      <c r="D106" s="17"/>
      <c r="E106" s="40"/>
      <c r="F106" s="41"/>
      <c r="G106" s="17"/>
      <c r="H106" s="17"/>
      <c r="I106" s="17"/>
      <c r="J106" s="40"/>
      <c r="K106" s="17"/>
      <c r="L106" s="17"/>
      <c r="M106" s="17"/>
      <c r="N106" s="44" t="str">
        <f aca="true">IF(A106="","",IF(N(K106)&gt;Settings!$S$7,"Over revision limit",IF(AND(D106="Free video",J106="",E106&lt;&gt;"",TODAY()&gt;WORKDAY(E106,Settings!$S$5)),"LATE – free video promised in 5 working days",IF(AND(E106&lt;&gt;"",E106=TODAY()),"Shooting today",""))))</f>
        <v/>
      </c>
    </row>
    <row r="107" customFormat="false" ht="15" hidden="false" customHeight="false" outlineLevel="0" collapsed="false">
      <c r="A107" s="17"/>
      <c r="B107" s="17"/>
      <c r="C107" s="44" t="str">
        <f aca="false">IF(B107="","",IFERROR(INDEX(Clients!$C$2:$C$501,MATCH(B107,Clients!$A$2:$A$501,0)),"Client ID not found"))</f>
        <v/>
      </c>
      <c r="D107" s="17"/>
      <c r="E107" s="40"/>
      <c r="F107" s="41"/>
      <c r="G107" s="17"/>
      <c r="H107" s="17"/>
      <c r="I107" s="17"/>
      <c r="J107" s="40"/>
      <c r="K107" s="17"/>
      <c r="L107" s="17"/>
      <c r="M107" s="17"/>
      <c r="N107" s="44" t="str">
        <f aca="true">IF(A107="","",IF(N(K107)&gt;Settings!$S$7,"Over revision limit",IF(AND(D107="Free video",J107="",E107&lt;&gt;"",TODAY()&gt;WORKDAY(E107,Settings!$S$5)),"LATE – free video promised in 5 working days",IF(AND(E107&lt;&gt;"",E107=TODAY()),"Shooting today",""))))</f>
        <v/>
      </c>
    </row>
    <row r="108" customFormat="false" ht="15" hidden="false" customHeight="false" outlineLevel="0" collapsed="false">
      <c r="A108" s="17"/>
      <c r="B108" s="17"/>
      <c r="C108" s="44" t="str">
        <f aca="false">IF(B108="","",IFERROR(INDEX(Clients!$C$2:$C$501,MATCH(B108,Clients!$A$2:$A$501,0)),"Client ID not found"))</f>
        <v/>
      </c>
      <c r="D108" s="17"/>
      <c r="E108" s="40"/>
      <c r="F108" s="41"/>
      <c r="G108" s="17"/>
      <c r="H108" s="17"/>
      <c r="I108" s="17"/>
      <c r="J108" s="40"/>
      <c r="K108" s="17"/>
      <c r="L108" s="17"/>
      <c r="M108" s="17"/>
      <c r="N108" s="44" t="str">
        <f aca="true">IF(A108="","",IF(N(K108)&gt;Settings!$S$7,"Over revision limit",IF(AND(D108="Free video",J108="",E108&lt;&gt;"",TODAY()&gt;WORKDAY(E108,Settings!$S$5)),"LATE – free video promised in 5 working days",IF(AND(E108&lt;&gt;"",E108=TODAY()),"Shooting today",""))))</f>
        <v/>
      </c>
    </row>
    <row r="109" customFormat="false" ht="15" hidden="false" customHeight="false" outlineLevel="0" collapsed="false">
      <c r="A109" s="17"/>
      <c r="B109" s="17"/>
      <c r="C109" s="44" t="str">
        <f aca="false">IF(B109="","",IFERROR(INDEX(Clients!$C$2:$C$501,MATCH(B109,Clients!$A$2:$A$501,0)),"Client ID not found"))</f>
        <v/>
      </c>
      <c r="D109" s="17"/>
      <c r="E109" s="40"/>
      <c r="F109" s="41"/>
      <c r="G109" s="17"/>
      <c r="H109" s="17"/>
      <c r="I109" s="17"/>
      <c r="J109" s="40"/>
      <c r="K109" s="17"/>
      <c r="L109" s="17"/>
      <c r="M109" s="17"/>
      <c r="N109" s="44" t="str">
        <f aca="true">IF(A109="","",IF(N(K109)&gt;Settings!$S$7,"Over revision limit",IF(AND(D109="Free video",J109="",E109&lt;&gt;"",TODAY()&gt;WORKDAY(E109,Settings!$S$5)),"LATE – free video promised in 5 working days",IF(AND(E109&lt;&gt;"",E109=TODAY()),"Shooting today",""))))</f>
        <v/>
      </c>
    </row>
    <row r="110" customFormat="false" ht="15" hidden="false" customHeight="false" outlineLevel="0" collapsed="false">
      <c r="A110" s="17"/>
      <c r="B110" s="17"/>
      <c r="C110" s="44" t="str">
        <f aca="false">IF(B110="","",IFERROR(INDEX(Clients!$C$2:$C$501,MATCH(B110,Clients!$A$2:$A$501,0)),"Client ID not found"))</f>
        <v/>
      </c>
      <c r="D110" s="17"/>
      <c r="E110" s="40"/>
      <c r="F110" s="41"/>
      <c r="G110" s="17"/>
      <c r="H110" s="17"/>
      <c r="I110" s="17"/>
      <c r="J110" s="40"/>
      <c r="K110" s="17"/>
      <c r="L110" s="17"/>
      <c r="M110" s="17"/>
      <c r="N110" s="44" t="str">
        <f aca="true">IF(A110="","",IF(N(K110)&gt;Settings!$S$7,"Over revision limit",IF(AND(D110="Free video",J110="",E110&lt;&gt;"",TODAY()&gt;WORKDAY(E110,Settings!$S$5)),"LATE – free video promised in 5 working days",IF(AND(E110&lt;&gt;"",E110=TODAY()),"Shooting today",""))))</f>
        <v/>
      </c>
    </row>
    <row r="111" customFormat="false" ht="15" hidden="false" customHeight="false" outlineLevel="0" collapsed="false">
      <c r="A111" s="17"/>
      <c r="B111" s="17"/>
      <c r="C111" s="44" t="str">
        <f aca="false">IF(B111="","",IFERROR(INDEX(Clients!$C$2:$C$501,MATCH(B111,Clients!$A$2:$A$501,0)),"Client ID not found"))</f>
        <v/>
      </c>
      <c r="D111" s="17"/>
      <c r="E111" s="40"/>
      <c r="F111" s="41"/>
      <c r="G111" s="17"/>
      <c r="H111" s="17"/>
      <c r="I111" s="17"/>
      <c r="J111" s="40"/>
      <c r="K111" s="17"/>
      <c r="L111" s="17"/>
      <c r="M111" s="17"/>
      <c r="N111" s="44" t="str">
        <f aca="true">IF(A111="","",IF(N(K111)&gt;Settings!$S$7,"Over revision limit",IF(AND(D111="Free video",J111="",E111&lt;&gt;"",TODAY()&gt;WORKDAY(E111,Settings!$S$5)),"LATE – free video promised in 5 working days",IF(AND(E111&lt;&gt;"",E111=TODAY()),"Shooting today",""))))</f>
        <v/>
      </c>
    </row>
    <row r="112" customFormat="false" ht="15" hidden="false" customHeight="false" outlineLevel="0" collapsed="false">
      <c r="A112" s="17"/>
      <c r="B112" s="17"/>
      <c r="C112" s="44" t="str">
        <f aca="false">IF(B112="","",IFERROR(INDEX(Clients!$C$2:$C$501,MATCH(B112,Clients!$A$2:$A$501,0)),"Client ID not found"))</f>
        <v/>
      </c>
      <c r="D112" s="17"/>
      <c r="E112" s="40"/>
      <c r="F112" s="41"/>
      <c r="G112" s="17"/>
      <c r="H112" s="17"/>
      <c r="I112" s="17"/>
      <c r="J112" s="40"/>
      <c r="K112" s="17"/>
      <c r="L112" s="17"/>
      <c r="M112" s="17"/>
      <c r="N112" s="44" t="str">
        <f aca="true">IF(A112="","",IF(N(K112)&gt;Settings!$S$7,"Over revision limit",IF(AND(D112="Free video",J112="",E112&lt;&gt;"",TODAY()&gt;WORKDAY(E112,Settings!$S$5)),"LATE – free video promised in 5 working days",IF(AND(E112&lt;&gt;"",E112=TODAY()),"Shooting today",""))))</f>
        <v/>
      </c>
    </row>
    <row r="113" customFormat="false" ht="15" hidden="false" customHeight="false" outlineLevel="0" collapsed="false">
      <c r="A113" s="17"/>
      <c r="B113" s="17"/>
      <c r="C113" s="44" t="str">
        <f aca="false">IF(B113="","",IFERROR(INDEX(Clients!$C$2:$C$501,MATCH(B113,Clients!$A$2:$A$501,0)),"Client ID not found"))</f>
        <v/>
      </c>
      <c r="D113" s="17"/>
      <c r="E113" s="40"/>
      <c r="F113" s="41"/>
      <c r="G113" s="17"/>
      <c r="H113" s="17"/>
      <c r="I113" s="17"/>
      <c r="J113" s="40"/>
      <c r="K113" s="17"/>
      <c r="L113" s="17"/>
      <c r="M113" s="17"/>
      <c r="N113" s="44" t="str">
        <f aca="true">IF(A113="","",IF(N(K113)&gt;Settings!$S$7,"Over revision limit",IF(AND(D113="Free video",J113="",E113&lt;&gt;"",TODAY()&gt;WORKDAY(E113,Settings!$S$5)),"LATE – free video promised in 5 working days",IF(AND(E113&lt;&gt;"",E113=TODAY()),"Shooting today",""))))</f>
        <v/>
      </c>
    </row>
    <row r="114" customFormat="false" ht="15" hidden="false" customHeight="false" outlineLevel="0" collapsed="false">
      <c r="A114" s="17"/>
      <c r="B114" s="17"/>
      <c r="C114" s="44" t="str">
        <f aca="false">IF(B114="","",IFERROR(INDEX(Clients!$C$2:$C$501,MATCH(B114,Clients!$A$2:$A$501,0)),"Client ID not found"))</f>
        <v/>
      </c>
      <c r="D114" s="17"/>
      <c r="E114" s="40"/>
      <c r="F114" s="41"/>
      <c r="G114" s="17"/>
      <c r="H114" s="17"/>
      <c r="I114" s="17"/>
      <c r="J114" s="40"/>
      <c r="K114" s="17"/>
      <c r="L114" s="17"/>
      <c r="M114" s="17"/>
      <c r="N114" s="44" t="str">
        <f aca="true">IF(A114="","",IF(N(K114)&gt;Settings!$S$7,"Over revision limit",IF(AND(D114="Free video",J114="",E114&lt;&gt;"",TODAY()&gt;WORKDAY(E114,Settings!$S$5)),"LATE – free video promised in 5 working days",IF(AND(E114&lt;&gt;"",E114=TODAY()),"Shooting today",""))))</f>
        <v/>
      </c>
    </row>
    <row r="115" customFormat="false" ht="15" hidden="false" customHeight="false" outlineLevel="0" collapsed="false">
      <c r="A115" s="17"/>
      <c r="B115" s="17"/>
      <c r="C115" s="44" t="str">
        <f aca="false">IF(B115="","",IFERROR(INDEX(Clients!$C$2:$C$501,MATCH(B115,Clients!$A$2:$A$501,0)),"Client ID not found"))</f>
        <v/>
      </c>
      <c r="D115" s="17"/>
      <c r="E115" s="40"/>
      <c r="F115" s="41"/>
      <c r="G115" s="17"/>
      <c r="H115" s="17"/>
      <c r="I115" s="17"/>
      <c r="J115" s="40"/>
      <c r="K115" s="17"/>
      <c r="L115" s="17"/>
      <c r="M115" s="17"/>
      <c r="N115" s="44" t="str">
        <f aca="true">IF(A115="","",IF(N(K115)&gt;Settings!$S$7,"Over revision limit",IF(AND(D115="Free video",J115="",E115&lt;&gt;"",TODAY()&gt;WORKDAY(E115,Settings!$S$5)),"LATE – free video promised in 5 working days",IF(AND(E115&lt;&gt;"",E115=TODAY()),"Shooting today",""))))</f>
        <v/>
      </c>
    </row>
    <row r="116" customFormat="false" ht="15" hidden="false" customHeight="false" outlineLevel="0" collapsed="false">
      <c r="A116" s="17"/>
      <c r="B116" s="17"/>
      <c r="C116" s="44" t="str">
        <f aca="false">IF(B116="","",IFERROR(INDEX(Clients!$C$2:$C$501,MATCH(B116,Clients!$A$2:$A$501,0)),"Client ID not found"))</f>
        <v/>
      </c>
      <c r="D116" s="17"/>
      <c r="E116" s="40"/>
      <c r="F116" s="41"/>
      <c r="G116" s="17"/>
      <c r="H116" s="17"/>
      <c r="I116" s="17"/>
      <c r="J116" s="40"/>
      <c r="K116" s="17"/>
      <c r="L116" s="17"/>
      <c r="M116" s="17"/>
      <c r="N116" s="44" t="str">
        <f aca="true">IF(A116="","",IF(N(K116)&gt;Settings!$S$7,"Over revision limit",IF(AND(D116="Free video",J116="",E116&lt;&gt;"",TODAY()&gt;WORKDAY(E116,Settings!$S$5)),"LATE – free video promised in 5 working days",IF(AND(E116&lt;&gt;"",E116=TODAY()),"Shooting today",""))))</f>
        <v/>
      </c>
    </row>
    <row r="117" customFormat="false" ht="15" hidden="false" customHeight="false" outlineLevel="0" collapsed="false">
      <c r="A117" s="17"/>
      <c r="B117" s="17"/>
      <c r="C117" s="44" t="str">
        <f aca="false">IF(B117="","",IFERROR(INDEX(Clients!$C$2:$C$501,MATCH(B117,Clients!$A$2:$A$501,0)),"Client ID not found"))</f>
        <v/>
      </c>
      <c r="D117" s="17"/>
      <c r="E117" s="40"/>
      <c r="F117" s="41"/>
      <c r="G117" s="17"/>
      <c r="H117" s="17"/>
      <c r="I117" s="17"/>
      <c r="J117" s="40"/>
      <c r="K117" s="17"/>
      <c r="L117" s="17"/>
      <c r="M117" s="17"/>
      <c r="N117" s="44" t="str">
        <f aca="true">IF(A117="","",IF(N(K117)&gt;Settings!$S$7,"Over revision limit",IF(AND(D117="Free video",J117="",E117&lt;&gt;"",TODAY()&gt;WORKDAY(E117,Settings!$S$5)),"LATE – free video promised in 5 working days",IF(AND(E117&lt;&gt;"",E117=TODAY()),"Shooting today",""))))</f>
        <v/>
      </c>
    </row>
    <row r="118" customFormat="false" ht="15" hidden="false" customHeight="false" outlineLevel="0" collapsed="false">
      <c r="A118" s="17"/>
      <c r="B118" s="17"/>
      <c r="C118" s="44" t="str">
        <f aca="false">IF(B118="","",IFERROR(INDEX(Clients!$C$2:$C$501,MATCH(B118,Clients!$A$2:$A$501,0)),"Client ID not found"))</f>
        <v/>
      </c>
      <c r="D118" s="17"/>
      <c r="E118" s="40"/>
      <c r="F118" s="41"/>
      <c r="G118" s="17"/>
      <c r="H118" s="17"/>
      <c r="I118" s="17"/>
      <c r="J118" s="40"/>
      <c r="K118" s="17"/>
      <c r="L118" s="17"/>
      <c r="M118" s="17"/>
      <c r="N118" s="44" t="str">
        <f aca="true">IF(A118="","",IF(N(K118)&gt;Settings!$S$7,"Over revision limit",IF(AND(D118="Free video",J118="",E118&lt;&gt;"",TODAY()&gt;WORKDAY(E118,Settings!$S$5)),"LATE – free video promised in 5 working days",IF(AND(E118&lt;&gt;"",E118=TODAY()),"Shooting today",""))))</f>
        <v/>
      </c>
    </row>
    <row r="119" customFormat="false" ht="15" hidden="false" customHeight="false" outlineLevel="0" collapsed="false">
      <c r="A119" s="17"/>
      <c r="B119" s="17"/>
      <c r="C119" s="44" t="str">
        <f aca="false">IF(B119="","",IFERROR(INDEX(Clients!$C$2:$C$501,MATCH(B119,Clients!$A$2:$A$501,0)),"Client ID not found"))</f>
        <v/>
      </c>
      <c r="D119" s="17"/>
      <c r="E119" s="40"/>
      <c r="F119" s="41"/>
      <c r="G119" s="17"/>
      <c r="H119" s="17"/>
      <c r="I119" s="17"/>
      <c r="J119" s="40"/>
      <c r="K119" s="17"/>
      <c r="L119" s="17"/>
      <c r="M119" s="17"/>
      <c r="N119" s="44" t="str">
        <f aca="true">IF(A119="","",IF(N(K119)&gt;Settings!$S$7,"Over revision limit",IF(AND(D119="Free video",J119="",E119&lt;&gt;"",TODAY()&gt;WORKDAY(E119,Settings!$S$5)),"LATE – free video promised in 5 working days",IF(AND(E119&lt;&gt;"",E119=TODAY()),"Shooting today",""))))</f>
        <v/>
      </c>
    </row>
    <row r="120" customFormat="false" ht="15" hidden="false" customHeight="false" outlineLevel="0" collapsed="false">
      <c r="A120" s="17"/>
      <c r="B120" s="17"/>
      <c r="C120" s="44" t="str">
        <f aca="false">IF(B120="","",IFERROR(INDEX(Clients!$C$2:$C$501,MATCH(B120,Clients!$A$2:$A$501,0)),"Client ID not found"))</f>
        <v/>
      </c>
      <c r="D120" s="17"/>
      <c r="E120" s="40"/>
      <c r="F120" s="41"/>
      <c r="G120" s="17"/>
      <c r="H120" s="17"/>
      <c r="I120" s="17"/>
      <c r="J120" s="40"/>
      <c r="K120" s="17"/>
      <c r="L120" s="17"/>
      <c r="M120" s="17"/>
      <c r="N120" s="44" t="str">
        <f aca="true">IF(A120="","",IF(N(K120)&gt;Settings!$S$7,"Over revision limit",IF(AND(D120="Free video",J120="",E120&lt;&gt;"",TODAY()&gt;WORKDAY(E120,Settings!$S$5)),"LATE – free video promised in 5 working days",IF(AND(E120&lt;&gt;"",E120=TODAY()),"Shooting today",""))))</f>
        <v/>
      </c>
    </row>
    <row r="121" customFormat="false" ht="15" hidden="false" customHeight="false" outlineLevel="0" collapsed="false">
      <c r="A121" s="17"/>
      <c r="B121" s="17"/>
      <c r="C121" s="44" t="str">
        <f aca="false">IF(B121="","",IFERROR(INDEX(Clients!$C$2:$C$501,MATCH(B121,Clients!$A$2:$A$501,0)),"Client ID not found"))</f>
        <v/>
      </c>
      <c r="D121" s="17"/>
      <c r="E121" s="40"/>
      <c r="F121" s="41"/>
      <c r="G121" s="17"/>
      <c r="H121" s="17"/>
      <c r="I121" s="17"/>
      <c r="J121" s="40"/>
      <c r="K121" s="17"/>
      <c r="L121" s="17"/>
      <c r="M121" s="17"/>
      <c r="N121" s="44" t="str">
        <f aca="true">IF(A121="","",IF(N(K121)&gt;Settings!$S$7,"Over revision limit",IF(AND(D121="Free video",J121="",E121&lt;&gt;"",TODAY()&gt;WORKDAY(E121,Settings!$S$5)),"LATE – free video promised in 5 working days",IF(AND(E121&lt;&gt;"",E121=TODAY()),"Shooting today",""))))</f>
        <v/>
      </c>
    </row>
    <row r="122" customFormat="false" ht="15" hidden="false" customHeight="false" outlineLevel="0" collapsed="false">
      <c r="A122" s="17"/>
      <c r="B122" s="17"/>
      <c r="C122" s="44" t="str">
        <f aca="false">IF(B122="","",IFERROR(INDEX(Clients!$C$2:$C$501,MATCH(B122,Clients!$A$2:$A$501,0)),"Client ID not found"))</f>
        <v/>
      </c>
      <c r="D122" s="17"/>
      <c r="E122" s="40"/>
      <c r="F122" s="41"/>
      <c r="G122" s="17"/>
      <c r="H122" s="17"/>
      <c r="I122" s="17"/>
      <c r="J122" s="40"/>
      <c r="K122" s="17"/>
      <c r="L122" s="17"/>
      <c r="M122" s="17"/>
      <c r="N122" s="44" t="str">
        <f aca="true">IF(A122="","",IF(N(K122)&gt;Settings!$S$7,"Over revision limit",IF(AND(D122="Free video",J122="",E122&lt;&gt;"",TODAY()&gt;WORKDAY(E122,Settings!$S$5)),"LATE – free video promised in 5 working days",IF(AND(E122&lt;&gt;"",E122=TODAY()),"Shooting today",""))))</f>
        <v/>
      </c>
    </row>
    <row r="123" customFormat="false" ht="15" hidden="false" customHeight="false" outlineLevel="0" collapsed="false">
      <c r="A123" s="17"/>
      <c r="B123" s="17"/>
      <c r="C123" s="44" t="str">
        <f aca="false">IF(B123="","",IFERROR(INDEX(Clients!$C$2:$C$501,MATCH(B123,Clients!$A$2:$A$501,0)),"Client ID not found"))</f>
        <v/>
      </c>
      <c r="D123" s="17"/>
      <c r="E123" s="40"/>
      <c r="F123" s="41"/>
      <c r="G123" s="17"/>
      <c r="H123" s="17"/>
      <c r="I123" s="17"/>
      <c r="J123" s="40"/>
      <c r="K123" s="17"/>
      <c r="L123" s="17"/>
      <c r="M123" s="17"/>
      <c r="N123" s="44" t="str">
        <f aca="true">IF(A123="","",IF(N(K123)&gt;Settings!$S$7,"Over revision limit",IF(AND(D123="Free video",J123="",E123&lt;&gt;"",TODAY()&gt;WORKDAY(E123,Settings!$S$5)),"LATE – free video promised in 5 working days",IF(AND(E123&lt;&gt;"",E123=TODAY()),"Shooting today",""))))</f>
        <v/>
      </c>
    </row>
    <row r="124" customFormat="false" ht="15" hidden="false" customHeight="false" outlineLevel="0" collapsed="false">
      <c r="A124" s="17"/>
      <c r="B124" s="17"/>
      <c r="C124" s="44" t="str">
        <f aca="false">IF(B124="","",IFERROR(INDEX(Clients!$C$2:$C$501,MATCH(B124,Clients!$A$2:$A$501,0)),"Client ID not found"))</f>
        <v/>
      </c>
      <c r="D124" s="17"/>
      <c r="E124" s="40"/>
      <c r="F124" s="41"/>
      <c r="G124" s="17"/>
      <c r="H124" s="17"/>
      <c r="I124" s="17"/>
      <c r="J124" s="40"/>
      <c r="K124" s="17"/>
      <c r="L124" s="17"/>
      <c r="M124" s="17"/>
      <c r="N124" s="44" t="str">
        <f aca="true">IF(A124="","",IF(N(K124)&gt;Settings!$S$7,"Over revision limit",IF(AND(D124="Free video",J124="",E124&lt;&gt;"",TODAY()&gt;WORKDAY(E124,Settings!$S$5)),"LATE – free video promised in 5 working days",IF(AND(E124&lt;&gt;"",E124=TODAY()),"Shooting today",""))))</f>
        <v/>
      </c>
    </row>
    <row r="125" customFormat="false" ht="15" hidden="false" customHeight="false" outlineLevel="0" collapsed="false">
      <c r="A125" s="17"/>
      <c r="B125" s="17"/>
      <c r="C125" s="44" t="str">
        <f aca="false">IF(B125="","",IFERROR(INDEX(Clients!$C$2:$C$501,MATCH(B125,Clients!$A$2:$A$501,0)),"Client ID not found"))</f>
        <v/>
      </c>
      <c r="D125" s="17"/>
      <c r="E125" s="40"/>
      <c r="F125" s="41"/>
      <c r="G125" s="17"/>
      <c r="H125" s="17"/>
      <c r="I125" s="17"/>
      <c r="J125" s="40"/>
      <c r="K125" s="17"/>
      <c r="L125" s="17"/>
      <c r="M125" s="17"/>
      <c r="N125" s="44" t="str">
        <f aca="true">IF(A125="","",IF(N(K125)&gt;Settings!$S$7,"Over revision limit",IF(AND(D125="Free video",J125="",E125&lt;&gt;"",TODAY()&gt;WORKDAY(E125,Settings!$S$5)),"LATE – free video promised in 5 working days",IF(AND(E125&lt;&gt;"",E125=TODAY()),"Shooting today",""))))</f>
        <v/>
      </c>
    </row>
    <row r="126" customFormat="false" ht="15" hidden="false" customHeight="false" outlineLevel="0" collapsed="false">
      <c r="A126" s="17"/>
      <c r="B126" s="17"/>
      <c r="C126" s="44" t="str">
        <f aca="false">IF(B126="","",IFERROR(INDEX(Clients!$C$2:$C$501,MATCH(B126,Clients!$A$2:$A$501,0)),"Client ID not found"))</f>
        <v/>
      </c>
      <c r="D126" s="17"/>
      <c r="E126" s="40"/>
      <c r="F126" s="41"/>
      <c r="G126" s="17"/>
      <c r="H126" s="17"/>
      <c r="I126" s="17"/>
      <c r="J126" s="40"/>
      <c r="K126" s="17"/>
      <c r="L126" s="17"/>
      <c r="M126" s="17"/>
      <c r="N126" s="44" t="str">
        <f aca="true">IF(A126="","",IF(N(K126)&gt;Settings!$S$7,"Over revision limit",IF(AND(D126="Free video",J126="",E126&lt;&gt;"",TODAY()&gt;WORKDAY(E126,Settings!$S$5)),"LATE – free video promised in 5 working days",IF(AND(E126&lt;&gt;"",E126=TODAY()),"Shooting today",""))))</f>
        <v/>
      </c>
    </row>
    <row r="127" customFormat="false" ht="15" hidden="false" customHeight="false" outlineLevel="0" collapsed="false">
      <c r="A127" s="17"/>
      <c r="B127" s="17"/>
      <c r="C127" s="44" t="str">
        <f aca="false">IF(B127="","",IFERROR(INDEX(Clients!$C$2:$C$501,MATCH(B127,Clients!$A$2:$A$501,0)),"Client ID not found"))</f>
        <v/>
      </c>
      <c r="D127" s="17"/>
      <c r="E127" s="40"/>
      <c r="F127" s="41"/>
      <c r="G127" s="17"/>
      <c r="H127" s="17"/>
      <c r="I127" s="17"/>
      <c r="J127" s="40"/>
      <c r="K127" s="17"/>
      <c r="L127" s="17"/>
      <c r="M127" s="17"/>
      <c r="N127" s="44" t="str">
        <f aca="true">IF(A127="","",IF(N(K127)&gt;Settings!$S$7,"Over revision limit",IF(AND(D127="Free video",J127="",E127&lt;&gt;"",TODAY()&gt;WORKDAY(E127,Settings!$S$5)),"LATE – free video promised in 5 working days",IF(AND(E127&lt;&gt;"",E127=TODAY()),"Shooting today",""))))</f>
        <v/>
      </c>
    </row>
    <row r="128" customFormat="false" ht="15" hidden="false" customHeight="false" outlineLevel="0" collapsed="false">
      <c r="A128" s="17"/>
      <c r="B128" s="17"/>
      <c r="C128" s="44" t="str">
        <f aca="false">IF(B128="","",IFERROR(INDEX(Clients!$C$2:$C$501,MATCH(B128,Clients!$A$2:$A$501,0)),"Client ID not found"))</f>
        <v/>
      </c>
      <c r="D128" s="17"/>
      <c r="E128" s="40"/>
      <c r="F128" s="41"/>
      <c r="G128" s="17"/>
      <c r="H128" s="17"/>
      <c r="I128" s="17"/>
      <c r="J128" s="40"/>
      <c r="K128" s="17"/>
      <c r="L128" s="17"/>
      <c r="M128" s="17"/>
      <c r="N128" s="44" t="str">
        <f aca="true">IF(A128="","",IF(N(K128)&gt;Settings!$S$7,"Over revision limit",IF(AND(D128="Free video",J128="",E128&lt;&gt;"",TODAY()&gt;WORKDAY(E128,Settings!$S$5)),"LATE – free video promised in 5 working days",IF(AND(E128&lt;&gt;"",E128=TODAY()),"Shooting today",""))))</f>
        <v/>
      </c>
    </row>
    <row r="129" customFormat="false" ht="15" hidden="false" customHeight="false" outlineLevel="0" collapsed="false">
      <c r="A129" s="17"/>
      <c r="B129" s="17"/>
      <c r="C129" s="44" t="str">
        <f aca="false">IF(B129="","",IFERROR(INDEX(Clients!$C$2:$C$501,MATCH(B129,Clients!$A$2:$A$501,0)),"Client ID not found"))</f>
        <v/>
      </c>
      <c r="D129" s="17"/>
      <c r="E129" s="40"/>
      <c r="F129" s="41"/>
      <c r="G129" s="17"/>
      <c r="H129" s="17"/>
      <c r="I129" s="17"/>
      <c r="J129" s="40"/>
      <c r="K129" s="17"/>
      <c r="L129" s="17"/>
      <c r="M129" s="17"/>
      <c r="N129" s="44" t="str">
        <f aca="true">IF(A129="","",IF(N(K129)&gt;Settings!$S$7,"Over revision limit",IF(AND(D129="Free video",J129="",E129&lt;&gt;"",TODAY()&gt;WORKDAY(E129,Settings!$S$5)),"LATE – free video promised in 5 working days",IF(AND(E129&lt;&gt;"",E129=TODAY()),"Shooting today",""))))</f>
        <v/>
      </c>
    </row>
    <row r="130" customFormat="false" ht="15" hidden="false" customHeight="false" outlineLevel="0" collapsed="false">
      <c r="A130" s="17"/>
      <c r="B130" s="17"/>
      <c r="C130" s="44" t="str">
        <f aca="false">IF(B130="","",IFERROR(INDEX(Clients!$C$2:$C$501,MATCH(B130,Clients!$A$2:$A$501,0)),"Client ID not found"))</f>
        <v/>
      </c>
      <c r="D130" s="17"/>
      <c r="E130" s="40"/>
      <c r="F130" s="41"/>
      <c r="G130" s="17"/>
      <c r="H130" s="17"/>
      <c r="I130" s="17"/>
      <c r="J130" s="40"/>
      <c r="K130" s="17"/>
      <c r="L130" s="17"/>
      <c r="M130" s="17"/>
      <c r="N130" s="44" t="str">
        <f aca="true">IF(A130="","",IF(N(K130)&gt;Settings!$S$7,"Over revision limit",IF(AND(D130="Free video",J130="",E130&lt;&gt;"",TODAY()&gt;WORKDAY(E130,Settings!$S$5)),"LATE – free video promised in 5 working days",IF(AND(E130&lt;&gt;"",E130=TODAY()),"Shooting today",""))))</f>
        <v/>
      </c>
    </row>
    <row r="131" customFormat="false" ht="15" hidden="false" customHeight="false" outlineLevel="0" collapsed="false">
      <c r="A131" s="17"/>
      <c r="B131" s="17"/>
      <c r="C131" s="44" t="str">
        <f aca="false">IF(B131="","",IFERROR(INDEX(Clients!$C$2:$C$501,MATCH(B131,Clients!$A$2:$A$501,0)),"Client ID not found"))</f>
        <v/>
      </c>
      <c r="D131" s="17"/>
      <c r="E131" s="40"/>
      <c r="F131" s="41"/>
      <c r="G131" s="17"/>
      <c r="H131" s="17"/>
      <c r="I131" s="17"/>
      <c r="J131" s="40"/>
      <c r="K131" s="17"/>
      <c r="L131" s="17"/>
      <c r="M131" s="17"/>
      <c r="N131" s="44" t="str">
        <f aca="true">IF(A131="","",IF(N(K131)&gt;Settings!$S$7,"Over revision limit",IF(AND(D131="Free video",J131="",E131&lt;&gt;"",TODAY()&gt;WORKDAY(E131,Settings!$S$5)),"LATE – free video promised in 5 working days",IF(AND(E131&lt;&gt;"",E131=TODAY()),"Shooting today",""))))</f>
        <v/>
      </c>
    </row>
    <row r="132" customFormat="false" ht="15" hidden="false" customHeight="false" outlineLevel="0" collapsed="false">
      <c r="A132" s="17"/>
      <c r="B132" s="17"/>
      <c r="C132" s="44" t="str">
        <f aca="false">IF(B132="","",IFERROR(INDEX(Clients!$C$2:$C$501,MATCH(B132,Clients!$A$2:$A$501,0)),"Client ID not found"))</f>
        <v/>
      </c>
      <c r="D132" s="17"/>
      <c r="E132" s="40"/>
      <c r="F132" s="41"/>
      <c r="G132" s="17"/>
      <c r="H132" s="17"/>
      <c r="I132" s="17"/>
      <c r="J132" s="40"/>
      <c r="K132" s="17"/>
      <c r="L132" s="17"/>
      <c r="M132" s="17"/>
      <c r="N132" s="44" t="str">
        <f aca="true">IF(A132="","",IF(N(K132)&gt;Settings!$S$7,"Over revision limit",IF(AND(D132="Free video",J132="",E132&lt;&gt;"",TODAY()&gt;WORKDAY(E132,Settings!$S$5)),"LATE – free video promised in 5 working days",IF(AND(E132&lt;&gt;"",E132=TODAY()),"Shooting today",""))))</f>
        <v/>
      </c>
    </row>
    <row r="133" customFormat="false" ht="15" hidden="false" customHeight="false" outlineLevel="0" collapsed="false">
      <c r="A133" s="17"/>
      <c r="B133" s="17"/>
      <c r="C133" s="44" t="str">
        <f aca="false">IF(B133="","",IFERROR(INDEX(Clients!$C$2:$C$501,MATCH(B133,Clients!$A$2:$A$501,0)),"Client ID not found"))</f>
        <v/>
      </c>
      <c r="D133" s="17"/>
      <c r="E133" s="40"/>
      <c r="F133" s="41"/>
      <c r="G133" s="17"/>
      <c r="H133" s="17"/>
      <c r="I133" s="17"/>
      <c r="J133" s="40"/>
      <c r="K133" s="17"/>
      <c r="L133" s="17"/>
      <c r="M133" s="17"/>
      <c r="N133" s="44" t="str">
        <f aca="true">IF(A133="","",IF(N(K133)&gt;Settings!$S$7,"Over revision limit",IF(AND(D133="Free video",J133="",E133&lt;&gt;"",TODAY()&gt;WORKDAY(E133,Settings!$S$5)),"LATE – free video promised in 5 working days",IF(AND(E133&lt;&gt;"",E133=TODAY()),"Shooting today",""))))</f>
        <v/>
      </c>
    </row>
    <row r="134" customFormat="false" ht="15" hidden="false" customHeight="false" outlineLevel="0" collapsed="false">
      <c r="A134" s="17"/>
      <c r="B134" s="17"/>
      <c r="C134" s="44" t="str">
        <f aca="false">IF(B134="","",IFERROR(INDEX(Clients!$C$2:$C$501,MATCH(B134,Clients!$A$2:$A$501,0)),"Client ID not found"))</f>
        <v/>
      </c>
      <c r="D134" s="17"/>
      <c r="E134" s="40"/>
      <c r="F134" s="41"/>
      <c r="G134" s="17"/>
      <c r="H134" s="17"/>
      <c r="I134" s="17"/>
      <c r="J134" s="40"/>
      <c r="K134" s="17"/>
      <c r="L134" s="17"/>
      <c r="M134" s="17"/>
      <c r="N134" s="44" t="str">
        <f aca="true">IF(A134="","",IF(N(K134)&gt;Settings!$S$7,"Over revision limit",IF(AND(D134="Free video",J134="",E134&lt;&gt;"",TODAY()&gt;WORKDAY(E134,Settings!$S$5)),"LATE – free video promised in 5 working days",IF(AND(E134&lt;&gt;"",E134=TODAY()),"Shooting today",""))))</f>
        <v/>
      </c>
    </row>
    <row r="135" customFormat="false" ht="15" hidden="false" customHeight="false" outlineLevel="0" collapsed="false">
      <c r="A135" s="17"/>
      <c r="B135" s="17"/>
      <c r="C135" s="44" t="str">
        <f aca="false">IF(B135="","",IFERROR(INDEX(Clients!$C$2:$C$501,MATCH(B135,Clients!$A$2:$A$501,0)),"Client ID not found"))</f>
        <v/>
      </c>
      <c r="D135" s="17"/>
      <c r="E135" s="40"/>
      <c r="F135" s="41"/>
      <c r="G135" s="17"/>
      <c r="H135" s="17"/>
      <c r="I135" s="17"/>
      <c r="J135" s="40"/>
      <c r="K135" s="17"/>
      <c r="L135" s="17"/>
      <c r="M135" s="17"/>
      <c r="N135" s="44" t="str">
        <f aca="true">IF(A135="","",IF(N(K135)&gt;Settings!$S$7,"Over revision limit",IF(AND(D135="Free video",J135="",E135&lt;&gt;"",TODAY()&gt;WORKDAY(E135,Settings!$S$5)),"LATE – free video promised in 5 working days",IF(AND(E135&lt;&gt;"",E135=TODAY()),"Shooting today",""))))</f>
        <v/>
      </c>
    </row>
    <row r="136" customFormat="false" ht="15" hidden="false" customHeight="false" outlineLevel="0" collapsed="false">
      <c r="A136" s="17"/>
      <c r="B136" s="17"/>
      <c r="C136" s="44" t="str">
        <f aca="false">IF(B136="","",IFERROR(INDEX(Clients!$C$2:$C$501,MATCH(B136,Clients!$A$2:$A$501,0)),"Client ID not found"))</f>
        <v/>
      </c>
      <c r="D136" s="17"/>
      <c r="E136" s="40"/>
      <c r="F136" s="41"/>
      <c r="G136" s="17"/>
      <c r="H136" s="17"/>
      <c r="I136" s="17"/>
      <c r="J136" s="40"/>
      <c r="K136" s="17"/>
      <c r="L136" s="17"/>
      <c r="M136" s="17"/>
      <c r="N136" s="44" t="str">
        <f aca="true">IF(A136="","",IF(N(K136)&gt;Settings!$S$7,"Over revision limit",IF(AND(D136="Free video",J136="",E136&lt;&gt;"",TODAY()&gt;WORKDAY(E136,Settings!$S$5)),"LATE – free video promised in 5 working days",IF(AND(E136&lt;&gt;"",E136=TODAY()),"Shooting today",""))))</f>
        <v/>
      </c>
    </row>
    <row r="137" customFormat="false" ht="15" hidden="false" customHeight="false" outlineLevel="0" collapsed="false">
      <c r="A137" s="17"/>
      <c r="B137" s="17"/>
      <c r="C137" s="44" t="str">
        <f aca="false">IF(B137="","",IFERROR(INDEX(Clients!$C$2:$C$501,MATCH(B137,Clients!$A$2:$A$501,0)),"Client ID not found"))</f>
        <v/>
      </c>
      <c r="D137" s="17"/>
      <c r="E137" s="40"/>
      <c r="F137" s="41"/>
      <c r="G137" s="17"/>
      <c r="H137" s="17"/>
      <c r="I137" s="17"/>
      <c r="J137" s="40"/>
      <c r="K137" s="17"/>
      <c r="L137" s="17"/>
      <c r="M137" s="17"/>
      <c r="N137" s="44" t="str">
        <f aca="true">IF(A137="","",IF(N(K137)&gt;Settings!$S$7,"Over revision limit",IF(AND(D137="Free video",J137="",E137&lt;&gt;"",TODAY()&gt;WORKDAY(E137,Settings!$S$5)),"LATE – free video promised in 5 working days",IF(AND(E137&lt;&gt;"",E137=TODAY()),"Shooting today",""))))</f>
        <v/>
      </c>
    </row>
    <row r="138" customFormat="false" ht="15" hidden="false" customHeight="false" outlineLevel="0" collapsed="false">
      <c r="A138" s="17"/>
      <c r="B138" s="17"/>
      <c r="C138" s="44" t="str">
        <f aca="false">IF(B138="","",IFERROR(INDEX(Clients!$C$2:$C$501,MATCH(B138,Clients!$A$2:$A$501,0)),"Client ID not found"))</f>
        <v/>
      </c>
      <c r="D138" s="17"/>
      <c r="E138" s="40"/>
      <c r="F138" s="41"/>
      <c r="G138" s="17"/>
      <c r="H138" s="17"/>
      <c r="I138" s="17"/>
      <c r="J138" s="40"/>
      <c r="K138" s="17"/>
      <c r="L138" s="17"/>
      <c r="M138" s="17"/>
      <c r="N138" s="44" t="str">
        <f aca="true">IF(A138="","",IF(N(K138)&gt;Settings!$S$7,"Over revision limit",IF(AND(D138="Free video",J138="",E138&lt;&gt;"",TODAY()&gt;WORKDAY(E138,Settings!$S$5)),"LATE – free video promised in 5 working days",IF(AND(E138&lt;&gt;"",E138=TODAY()),"Shooting today",""))))</f>
        <v/>
      </c>
    </row>
    <row r="139" customFormat="false" ht="15" hidden="false" customHeight="false" outlineLevel="0" collapsed="false">
      <c r="A139" s="17"/>
      <c r="B139" s="17"/>
      <c r="C139" s="44" t="str">
        <f aca="false">IF(B139="","",IFERROR(INDEX(Clients!$C$2:$C$501,MATCH(B139,Clients!$A$2:$A$501,0)),"Client ID not found"))</f>
        <v/>
      </c>
      <c r="D139" s="17"/>
      <c r="E139" s="40"/>
      <c r="F139" s="41"/>
      <c r="G139" s="17"/>
      <c r="H139" s="17"/>
      <c r="I139" s="17"/>
      <c r="J139" s="40"/>
      <c r="K139" s="17"/>
      <c r="L139" s="17"/>
      <c r="M139" s="17"/>
      <c r="N139" s="44" t="str">
        <f aca="true">IF(A139="","",IF(N(K139)&gt;Settings!$S$7,"Over revision limit",IF(AND(D139="Free video",J139="",E139&lt;&gt;"",TODAY()&gt;WORKDAY(E139,Settings!$S$5)),"LATE – free video promised in 5 working days",IF(AND(E139&lt;&gt;"",E139=TODAY()),"Shooting today",""))))</f>
        <v/>
      </c>
    </row>
    <row r="140" customFormat="false" ht="15" hidden="false" customHeight="false" outlineLevel="0" collapsed="false">
      <c r="A140" s="17"/>
      <c r="B140" s="17"/>
      <c r="C140" s="44" t="str">
        <f aca="false">IF(B140="","",IFERROR(INDEX(Clients!$C$2:$C$501,MATCH(B140,Clients!$A$2:$A$501,0)),"Client ID not found"))</f>
        <v/>
      </c>
      <c r="D140" s="17"/>
      <c r="E140" s="40"/>
      <c r="F140" s="41"/>
      <c r="G140" s="17"/>
      <c r="H140" s="17"/>
      <c r="I140" s="17"/>
      <c r="J140" s="40"/>
      <c r="K140" s="17"/>
      <c r="L140" s="17"/>
      <c r="M140" s="17"/>
      <c r="N140" s="44" t="str">
        <f aca="true">IF(A140="","",IF(N(K140)&gt;Settings!$S$7,"Over revision limit",IF(AND(D140="Free video",J140="",E140&lt;&gt;"",TODAY()&gt;WORKDAY(E140,Settings!$S$5)),"LATE – free video promised in 5 working days",IF(AND(E140&lt;&gt;"",E140=TODAY()),"Shooting today",""))))</f>
        <v/>
      </c>
    </row>
    <row r="141" customFormat="false" ht="15" hidden="false" customHeight="false" outlineLevel="0" collapsed="false">
      <c r="A141" s="17"/>
      <c r="B141" s="17"/>
      <c r="C141" s="44" t="str">
        <f aca="false">IF(B141="","",IFERROR(INDEX(Clients!$C$2:$C$501,MATCH(B141,Clients!$A$2:$A$501,0)),"Client ID not found"))</f>
        <v/>
      </c>
      <c r="D141" s="17"/>
      <c r="E141" s="40"/>
      <c r="F141" s="41"/>
      <c r="G141" s="17"/>
      <c r="H141" s="17"/>
      <c r="I141" s="17"/>
      <c r="J141" s="40"/>
      <c r="K141" s="17"/>
      <c r="L141" s="17"/>
      <c r="M141" s="17"/>
      <c r="N141" s="44" t="str">
        <f aca="true">IF(A141="","",IF(N(K141)&gt;Settings!$S$7,"Over revision limit",IF(AND(D141="Free video",J141="",E141&lt;&gt;"",TODAY()&gt;WORKDAY(E141,Settings!$S$5)),"LATE – free video promised in 5 working days",IF(AND(E141&lt;&gt;"",E141=TODAY()),"Shooting today",""))))</f>
        <v/>
      </c>
    </row>
    <row r="142" customFormat="false" ht="15" hidden="false" customHeight="false" outlineLevel="0" collapsed="false">
      <c r="A142" s="17"/>
      <c r="B142" s="17"/>
      <c r="C142" s="44" t="str">
        <f aca="false">IF(B142="","",IFERROR(INDEX(Clients!$C$2:$C$501,MATCH(B142,Clients!$A$2:$A$501,0)),"Client ID not found"))</f>
        <v/>
      </c>
      <c r="D142" s="17"/>
      <c r="E142" s="40"/>
      <c r="F142" s="41"/>
      <c r="G142" s="17"/>
      <c r="H142" s="17"/>
      <c r="I142" s="17"/>
      <c r="J142" s="40"/>
      <c r="K142" s="17"/>
      <c r="L142" s="17"/>
      <c r="M142" s="17"/>
      <c r="N142" s="44" t="str">
        <f aca="true">IF(A142="","",IF(N(K142)&gt;Settings!$S$7,"Over revision limit",IF(AND(D142="Free video",J142="",E142&lt;&gt;"",TODAY()&gt;WORKDAY(E142,Settings!$S$5)),"LATE – free video promised in 5 working days",IF(AND(E142&lt;&gt;"",E142=TODAY()),"Shooting today",""))))</f>
        <v/>
      </c>
    </row>
    <row r="143" customFormat="false" ht="15" hidden="false" customHeight="false" outlineLevel="0" collapsed="false">
      <c r="A143" s="17"/>
      <c r="B143" s="17"/>
      <c r="C143" s="44" t="str">
        <f aca="false">IF(B143="","",IFERROR(INDEX(Clients!$C$2:$C$501,MATCH(B143,Clients!$A$2:$A$501,0)),"Client ID not found"))</f>
        <v/>
      </c>
      <c r="D143" s="17"/>
      <c r="E143" s="40"/>
      <c r="F143" s="41"/>
      <c r="G143" s="17"/>
      <c r="H143" s="17"/>
      <c r="I143" s="17"/>
      <c r="J143" s="40"/>
      <c r="K143" s="17"/>
      <c r="L143" s="17"/>
      <c r="M143" s="17"/>
      <c r="N143" s="44" t="str">
        <f aca="true">IF(A143="","",IF(N(K143)&gt;Settings!$S$7,"Over revision limit",IF(AND(D143="Free video",J143="",E143&lt;&gt;"",TODAY()&gt;WORKDAY(E143,Settings!$S$5)),"LATE – free video promised in 5 working days",IF(AND(E143&lt;&gt;"",E143=TODAY()),"Shooting today",""))))</f>
        <v/>
      </c>
    </row>
    <row r="144" customFormat="false" ht="15" hidden="false" customHeight="false" outlineLevel="0" collapsed="false">
      <c r="A144" s="17"/>
      <c r="B144" s="17"/>
      <c r="C144" s="44" t="str">
        <f aca="false">IF(B144="","",IFERROR(INDEX(Clients!$C$2:$C$501,MATCH(B144,Clients!$A$2:$A$501,0)),"Client ID not found"))</f>
        <v/>
      </c>
      <c r="D144" s="17"/>
      <c r="E144" s="40"/>
      <c r="F144" s="41"/>
      <c r="G144" s="17"/>
      <c r="H144" s="17"/>
      <c r="I144" s="17"/>
      <c r="J144" s="40"/>
      <c r="K144" s="17"/>
      <c r="L144" s="17"/>
      <c r="M144" s="17"/>
      <c r="N144" s="44" t="str">
        <f aca="true">IF(A144="","",IF(N(K144)&gt;Settings!$S$7,"Over revision limit",IF(AND(D144="Free video",J144="",E144&lt;&gt;"",TODAY()&gt;WORKDAY(E144,Settings!$S$5)),"LATE – free video promised in 5 working days",IF(AND(E144&lt;&gt;"",E144=TODAY()),"Shooting today",""))))</f>
        <v/>
      </c>
    </row>
    <row r="145" customFormat="false" ht="15" hidden="false" customHeight="false" outlineLevel="0" collapsed="false">
      <c r="A145" s="17"/>
      <c r="B145" s="17"/>
      <c r="C145" s="44" t="str">
        <f aca="false">IF(B145="","",IFERROR(INDEX(Clients!$C$2:$C$501,MATCH(B145,Clients!$A$2:$A$501,0)),"Client ID not found"))</f>
        <v/>
      </c>
      <c r="D145" s="17"/>
      <c r="E145" s="40"/>
      <c r="F145" s="41"/>
      <c r="G145" s="17"/>
      <c r="H145" s="17"/>
      <c r="I145" s="17"/>
      <c r="J145" s="40"/>
      <c r="K145" s="17"/>
      <c r="L145" s="17"/>
      <c r="M145" s="17"/>
      <c r="N145" s="44" t="str">
        <f aca="true">IF(A145="","",IF(N(K145)&gt;Settings!$S$7,"Over revision limit",IF(AND(D145="Free video",J145="",E145&lt;&gt;"",TODAY()&gt;WORKDAY(E145,Settings!$S$5)),"LATE – free video promised in 5 working days",IF(AND(E145&lt;&gt;"",E145=TODAY()),"Shooting today",""))))</f>
        <v/>
      </c>
    </row>
    <row r="146" customFormat="false" ht="15" hidden="false" customHeight="false" outlineLevel="0" collapsed="false">
      <c r="A146" s="17"/>
      <c r="B146" s="17"/>
      <c r="C146" s="44" t="str">
        <f aca="false">IF(B146="","",IFERROR(INDEX(Clients!$C$2:$C$501,MATCH(B146,Clients!$A$2:$A$501,0)),"Client ID not found"))</f>
        <v/>
      </c>
      <c r="D146" s="17"/>
      <c r="E146" s="40"/>
      <c r="F146" s="41"/>
      <c r="G146" s="17"/>
      <c r="H146" s="17"/>
      <c r="I146" s="17"/>
      <c r="J146" s="40"/>
      <c r="K146" s="17"/>
      <c r="L146" s="17"/>
      <c r="M146" s="17"/>
      <c r="N146" s="44" t="str">
        <f aca="true">IF(A146="","",IF(N(K146)&gt;Settings!$S$7,"Over revision limit",IF(AND(D146="Free video",J146="",E146&lt;&gt;"",TODAY()&gt;WORKDAY(E146,Settings!$S$5)),"LATE – free video promised in 5 working days",IF(AND(E146&lt;&gt;"",E146=TODAY()),"Shooting today",""))))</f>
        <v/>
      </c>
    </row>
    <row r="147" customFormat="false" ht="15" hidden="false" customHeight="false" outlineLevel="0" collapsed="false">
      <c r="A147" s="17"/>
      <c r="B147" s="17"/>
      <c r="C147" s="44" t="str">
        <f aca="false">IF(B147="","",IFERROR(INDEX(Clients!$C$2:$C$501,MATCH(B147,Clients!$A$2:$A$501,0)),"Client ID not found"))</f>
        <v/>
      </c>
      <c r="D147" s="17"/>
      <c r="E147" s="40"/>
      <c r="F147" s="41"/>
      <c r="G147" s="17"/>
      <c r="H147" s="17"/>
      <c r="I147" s="17"/>
      <c r="J147" s="40"/>
      <c r="K147" s="17"/>
      <c r="L147" s="17"/>
      <c r="M147" s="17"/>
      <c r="N147" s="44" t="str">
        <f aca="true">IF(A147="","",IF(N(K147)&gt;Settings!$S$7,"Over revision limit",IF(AND(D147="Free video",J147="",E147&lt;&gt;"",TODAY()&gt;WORKDAY(E147,Settings!$S$5)),"LATE – free video promised in 5 working days",IF(AND(E147&lt;&gt;"",E147=TODAY()),"Shooting today",""))))</f>
        <v/>
      </c>
    </row>
    <row r="148" customFormat="false" ht="15" hidden="false" customHeight="false" outlineLevel="0" collapsed="false">
      <c r="A148" s="17"/>
      <c r="B148" s="17"/>
      <c r="C148" s="44" t="str">
        <f aca="false">IF(B148="","",IFERROR(INDEX(Clients!$C$2:$C$501,MATCH(B148,Clients!$A$2:$A$501,0)),"Client ID not found"))</f>
        <v/>
      </c>
      <c r="D148" s="17"/>
      <c r="E148" s="40"/>
      <c r="F148" s="41"/>
      <c r="G148" s="17"/>
      <c r="H148" s="17"/>
      <c r="I148" s="17"/>
      <c r="J148" s="40"/>
      <c r="K148" s="17"/>
      <c r="L148" s="17"/>
      <c r="M148" s="17"/>
      <c r="N148" s="44" t="str">
        <f aca="true">IF(A148="","",IF(N(K148)&gt;Settings!$S$7,"Over revision limit",IF(AND(D148="Free video",J148="",E148&lt;&gt;"",TODAY()&gt;WORKDAY(E148,Settings!$S$5)),"LATE – free video promised in 5 working days",IF(AND(E148&lt;&gt;"",E148=TODAY()),"Shooting today",""))))</f>
        <v/>
      </c>
    </row>
    <row r="149" customFormat="false" ht="15" hidden="false" customHeight="false" outlineLevel="0" collapsed="false">
      <c r="A149" s="17"/>
      <c r="B149" s="17"/>
      <c r="C149" s="44" t="str">
        <f aca="false">IF(B149="","",IFERROR(INDEX(Clients!$C$2:$C$501,MATCH(B149,Clients!$A$2:$A$501,0)),"Client ID not found"))</f>
        <v/>
      </c>
      <c r="D149" s="17"/>
      <c r="E149" s="40"/>
      <c r="F149" s="41"/>
      <c r="G149" s="17"/>
      <c r="H149" s="17"/>
      <c r="I149" s="17"/>
      <c r="J149" s="40"/>
      <c r="K149" s="17"/>
      <c r="L149" s="17"/>
      <c r="M149" s="17"/>
      <c r="N149" s="44" t="str">
        <f aca="true">IF(A149="","",IF(N(K149)&gt;Settings!$S$7,"Over revision limit",IF(AND(D149="Free video",J149="",E149&lt;&gt;"",TODAY()&gt;WORKDAY(E149,Settings!$S$5)),"LATE – free video promised in 5 working days",IF(AND(E149&lt;&gt;"",E149=TODAY()),"Shooting today",""))))</f>
        <v/>
      </c>
    </row>
    <row r="150" customFormat="false" ht="15" hidden="false" customHeight="false" outlineLevel="0" collapsed="false">
      <c r="A150" s="17"/>
      <c r="B150" s="17"/>
      <c r="C150" s="44" t="str">
        <f aca="false">IF(B150="","",IFERROR(INDEX(Clients!$C$2:$C$501,MATCH(B150,Clients!$A$2:$A$501,0)),"Client ID not found"))</f>
        <v/>
      </c>
      <c r="D150" s="17"/>
      <c r="E150" s="40"/>
      <c r="F150" s="41"/>
      <c r="G150" s="17"/>
      <c r="H150" s="17"/>
      <c r="I150" s="17"/>
      <c r="J150" s="40"/>
      <c r="K150" s="17"/>
      <c r="L150" s="17"/>
      <c r="M150" s="17"/>
      <c r="N150" s="44" t="str">
        <f aca="true">IF(A150="","",IF(N(K150)&gt;Settings!$S$7,"Over revision limit",IF(AND(D150="Free video",J150="",E150&lt;&gt;"",TODAY()&gt;WORKDAY(E150,Settings!$S$5)),"LATE – free video promised in 5 working days",IF(AND(E150&lt;&gt;"",E150=TODAY()),"Shooting today",""))))</f>
        <v/>
      </c>
    </row>
    <row r="151" customFormat="false" ht="15" hidden="false" customHeight="false" outlineLevel="0" collapsed="false">
      <c r="A151" s="17"/>
      <c r="B151" s="17"/>
      <c r="C151" s="44" t="str">
        <f aca="false">IF(B151="","",IFERROR(INDEX(Clients!$C$2:$C$501,MATCH(B151,Clients!$A$2:$A$501,0)),"Client ID not found"))</f>
        <v/>
      </c>
      <c r="D151" s="17"/>
      <c r="E151" s="40"/>
      <c r="F151" s="41"/>
      <c r="G151" s="17"/>
      <c r="H151" s="17"/>
      <c r="I151" s="17"/>
      <c r="J151" s="40"/>
      <c r="K151" s="17"/>
      <c r="L151" s="17"/>
      <c r="M151" s="17"/>
      <c r="N151" s="44" t="str">
        <f aca="true">IF(A151="","",IF(N(K151)&gt;Settings!$S$7,"Over revision limit",IF(AND(D151="Free video",J151="",E151&lt;&gt;"",TODAY()&gt;WORKDAY(E151,Settings!$S$5)),"LATE – free video promised in 5 working days",IF(AND(E151&lt;&gt;"",E151=TODAY()),"Shooting today",""))))</f>
        <v/>
      </c>
    </row>
    <row r="152" customFormat="false" ht="15" hidden="false" customHeight="false" outlineLevel="0" collapsed="false">
      <c r="A152" s="17"/>
      <c r="B152" s="17"/>
      <c r="C152" s="44" t="str">
        <f aca="false">IF(B152="","",IFERROR(INDEX(Clients!$C$2:$C$501,MATCH(B152,Clients!$A$2:$A$501,0)),"Client ID not found"))</f>
        <v/>
      </c>
      <c r="D152" s="17"/>
      <c r="E152" s="40"/>
      <c r="F152" s="41"/>
      <c r="G152" s="17"/>
      <c r="H152" s="17"/>
      <c r="I152" s="17"/>
      <c r="J152" s="40"/>
      <c r="K152" s="17"/>
      <c r="L152" s="17"/>
      <c r="M152" s="17"/>
      <c r="N152" s="44" t="str">
        <f aca="true">IF(A152="","",IF(N(K152)&gt;Settings!$S$7,"Over revision limit",IF(AND(D152="Free video",J152="",E152&lt;&gt;"",TODAY()&gt;WORKDAY(E152,Settings!$S$5)),"LATE – free video promised in 5 working days",IF(AND(E152&lt;&gt;"",E152=TODAY()),"Shooting today",""))))</f>
        <v/>
      </c>
    </row>
    <row r="153" customFormat="false" ht="15" hidden="false" customHeight="false" outlineLevel="0" collapsed="false">
      <c r="A153" s="17"/>
      <c r="B153" s="17"/>
      <c r="C153" s="44" t="str">
        <f aca="false">IF(B153="","",IFERROR(INDEX(Clients!$C$2:$C$501,MATCH(B153,Clients!$A$2:$A$501,0)),"Client ID not found"))</f>
        <v/>
      </c>
      <c r="D153" s="17"/>
      <c r="E153" s="40"/>
      <c r="F153" s="41"/>
      <c r="G153" s="17"/>
      <c r="H153" s="17"/>
      <c r="I153" s="17"/>
      <c r="J153" s="40"/>
      <c r="K153" s="17"/>
      <c r="L153" s="17"/>
      <c r="M153" s="17"/>
      <c r="N153" s="44" t="str">
        <f aca="true">IF(A153="","",IF(N(K153)&gt;Settings!$S$7,"Over revision limit",IF(AND(D153="Free video",J153="",E153&lt;&gt;"",TODAY()&gt;WORKDAY(E153,Settings!$S$5)),"LATE – free video promised in 5 working days",IF(AND(E153&lt;&gt;"",E153=TODAY()),"Shooting today",""))))</f>
        <v/>
      </c>
    </row>
    <row r="154" customFormat="false" ht="15" hidden="false" customHeight="false" outlineLevel="0" collapsed="false">
      <c r="A154" s="17"/>
      <c r="B154" s="17"/>
      <c r="C154" s="44" t="str">
        <f aca="false">IF(B154="","",IFERROR(INDEX(Clients!$C$2:$C$501,MATCH(B154,Clients!$A$2:$A$501,0)),"Client ID not found"))</f>
        <v/>
      </c>
      <c r="D154" s="17"/>
      <c r="E154" s="40"/>
      <c r="F154" s="41"/>
      <c r="G154" s="17"/>
      <c r="H154" s="17"/>
      <c r="I154" s="17"/>
      <c r="J154" s="40"/>
      <c r="K154" s="17"/>
      <c r="L154" s="17"/>
      <c r="M154" s="17"/>
      <c r="N154" s="44" t="str">
        <f aca="true">IF(A154="","",IF(N(K154)&gt;Settings!$S$7,"Over revision limit",IF(AND(D154="Free video",J154="",E154&lt;&gt;"",TODAY()&gt;WORKDAY(E154,Settings!$S$5)),"LATE – free video promised in 5 working days",IF(AND(E154&lt;&gt;"",E154=TODAY()),"Shooting today",""))))</f>
        <v/>
      </c>
    </row>
    <row r="155" customFormat="false" ht="15" hidden="false" customHeight="false" outlineLevel="0" collapsed="false">
      <c r="A155" s="17"/>
      <c r="B155" s="17"/>
      <c r="C155" s="44" t="str">
        <f aca="false">IF(B155="","",IFERROR(INDEX(Clients!$C$2:$C$501,MATCH(B155,Clients!$A$2:$A$501,0)),"Client ID not found"))</f>
        <v/>
      </c>
      <c r="D155" s="17"/>
      <c r="E155" s="40"/>
      <c r="F155" s="41"/>
      <c r="G155" s="17"/>
      <c r="H155" s="17"/>
      <c r="I155" s="17"/>
      <c r="J155" s="40"/>
      <c r="K155" s="17"/>
      <c r="L155" s="17"/>
      <c r="M155" s="17"/>
      <c r="N155" s="44" t="str">
        <f aca="true">IF(A155="","",IF(N(K155)&gt;Settings!$S$7,"Over revision limit",IF(AND(D155="Free video",J155="",E155&lt;&gt;"",TODAY()&gt;WORKDAY(E155,Settings!$S$5)),"LATE – free video promised in 5 working days",IF(AND(E155&lt;&gt;"",E155=TODAY()),"Shooting today",""))))</f>
        <v/>
      </c>
    </row>
    <row r="156" customFormat="false" ht="15" hidden="false" customHeight="false" outlineLevel="0" collapsed="false">
      <c r="A156" s="17"/>
      <c r="B156" s="17"/>
      <c r="C156" s="44" t="str">
        <f aca="false">IF(B156="","",IFERROR(INDEX(Clients!$C$2:$C$501,MATCH(B156,Clients!$A$2:$A$501,0)),"Client ID not found"))</f>
        <v/>
      </c>
      <c r="D156" s="17"/>
      <c r="E156" s="40"/>
      <c r="F156" s="41"/>
      <c r="G156" s="17"/>
      <c r="H156" s="17"/>
      <c r="I156" s="17"/>
      <c r="J156" s="40"/>
      <c r="K156" s="17"/>
      <c r="L156" s="17"/>
      <c r="M156" s="17"/>
      <c r="N156" s="44" t="str">
        <f aca="true">IF(A156="","",IF(N(K156)&gt;Settings!$S$7,"Over revision limit",IF(AND(D156="Free video",J156="",E156&lt;&gt;"",TODAY()&gt;WORKDAY(E156,Settings!$S$5)),"LATE – free video promised in 5 working days",IF(AND(E156&lt;&gt;"",E156=TODAY()),"Shooting today",""))))</f>
        <v/>
      </c>
    </row>
    <row r="157" customFormat="false" ht="15" hidden="false" customHeight="false" outlineLevel="0" collapsed="false">
      <c r="A157" s="17"/>
      <c r="B157" s="17"/>
      <c r="C157" s="44" t="str">
        <f aca="false">IF(B157="","",IFERROR(INDEX(Clients!$C$2:$C$501,MATCH(B157,Clients!$A$2:$A$501,0)),"Client ID not found"))</f>
        <v/>
      </c>
      <c r="D157" s="17"/>
      <c r="E157" s="40"/>
      <c r="F157" s="41"/>
      <c r="G157" s="17"/>
      <c r="H157" s="17"/>
      <c r="I157" s="17"/>
      <c r="J157" s="40"/>
      <c r="K157" s="17"/>
      <c r="L157" s="17"/>
      <c r="M157" s="17"/>
      <c r="N157" s="44" t="str">
        <f aca="true">IF(A157="","",IF(N(K157)&gt;Settings!$S$7,"Over revision limit",IF(AND(D157="Free video",J157="",E157&lt;&gt;"",TODAY()&gt;WORKDAY(E157,Settings!$S$5)),"LATE – free video promised in 5 working days",IF(AND(E157&lt;&gt;"",E157=TODAY()),"Shooting today",""))))</f>
        <v/>
      </c>
    </row>
    <row r="158" customFormat="false" ht="15" hidden="false" customHeight="false" outlineLevel="0" collapsed="false">
      <c r="A158" s="17"/>
      <c r="B158" s="17"/>
      <c r="C158" s="44" t="str">
        <f aca="false">IF(B158="","",IFERROR(INDEX(Clients!$C$2:$C$501,MATCH(B158,Clients!$A$2:$A$501,0)),"Client ID not found"))</f>
        <v/>
      </c>
      <c r="D158" s="17"/>
      <c r="E158" s="40"/>
      <c r="F158" s="41"/>
      <c r="G158" s="17"/>
      <c r="H158" s="17"/>
      <c r="I158" s="17"/>
      <c r="J158" s="40"/>
      <c r="K158" s="17"/>
      <c r="L158" s="17"/>
      <c r="M158" s="17"/>
      <c r="N158" s="44" t="str">
        <f aca="true">IF(A158="","",IF(N(K158)&gt;Settings!$S$7,"Over revision limit",IF(AND(D158="Free video",J158="",E158&lt;&gt;"",TODAY()&gt;WORKDAY(E158,Settings!$S$5)),"LATE – free video promised in 5 working days",IF(AND(E158&lt;&gt;"",E158=TODAY()),"Shooting today",""))))</f>
        <v/>
      </c>
    </row>
    <row r="159" customFormat="false" ht="15" hidden="false" customHeight="false" outlineLevel="0" collapsed="false">
      <c r="A159" s="17"/>
      <c r="B159" s="17"/>
      <c r="C159" s="44" t="str">
        <f aca="false">IF(B159="","",IFERROR(INDEX(Clients!$C$2:$C$501,MATCH(B159,Clients!$A$2:$A$501,0)),"Client ID not found"))</f>
        <v/>
      </c>
      <c r="D159" s="17"/>
      <c r="E159" s="40"/>
      <c r="F159" s="41"/>
      <c r="G159" s="17"/>
      <c r="H159" s="17"/>
      <c r="I159" s="17"/>
      <c r="J159" s="40"/>
      <c r="K159" s="17"/>
      <c r="L159" s="17"/>
      <c r="M159" s="17"/>
      <c r="N159" s="44" t="str">
        <f aca="true">IF(A159="","",IF(N(K159)&gt;Settings!$S$7,"Over revision limit",IF(AND(D159="Free video",J159="",E159&lt;&gt;"",TODAY()&gt;WORKDAY(E159,Settings!$S$5)),"LATE – free video promised in 5 working days",IF(AND(E159&lt;&gt;"",E159=TODAY()),"Shooting today",""))))</f>
        <v/>
      </c>
    </row>
    <row r="160" customFormat="false" ht="15" hidden="false" customHeight="false" outlineLevel="0" collapsed="false">
      <c r="A160" s="17"/>
      <c r="B160" s="17"/>
      <c r="C160" s="44" t="str">
        <f aca="false">IF(B160="","",IFERROR(INDEX(Clients!$C$2:$C$501,MATCH(B160,Clients!$A$2:$A$501,0)),"Client ID not found"))</f>
        <v/>
      </c>
      <c r="D160" s="17"/>
      <c r="E160" s="40"/>
      <c r="F160" s="41"/>
      <c r="G160" s="17"/>
      <c r="H160" s="17"/>
      <c r="I160" s="17"/>
      <c r="J160" s="40"/>
      <c r="K160" s="17"/>
      <c r="L160" s="17"/>
      <c r="M160" s="17"/>
      <c r="N160" s="44" t="str">
        <f aca="true">IF(A160="","",IF(N(K160)&gt;Settings!$S$7,"Over revision limit",IF(AND(D160="Free video",J160="",E160&lt;&gt;"",TODAY()&gt;WORKDAY(E160,Settings!$S$5)),"LATE – free video promised in 5 working days",IF(AND(E160&lt;&gt;"",E160=TODAY()),"Shooting today",""))))</f>
        <v/>
      </c>
    </row>
    <row r="161" customFormat="false" ht="15" hidden="false" customHeight="false" outlineLevel="0" collapsed="false">
      <c r="A161" s="17"/>
      <c r="B161" s="17"/>
      <c r="C161" s="44" t="str">
        <f aca="false">IF(B161="","",IFERROR(INDEX(Clients!$C$2:$C$501,MATCH(B161,Clients!$A$2:$A$501,0)),"Client ID not found"))</f>
        <v/>
      </c>
      <c r="D161" s="17"/>
      <c r="E161" s="40"/>
      <c r="F161" s="41"/>
      <c r="G161" s="17"/>
      <c r="H161" s="17"/>
      <c r="I161" s="17"/>
      <c r="J161" s="40"/>
      <c r="K161" s="17"/>
      <c r="L161" s="17"/>
      <c r="M161" s="17"/>
      <c r="N161" s="44" t="str">
        <f aca="true">IF(A161="","",IF(N(K161)&gt;Settings!$S$7,"Over revision limit",IF(AND(D161="Free video",J161="",E161&lt;&gt;"",TODAY()&gt;WORKDAY(E161,Settings!$S$5)),"LATE – free video promised in 5 working days",IF(AND(E161&lt;&gt;"",E161=TODAY()),"Shooting today",""))))</f>
        <v/>
      </c>
    </row>
    <row r="162" customFormat="false" ht="15" hidden="false" customHeight="false" outlineLevel="0" collapsed="false">
      <c r="A162" s="17"/>
      <c r="B162" s="17"/>
      <c r="C162" s="44" t="str">
        <f aca="false">IF(B162="","",IFERROR(INDEX(Clients!$C$2:$C$501,MATCH(B162,Clients!$A$2:$A$501,0)),"Client ID not found"))</f>
        <v/>
      </c>
      <c r="D162" s="17"/>
      <c r="E162" s="40"/>
      <c r="F162" s="41"/>
      <c r="G162" s="17"/>
      <c r="H162" s="17"/>
      <c r="I162" s="17"/>
      <c r="J162" s="40"/>
      <c r="K162" s="17"/>
      <c r="L162" s="17"/>
      <c r="M162" s="17"/>
      <c r="N162" s="44" t="str">
        <f aca="true">IF(A162="","",IF(N(K162)&gt;Settings!$S$7,"Over revision limit",IF(AND(D162="Free video",J162="",E162&lt;&gt;"",TODAY()&gt;WORKDAY(E162,Settings!$S$5)),"LATE – free video promised in 5 working days",IF(AND(E162&lt;&gt;"",E162=TODAY()),"Shooting today",""))))</f>
        <v/>
      </c>
    </row>
    <row r="163" customFormat="false" ht="15" hidden="false" customHeight="false" outlineLevel="0" collapsed="false">
      <c r="A163" s="17"/>
      <c r="B163" s="17"/>
      <c r="C163" s="44" t="str">
        <f aca="false">IF(B163="","",IFERROR(INDEX(Clients!$C$2:$C$501,MATCH(B163,Clients!$A$2:$A$501,0)),"Client ID not found"))</f>
        <v/>
      </c>
      <c r="D163" s="17"/>
      <c r="E163" s="40"/>
      <c r="F163" s="41"/>
      <c r="G163" s="17"/>
      <c r="H163" s="17"/>
      <c r="I163" s="17"/>
      <c r="J163" s="40"/>
      <c r="K163" s="17"/>
      <c r="L163" s="17"/>
      <c r="M163" s="17"/>
      <c r="N163" s="44" t="str">
        <f aca="true">IF(A163="","",IF(N(K163)&gt;Settings!$S$7,"Over revision limit",IF(AND(D163="Free video",J163="",E163&lt;&gt;"",TODAY()&gt;WORKDAY(E163,Settings!$S$5)),"LATE – free video promised in 5 working days",IF(AND(E163&lt;&gt;"",E163=TODAY()),"Shooting today",""))))</f>
        <v/>
      </c>
    </row>
    <row r="164" customFormat="false" ht="15" hidden="false" customHeight="false" outlineLevel="0" collapsed="false">
      <c r="A164" s="17"/>
      <c r="B164" s="17"/>
      <c r="C164" s="44" t="str">
        <f aca="false">IF(B164="","",IFERROR(INDEX(Clients!$C$2:$C$501,MATCH(B164,Clients!$A$2:$A$501,0)),"Client ID not found"))</f>
        <v/>
      </c>
      <c r="D164" s="17"/>
      <c r="E164" s="40"/>
      <c r="F164" s="41"/>
      <c r="G164" s="17"/>
      <c r="H164" s="17"/>
      <c r="I164" s="17"/>
      <c r="J164" s="40"/>
      <c r="K164" s="17"/>
      <c r="L164" s="17"/>
      <c r="M164" s="17"/>
      <c r="N164" s="44" t="str">
        <f aca="true">IF(A164="","",IF(N(K164)&gt;Settings!$S$7,"Over revision limit",IF(AND(D164="Free video",J164="",E164&lt;&gt;"",TODAY()&gt;WORKDAY(E164,Settings!$S$5)),"LATE – free video promised in 5 working days",IF(AND(E164&lt;&gt;"",E164=TODAY()),"Shooting today",""))))</f>
        <v/>
      </c>
    </row>
    <row r="165" customFormat="false" ht="15" hidden="false" customHeight="false" outlineLevel="0" collapsed="false">
      <c r="A165" s="17"/>
      <c r="B165" s="17"/>
      <c r="C165" s="44" t="str">
        <f aca="false">IF(B165="","",IFERROR(INDEX(Clients!$C$2:$C$501,MATCH(B165,Clients!$A$2:$A$501,0)),"Client ID not found"))</f>
        <v/>
      </c>
      <c r="D165" s="17"/>
      <c r="E165" s="40"/>
      <c r="F165" s="41"/>
      <c r="G165" s="17"/>
      <c r="H165" s="17"/>
      <c r="I165" s="17"/>
      <c r="J165" s="40"/>
      <c r="K165" s="17"/>
      <c r="L165" s="17"/>
      <c r="M165" s="17"/>
      <c r="N165" s="44" t="str">
        <f aca="true">IF(A165="","",IF(N(K165)&gt;Settings!$S$7,"Over revision limit",IF(AND(D165="Free video",J165="",E165&lt;&gt;"",TODAY()&gt;WORKDAY(E165,Settings!$S$5)),"LATE – free video promised in 5 working days",IF(AND(E165&lt;&gt;"",E165=TODAY()),"Shooting today",""))))</f>
        <v/>
      </c>
    </row>
    <row r="166" customFormat="false" ht="15" hidden="false" customHeight="false" outlineLevel="0" collapsed="false">
      <c r="A166" s="17"/>
      <c r="B166" s="17"/>
      <c r="C166" s="44" t="str">
        <f aca="false">IF(B166="","",IFERROR(INDEX(Clients!$C$2:$C$501,MATCH(B166,Clients!$A$2:$A$501,0)),"Client ID not found"))</f>
        <v/>
      </c>
      <c r="D166" s="17"/>
      <c r="E166" s="40"/>
      <c r="F166" s="41"/>
      <c r="G166" s="17"/>
      <c r="H166" s="17"/>
      <c r="I166" s="17"/>
      <c r="J166" s="40"/>
      <c r="K166" s="17"/>
      <c r="L166" s="17"/>
      <c r="M166" s="17"/>
      <c r="N166" s="44" t="str">
        <f aca="true">IF(A166="","",IF(N(K166)&gt;Settings!$S$7,"Over revision limit",IF(AND(D166="Free video",J166="",E166&lt;&gt;"",TODAY()&gt;WORKDAY(E166,Settings!$S$5)),"LATE – free video promised in 5 working days",IF(AND(E166&lt;&gt;"",E166=TODAY()),"Shooting today",""))))</f>
        <v/>
      </c>
    </row>
    <row r="167" customFormat="false" ht="15" hidden="false" customHeight="false" outlineLevel="0" collapsed="false">
      <c r="A167" s="17"/>
      <c r="B167" s="17"/>
      <c r="C167" s="44" t="str">
        <f aca="false">IF(B167="","",IFERROR(INDEX(Clients!$C$2:$C$501,MATCH(B167,Clients!$A$2:$A$501,0)),"Client ID not found"))</f>
        <v/>
      </c>
      <c r="D167" s="17"/>
      <c r="E167" s="40"/>
      <c r="F167" s="41"/>
      <c r="G167" s="17"/>
      <c r="H167" s="17"/>
      <c r="I167" s="17"/>
      <c r="J167" s="40"/>
      <c r="K167" s="17"/>
      <c r="L167" s="17"/>
      <c r="M167" s="17"/>
      <c r="N167" s="44" t="str">
        <f aca="true">IF(A167="","",IF(N(K167)&gt;Settings!$S$7,"Over revision limit",IF(AND(D167="Free video",J167="",E167&lt;&gt;"",TODAY()&gt;WORKDAY(E167,Settings!$S$5)),"LATE – free video promised in 5 working days",IF(AND(E167&lt;&gt;"",E167=TODAY()),"Shooting today",""))))</f>
        <v/>
      </c>
    </row>
    <row r="168" customFormat="false" ht="15" hidden="false" customHeight="false" outlineLevel="0" collapsed="false">
      <c r="A168" s="17"/>
      <c r="B168" s="17"/>
      <c r="C168" s="44" t="str">
        <f aca="false">IF(B168="","",IFERROR(INDEX(Clients!$C$2:$C$501,MATCH(B168,Clients!$A$2:$A$501,0)),"Client ID not found"))</f>
        <v/>
      </c>
      <c r="D168" s="17"/>
      <c r="E168" s="40"/>
      <c r="F168" s="41"/>
      <c r="G168" s="17"/>
      <c r="H168" s="17"/>
      <c r="I168" s="17"/>
      <c r="J168" s="40"/>
      <c r="K168" s="17"/>
      <c r="L168" s="17"/>
      <c r="M168" s="17"/>
      <c r="N168" s="44" t="str">
        <f aca="true">IF(A168="","",IF(N(K168)&gt;Settings!$S$7,"Over revision limit",IF(AND(D168="Free video",J168="",E168&lt;&gt;"",TODAY()&gt;WORKDAY(E168,Settings!$S$5)),"LATE – free video promised in 5 working days",IF(AND(E168&lt;&gt;"",E168=TODAY()),"Shooting today",""))))</f>
        <v/>
      </c>
    </row>
    <row r="169" customFormat="false" ht="15" hidden="false" customHeight="false" outlineLevel="0" collapsed="false">
      <c r="A169" s="17"/>
      <c r="B169" s="17"/>
      <c r="C169" s="44" t="str">
        <f aca="false">IF(B169="","",IFERROR(INDEX(Clients!$C$2:$C$501,MATCH(B169,Clients!$A$2:$A$501,0)),"Client ID not found"))</f>
        <v/>
      </c>
      <c r="D169" s="17"/>
      <c r="E169" s="40"/>
      <c r="F169" s="41"/>
      <c r="G169" s="17"/>
      <c r="H169" s="17"/>
      <c r="I169" s="17"/>
      <c r="J169" s="40"/>
      <c r="K169" s="17"/>
      <c r="L169" s="17"/>
      <c r="M169" s="17"/>
      <c r="N169" s="44" t="str">
        <f aca="true">IF(A169="","",IF(N(K169)&gt;Settings!$S$7,"Over revision limit",IF(AND(D169="Free video",J169="",E169&lt;&gt;"",TODAY()&gt;WORKDAY(E169,Settings!$S$5)),"LATE – free video promised in 5 working days",IF(AND(E169&lt;&gt;"",E169=TODAY()),"Shooting today",""))))</f>
        <v/>
      </c>
    </row>
    <row r="170" customFormat="false" ht="15" hidden="false" customHeight="false" outlineLevel="0" collapsed="false">
      <c r="A170" s="17"/>
      <c r="B170" s="17"/>
      <c r="C170" s="44" t="str">
        <f aca="false">IF(B170="","",IFERROR(INDEX(Clients!$C$2:$C$501,MATCH(B170,Clients!$A$2:$A$501,0)),"Client ID not found"))</f>
        <v/>
      </c>
      <c r="D170" s="17"/>
      <c r="E170" s="40"/>
      <c r="F170" s="41"/>
      <c r="G170" s="17"/>
      <c r="H170" s="17"/>
      <c r="I170" s="17"/>
      <c r="J170" s="40"/>
      <c r="K170" s="17"/>
      <c r="L170" s="17"/>
      <c r="M170" s="17"/>
      <c r="N170" s="44" t="str">
        <f aca="true">IF(A170="","",IF(N(K170)&gt;Settings!$S$7,"Over revision limit",IF(AND(D170="Free video",J170="",E170&lt;&gt;"",TODAY()&gt;WORKDAY(E170,Settings!$S$5)),"LATE – free video promised in 5 working days",IF(AND(E170&lt;&gt;"",E170=TODAY()),"Shooting today",""))))</f>
        <v/>
      </c>
    </row>
    <row r="171" customFormat="false" ht="15" hidden="false" customHeight="false" outlineLevel="0" collapsed="false">
      <c r="A171" s="17"/>
      <c r="B171" s="17"/>
      <c r="C171" s="44" t="str">
        <f aca="false">IF(B171="","",IFERROR(INDEX(Clients!$C$2:$C$501,MATCH(B171,Clients!$A$2:$A$501,0)),"Client ID not found"))</f>
        <v/>
      </c>
      <c r="D171" s="17"/>
      <c r="E171" s="40"/>
      <c r="F171" s="41"/>
      <c r="G171" s="17"/>
      <c r="H171" s="17"/>
      <c r="I171" s="17"/>
      <c r="J171" s="40"/>
      <c r="K171" s="17"/>
      <c r="L171" s="17"/>
      <c r="M171" s="17"/>
      <c r="N171" s="44" t="str">
        <f aca="true">IF(A171="","",IF(N(K171)&gt;Settings!$S$7,"Over revision limit",IF(AND(D171="Free video",J171="",E171&lt;&gt;"",TODAY()&gt;WORKDAY(E171,Settings!$S$5)),"LATE – free video promised in 5 working days",IF(AND(E171&lt;&gt;"",E171=TODAY()),"Shooting today",""))))</f>
        <v/>
      </c>
    </row>
    <row r="172" customFormat="false" ht="15" hidden="false" customHeight="false" outlineLevel="0" collapsed="false">
      <c r="A172" s="17"/>
      <c r="B172" s="17"/>
      <c r="C172" s="44" t="str">
        <f aca="false">IF(B172="","",IFERROR(INDEX(Clients!$C$2:$C$501,MATCH(B172,Clients!$A$2:$A$501,0)),"Client ID not found"))</f>
        <v/>
      </c>
      <c r="D172" s="17"/>
      <c r="E172" s="40"/>
      <c r="F172" s="41"/>
      <c r="G172" s="17"/>
      <c r="H172" s="17"/>
      <c r="I172" s="17"/>
      <c r="J172" s="40"/>
      <c r="K172" s="17"/>
      <c r="L172" s="17"/>
      <c r="M172" s="17"/>
      <c r="N172" s="44" t="str">
        <f aca="true">IF(A172="","",IF(N(K172)&gt;Settings!$S$7,"Over revision limit",IF(AND(D172="Free video",J172="",E172&lt;&gt;"",TODAY()&gt;WORKDAY(E172,Settings!$S$5)),"LATE – free video promised in 5 working days",IF(AND(E172&lt;&gt;"",E172=TODAY()),"Shooting today",""))))</f>
        <v/>
      </c>
    </row>
    <row r="173" customFormat="false" ht="15" hidden="false" customHeight="false" outlineLevel="0" collapsed="false">
      <c r="A173" s="17"/>
      <c r="B173" s="17"/>
      <c r="C173" s="44" t="str">
        <f aca="false">IF(B173="","",IFERROR(INDEX(Clients!$C$2:$C$501,MATCH(B173,Clients!$A$2:$A$501,0)),"Client ID not found"))</f>
        <v/>
      </c>
      <c r="D173" s="17"/>
      <c r="E173" s="40"/>
      <c r="F173" s="41"/>
      <c r="G173" s="17"/>
      <c r="H173" s="17"/>
      <c r="I173" s="17"/>
      <c r="J173" s="40"/>
      <c r="K173" s="17"/>
      <c r="L173" s="17"/>
      <c r="M173" s="17"/>
      <c r="N173" s="44" t="str">
        <f aca="true">IF(A173="","",IF(N(K173)&gt;Settings!$S$7,"Over revision limit",IF(AND(D173="Free video",J173="",E173&lt;&gt;"",TODAY()&gt;WORKDAY(E173,Settings!$S$5)),"LATE – free video promised in 5 working days",IF(AND(E173&lt;&gt;"",E173=TODAY()),"Shooting today",""))))</f>
        <v/>
      </c>
    </row>
    <row r="174" customFormat="false" ht="15" hidden="false" customHeight="false" outlineLevel="0" collapsed="false">
      <c r="A174" s="17"/>
      <c r="B174" s="17"/>
      <c r="C174" s="44" t="str">
        <f aca="false">IF(B174="","",IFERROR(INDEX(Clients!$C$2:$C$501,MATCH(B174,Clients!$A$2:$A$501,0)),"Client ID not found"))</f>
        <v/>
      </c>
      <c r="D174" s="17"/>
      <c r="E174" s="40"/>
      <c r="F174" s="41"/>
      <c r="G174" s="17"/>
      <c r="H174" s="17"/>
      <c r="I174" s="17"/>
      <c r="J174" s="40"/>
      <c r="K174" s="17"/>
      <c r="L174" s="17"/>
      <c r="M174" s="17"/>
      <c r="N174" s="44" t="str">
        <f aca="true">IF(A174="","",IF(N(K174)&gt;Settings!$S$7,"Over revision limit",IF(AND(D174="Free video",J174="",E174&lt;&gt;"",TODAY()&gt;WORKDAY(E174,Settings!$S$5)),"LATE – free video promised in 5 working days",IF(AND(E174&lt;&gt;"",E174=TODAY()),"Shooting today",""))))</f>
        <v/>
      </c>
    </row>
    <row r="175" customFormat="false" ht="15" hidden="false" customHeight="false" outlineLevel="0" collapsed="false">
      <c r="A175" s="17"/>
      <c r="B175" s="17"/>
      <c r="C175" s="44" t="str">
        <f aca="false">IF(B175="","",IFERROR(INDEX(Clients!$C$2:$C$501,MATCH(B175,Clients!$A$2:$A$501,0)),"Client ID not found"))</f>
        <v/>
      </c>
      <c r="D175" s="17"/>
      <c r="E175" s="40"/>
      <c r="F175" s="41"/>
      <c r="G175" s="17"/>
      <c r="H175" s="17"/>
      <c r="I175" s="17"/>
      <c r="J175" s="40"/>
      <c r="K175" s="17"/>
      <c r="L175" s="17"/>
      <c r="M175" s="17"/>
      <c r="N175" s="44" t="str">
        <f aca="true">IF(A175="","",IF(N(K175)&gt;Settings!$S$7,"Over revision limit",IF(AND(D175="Free video",J175="",E175&lt;&gt;"",TODAY()&gt;WORKDAY(E175,Settings!$S$5)),"LATE – free video promised in 5 working days",IF(AND(E175&lt;&gt;"",E175=TODAY()),"Shooting today",""))))</f>
        <v/>
      </c>
    </row>
    <row r="176" customFormat="false" ht="15" hidden="false" customHeight="false" outlineLevel="0" collapsed="false">
      <c r="A176" s="17"/>
      <c r="B176" s="17"/>
      <c r="C176" s="44" t="str">
        <f aca="false">IF(B176="","",IFERROR(INDEX(Clients!$C$2:$C$501,MATCH(B176,Clients!$A$2:$A$501,0)),"Client ID not found"))</f>
        <v/>
      </c>
      <c r="D176" s="17"/>
      <c r="E176" s="40"/>
      <c r="F176" s="41"/>
      <c r="G176" s="17"/>
      <c r="H176" s="17"/>
      <c r="I176" s="17"/>
      <c r="J176" s="40"/>
      <c r="K176" s="17"/>
      <c r="L176" s="17"/>
      <c r="M176" s="17"/>
      <c r="N176" s="44" t="str">
        <f aca="true">IF(A176="","",IF(N(K176)&gt;Settings!$S$7,"Over revision limit",IF(AND(D176="Free video",J176="",E176&lt;&gt;"",TODAY()&gt;WORKDAY(E176,Settings!$S$5)),"LATE – free video promised in 5 working days",IF(AND(E176&lt;&gt;"",E176=TODAY()),"Shooting today",""))))</f>
        <v/>
      </c>
    </row>
    <row r="177" customFormat="false" ht="15" hidden="false" customHeight="false" outlineLevel="0" collapsed="false">
      <c r="A177" s="17"/>
      <c r="B177" s="17"/>
      <c r="C177" s="44" t="str">
        <f aca="false">IF(B177="","",IFERROR(INDEX(Clients!$C$2:$C$501,MATCH(B177,Clients!$A$2:$A$501,0)),"Client ID not found"))</f>
        <v/>
      </c>
      <c r="D177" s="17"/>
      <c r="E177" s="40"/>
      <c r="F177" s="41"/>
      <c r="G177" s="17"/>
      <c r="H177" s="17"/>
      <c r="I177" s="17"/>
      <c r="J177" s="40"/>
      <c r="K177" s="17"/>
      <c r="L177" s="17"/>
      <c r="M177" s="17"/>
      <c r="N177" s="44" t="str">
        <f aca="true">IF(A177="","",IF(N(K177)&gt;Settings!$S$7,"Over revision limit",IF(AND(D177="Free video",J177="",E177&lt;&gt;"",TODAY()&gt;WORKDAY(E177,Settings!$S$5)),"LATE – free video promised in 5 working days",IF(AND(E177&lt;&gt;"",E177=TODAY()),"Shooting today",""))))</f>
        <v/>
      </c>
    </row>
    <row r="178" customFormat="false" ht="15" hidden="false" customHeight="false" outlineLevel="0" collapsed="false">
      <c r="A178" s="17"/>
      <c r="B178" s="17"/>
      <c r="C178" s="44" t="str">
        <f aca="false">IF(B178="","",IFERROR(INDEX(Clients!$C$2:$C$501,MATCH(B178,Clients!$A$2:$A$501,0)),"Client ID not found"))</f>
        <v/>
      </c>
      <c r="D178" s="17"/>
      <c r="E178" s="40"/>
      <c r="F178" s="41"/>
      <c r="G178" s="17"/>
      <c r="H178" s="17"/>
      <c r="I178" s="17"/>
      <c r="J178" s="40"/>
      <c r="K178" s="17"/>
      <c r="L178" s="17"/>
      <c r="M178" s="17"/>
      <c r="N178" s="44" t="str">
        <f aca="true">IF(A178="","",IF(N(K178)&gt;Settings!$S$7,"Over revision limit",IF(AND(D178="Free video",J178="",E178&lt;&gt;"",TODAY()&gt;WORKDAY(E178,Settings!$S$5)),"LATE – free video promised in 5 working days",IF(AND(E178&lt;&gt;"",E178=TODAY()),"Shooting today",""))))</f>
        <v/>
      </c>
    </row>
    <row r="179" customFormat="false" ht="15" hidden="false" customHeight="false" outlineLevel="0" collapsed="false">
      <c r="A179" s="17"/>
      <c r="B179" s="17"/>
      <c r="C179" s="44" t="str">
        <f aca="false">IF(B179="","",IFERROR(INDEX(Clients!$C$2:$C$501,MATCH(B179,Clients!$A$2:$A$501,0)),"Client ID not found"))</f>
        <v/>
      </c>
      <c r="D179" s="17"/>
      <c r="E179" s="40"/>
      <c r="F179" s="41"/>
      <c r="G179" s="17"/>
      <c r="H179" s="17"/>
      <c r="I179" s="17"/>
      <c r="J179" s="40"/>
      <c r="K179" s="17"/>
      <c r="L179" s="17"/>
      <c r="M179" s="17"/>
      <c r="N179" s="44" t="str">
        <f aca="true">IF(A179="","",IF(N(K179)&gt;Settings!$S$7,"Over revision limit",IF(AND(D179="Free video",J179="",E179&lt;&gt;"",TODAY()&gt;WORKDAY(E179,Settings!$S$5)),"LATE – free video promised in 5 working days",IF(AND(E179&lt;&gt;"",E179=TODAY()),"Shooting today",""))))</f>
        <v/>
      </c>
    </row>
    <row r="180" customFormat="false" ht="15" hidden="false" customHeight="false" outlineLevel="0" collapsed="false">
      <c r="A180" s="17"/>
      <c r="B180" s="17"/>
      <c r="C180" s="44" t="str">
        <f aca="false">IF(B180="","",IFERROR(INDEX(Clients!$C$2:$C$501,MATCH(B180,Clients!$A$2:$A$501,0)),"Client ID not found"))</f>
        <v/>
      </c>
      <c r="D180" s="17"/>
      <c r="E180" s="40"/>
      <c r="F180" s="41"/>
      <c r="G180" s="17"/>
      <c r="H180" s="17"/>
      <c r="I180" s="17"/>
      <c r="J180" s="40"/>
      <c r="K180" s="17"/>
      <c r="L180" s="17"/>
      <c r="M180" s="17"/>
      <c r="N180" s="44" t="str">
        <f aca="true">IF(A180="","",IF(N(K180)&gt;Settings!$S$7,"Over revision limit",IF(AND(D180="Free video",J180="",E180&lt;&gt;"",TODAY()&gt;WORKDAY(E180,Settings!$S$5)),"LATE – free video promised in 5 working days",IF(AND(E180&lt;&gt;"",E180=TODAY()),"Shooting today",""))))</f>
        <v/>
      </c>
    </row>
    <row r="181" customFormat="false" ht="15" hidden="false" customHeight="false" outlineLevel="0" collapsed="false">
      <c r="A181" s="17"/>
      <c r="B181" s="17"/>
      <c r="C181" s="44" t="str">
        <f aca="false">IF(B181="","",IFERROR(INDEX(Clients!$C$2:$C$501,MATCH(B181,Clients!$A$2:$A$501,0)),"Client ID not found"))</f>
        <v/>
      </c>
      <c r="D181" s="17"/>
      <c r="E181" s="40"/>
      <c r="F181" s="41"/>
      <c r="G181" s="17"/>
      <c r="H181" s="17"/>
      <c r="I181" s="17"/>
      <c r="J181" s="40"/>
      <c r="K181" s="17"/>
      <c r="L181" s="17"/>
      <c r="M181" s="17"/>
      <c r="N181" s="44" t="str">
        <f aca="true">IF(A181="","",IF(N(K181)&gt;Settings!$S$7,"Over revision limit",IF(AND(D181="Free video",J181="",E181&lt;&gt;"",TODAY()&gt;WORKDAY(E181,Settings!$S$5)),"LATE – free video promised in 5 working days",IF(AND(E181&lt;&gt;"",E181=TODAY()),"Shooting today",""))))</f>
        <v/>
      </c>
    </row>
    <row r="182" customFormat="false" ht="15" hidden="false" customHeight="false" outlineLevel="0" collapsed="false">
      <c r="A182" s="17"/>
      <c r="B182" s="17"/>
      <c r="C182" s="44" t="str">
        <f aca="false">IF(B182="","",IFERROR(INDEX(Clients!$C$2:$C$501,MATCH(B182,Clients!$A$2:$A$501,0)),"Client ID not found"))</f>
        <v/>
      </c>
      <c r="D182" s="17"/>
      <c r="E182" s="40"/>
      <c r="F182" s="41"/>
      <c r="G182" s="17"/>
      <c r="H182" s="17"/>
      <c r="I182" s="17"/>
      <c r="J182" s="40"/>
      <c r="K182" s="17"/>
      <c r="L182" s="17"/>
      <c r="M182" s="17"/>
      <c r="N182" s="44" t="str">
        <f aca="true">IF(A182="","",IF(N(K182)&gt;Settings!$S$7,"Over revision limit",IF(AND(D182="Free video",J182="",E182&lt;&gt;"",TODAY()&gt;WORKDAY(E182,Settings!$S$5)),"LATE – free video promised in 5 working days",IF(AND(E182&lt;&gt;"",E182=TODAY()),"Shooting today",""))))</f>
        <v/>
      </c>
    </row>
    <row r="183" customFormat="false" ht="15" hidden="false" customHeight="false" outlineLevel="0" collapsed="false">
      <c r="A183" s="17"/>
      <c r="B183" s="17"/>
      <c r="C183" s="44" t="str">
        <f aca="false">IF(B183="","",IFERROR(INDEX(Clients!$C$2:$C$501,MATCH(B183,Clients!$A$2:$A$501,0)),"Client ID not found"))</f>
        <v/>
      </c>
      <c r="D183" s="17"/>
      <c r="E183" s="40"/>
      <c r="F183" s="41"/>
      <c r="G183" s="17"/>
      <c r="H183" s="17"/>
      <c r="I183" s="17"/>
      <c r="J183" s="40"/>
      <c r="K183" s="17"/>
      <c r="L183" s="17"/>
      <c r="M183" s="17"/>
      <c r="N183" s="44" t="str">
        <f aca="true">IF(A183="","",IF(N(K183)&gt;Settings!$S$7,"Over revision limit",IF(AND(D183="Free video",J183="",E183&lt;&gt;"",TODAY()&gt;WORKDAY(E183,Settings!$S$5)),"LATE – free video promised in 5 working days",IF(AND(E183&lt;&gt;"",E183=TODAY()),"Shooting today",""))))</f>
        <v/>
      </c>
    </row>
    <row r="184" customFormat="false" ht="15" hidden="false" customHeight="false" outlineLevel="0" collapsed="false">
      <c r="A184" s="17"/>
      <c r="B184" s="17"/>
      <c r="C184" s="44" t="str">
        <f aca="false">IF(B184="","",IFERROR(INDEX(Clients!$C$2:$C$501,MATCH(B184,Clients!$A$2:$A$501,0)),"Client ID not found"))</f>
        <v/>
      </c>
      <c r="D184" s="17"/>
      <c r="E184" s="40"/>
      <c r="F184" s="41"/>
      <c r="G184" s="17"/>
      <c r="H184" s="17"/>
      <c r="I184" s="17"/>
      <c r="J184" s="40"/>
      <c r="K184" s="17"/>
      <c r="L184" s="17"/>
      <c r="M184" s="17"/>
      <c r="N184" s="44" t="str">
        <f aca="true">IF(A184="","",IF(N(K184)&gt;Settings!$S$7,"Over revision limit",IF(AND(D184="Free video",J184="",E184&lt;&gt;"",TODAY()&gt;WORKDAY(E184,Settings!$S$5)),"LATE – free video promised in 5 working days",IF(AND(E184&lt;&gt;"",E184=TODAY()),"Shooting today",""))))</f>
        <v/>
      </c>
    </row>
    <row r="185" customFormat="false" ht="15" hidden="false" customHeight="false" outlineLevel="0" collapsed="false">
      <c r="A185" s="17"/>
      <c r="B185" s="17"/>
      <c r="C185" s="44" t="str">
        <f aca="false">IF(B185="","",IFERROR(INDEX(Clients!$C$2:$C$501,MATCH(B185,Clients!$A$2:$A$501,0)),"Client ID not found"))</f>
        <v/>
      </c>
      <c r="D185" s="17"/>
      <c r="E185" s="40"/>
      <c r="F185" s="41"/>
      <c r="G185" s="17"/>
      <c r="H185" s="17"/>
      <c r="I185" s="17"/>
      <c r="J185" s="40"/>
      <c r="K185" s="17"/>
      <c r="L185" s="17"/>
      <c r="M185" s="17"/>
      <c r="N185" s="44" t="str">
        <f aca="true">IF(A185="","",IF(N(K185)&gt;Settings!$S$7,"Over revision limit",IF(AND(D185="Free video",J185="",E185&lt;&gt;"",TODAY()&gt;WORKDAY(E185,Settings!$S$5)),"LATE – free video promised in 5 working days",IF(AND(E185&lt;&gt;"",E185=TODAY()),"Shooting today",""))))</f>
        <v/>
      </c>
    </row>
    <row r="186" customFormat="false" ht="15" hidden="false" customHeight="false" outlineLevel="0" collapsed="false">
      <c r="A186" s="17"/>
      <c r="B186" s="17"/>
      <c r="C186" s="44" t="str">
        <f aca="false">IF(B186="","",IFERROR(INDEX(Clients!$C$2:$C$501,MATCH(B186,Clients!$A$2:$A$501,0)),"Client ID not found"))</f>
        <v/>
      </c>
      <c r="D186" s="17"/>
      <c r="E186" s="40"/>
      <c r="F186" s="41"/>
      <c r="G186" s="17"/>
      <c r="H186" s="17"/>
      <c r="I186" s="17"/>
      <c r="J186" s="40"/>
      <c r="K186" s="17"/>
      <c r="L186" s="17"/>
      <c r="M186" s="17"/>
      <c r="N186" s="44" t="str">
        <f aca="true">IF(A186="","",IF(N(K186)&gt;Settings!$S$7,"Over revision limit",IF(AND(D186="Free video",J186="",E186&lt;&gt;"",TODAY()&gt;WORKDAY(E186,Settings!$S$5)),"LATE – free video promised in 5 working days",IF(AND(E186&lt;&gt;"",E186=TODAY()),"Shooting today",""))))</f>
        <v/>
      </c>
    </row>
    <row r="187" customFormat="false" ht="15" hidden="false" customHeight="false" outlineLevel="0" collapsed="false">
      <c r="A187" s="17"/>
      <c r="B187" s="17"/>
      <c r="C187" s="44" t="str">
        <f aca="false">IF(B187="","",IFERROR(INDEX(Clients!$C$2:$C$501,MATCH(B187,Clients!$A$2:$A$501,0)),"Client ID not found"))</f>
        <v/>
      </c>
      <c r="D187" s="17"/>
      <c r="E187" s="40"/>
      <c r="F187" s="41"/>
      <c r="G187" s="17"/>
      <c r="H187" s="17"/>
      <c r="I187" s="17"/>
      <c r="J187" s="40"/>
      <c r="K187" s="17"/>
      <c r="L187" s="17"/>
      <c r="M187" s="17"/>
      <c r="N187" s="44" t="str">
        <f aca="true">IF(A187="","",IF(N(K187)&gt;Settings!$S$7,"Over revision limit",IF(AND(D187="Free video",J187="",E187&lt;&gt;"",TODAY()&gt;WORKDAY(E187,Settings!$S$5)),"LATE – free video promised in 5 working days",IF(AND(E187&lt;&gt;"",E187=TODAY()),"Shooting today",""))))</f>
        <v/>
      </c>
    </row>
    <row r="188" customFormat="false" ht="15" hidden="false" customHeight="false" outlineLevel="0" collapsed="false">
      <c r="A188" s="17"/>
      <c r="B188" s="17"/>
      <c r="C188" s="44" t="str">
        <f aca="false">IF(B188="","",IFERROR(INDEX(Clients!$C$2:$C$501,MATCH(B188,Clients!$A$2:$A$501,0)),"Client ID not found"))</f>
        <v/>
      </c>
      <c r="D188" s="17"/>
      <c r="E188" s="40"/>
      <c r="F188" s="41"/>
      <c r="G188" s="17"/>
      <c r="H188" s="17"/>
      <c r="I188" s="17"/>
      <c r="J188" s="40"/>
      <c r="K188" s="17"/>
      <c r="L188" s="17"/>
      <c r="M188" s="17"/>
      <c r="N188" s="44" t="str">
        <f aca="true">IF(A188="","",IF(N(K188)&gt;Settings!$S$7,"Over revision limit",IF(AND(D188="Free video",J188="",E188&lt;&gt;"",TODAY()&gt;WORKDAY(E188,Settings!$S$5)),"LATE – free video promised in 5 working days",IF(AND(E188&lt;&gt;"",E188=TODAY()),"Shooting today",""))))</f>
        <v/>
      </c>
    </row>
    <row r="189" customFormat="false" ht="15" hidden="false" customHeight="false" outlineLevel="0" collapsed="false">
      <c r="A189" s="17"/>
      <c r="B189" s="17"/>
      <c r="C189" s="44" t="str">
        <f aca="false">IF(B189="","",IFERROR(INDEX(Clients!$C$2:$C$501,MATCH(B189,Clients!$A$2:$A$501,0)),"Client ID not found"))</f>
        <v/>
      </c>
      <c r="D189" s="17"/>
      <c r="E189" s="40"/>
      <c r="F189" s="41"/>
      <c r="G189" s="17"/>
      <c r="H189" s="17"/>
      <c r="I189" s="17"/>
      <c r="J189" s="40"/>
      <c r="K189" s="17"/>
      <c r="L189" s="17"/>
      <c r="M189" s="17"/>
      <c r="N189" s="44" t="str">
        <f aca="true">IF(A189="","",IF(N(K189)&gt;Settings!$S$7,"Over revision limit",IF(AND(D189="Free video",J189="",E189&lt;&gt;"",TODAY()&gt;WORKDAY(E189,Settings!$S$5)),"LATE – free video promised in 5 working days",IF(AND(E189&lt;&gt;"",E189=TODAY()),"Shooting today",""))))</f>
        <v/>
      </c>
    </row>
    <row r="190" customFormat="false" ht="15" hidden="false" customHeight="false" outlineLevel="0" collapsed="false">
      <c r="A190" s="17"/>
      <c r="B190" s="17"/>
      <c r="C190" s="44" t="str">
        <f aca="false">IF(B190="","",IFERROR(INDEX(Clients!$C$2:$C$501,MATCH(B190,Clients!$A$2:$A$501,0)),"Client ID not found"))</f>
        <v/>
      </c>
      <c r="D190" s="17"/>
      <c r="E190" s="40"/>
      <c r="F190" s="41"/>
      <c r="G190" s="17"/>
      <c r="H190" s="17"/>
      <c r="I190" s="17"/>
      <c r="J190" s="40"/>
      <c r="K190" s="17"/>
      <c r="L190" s="17"/>
      <c r="M190" s="17"/>
      <c r="N190" s="44" t="str">
        <f aca="true">IF(A190="","",IF(N(K190)&gt;Settings!$S$7,"Over revision limit",IF(AND(D190="Free video",J190="",E190&lt;&gt;"",TODAY()&gt;WORKDAY(E190,Settings!$S$5)),"LATE – free video promised in 5 working days",IF(AND(E190&lt;&gt;"",E190=TODAY()),"Shooting today",""))))</f>
        <v/>
      </c>
    </row>
    <row r="191" customFormat="false" ht="15" hidden="false" customHeight="false" outlineLevel="0" collapsed="false">
      <c r="A191" s="17"/>
      <c r="B191" s="17"/>
      <c r="C191" s="44" t="str">
        <f aca="false">IF(B191="","",IFERROR(INDEX(Clients!$C$2:$C$501,MATCH(B191,Clients!$A$2:$A$501,0)),"Client ID not found"))</f>
        <v/>
      </c>
      <c r="D191" s="17"/>
      <c r="E191" s="40"/>
      <c r="F191" s="41"/>
      <c r="G191" s="17"/>
      <c r="H191" s="17"/>
      <c r="I191" s="17"/>
      <c r="J191" s="40"/>
      <c r="K191" s="17"/>
      <c r="L191" s="17"/>
      <c r="M191" s="17"/>
      <c r="N191" s="44" t="str">
        <f aca="true">IF(A191="","",IF(N(K191)&gt;Settings!$S$7,"Over revision limit",IF(AND(D191="Free video",J191="",E191&lt;&gt;"",TODAY()&gt;WORKDAY(E191,Settings!$S$5)),"LATE – free video promised in 5 working days",IF(AND(E191&lt;&gt;"",E191=TODAY()),"Shooting today",""))))</f>
        <v/>
      </c>
    </row>
    <row r="192" customFormat="false" ht="15" hidden="false" customHeight="false" outlineLevel="0" collapsed="false">
      <c r="A192" s="17"/>
      <c r="B192" s="17"/>
      <c r="C192" s="44" t="str">
        <f aca="false">IF(B192="","",IFERROR(INDEX(Clients!$C$2:$C$501,MATCH(B192,Clients!$A$2:$A$501,0)),"Client ID not found"))</f>
        <v/>
      </c>
      <c r="D192" s="17"/>
      <c r="E192" s="40"/>
      <c r="F192" s="41"/>
      <c r="G192" s="17"/>
      <c r="H192" s="17"/>
      <c r="I192" s="17"/>
      <c r="J192" s="40"/>
      <c r="K192" s="17"/>
      <c r="L192" s="17"/>
      <c r="M192" s="17"/>
      <c r="N192" s="44" t="str">
        <f aca="true">IF(A192="","",IF(N(K192)&gt;Settings!$S$7,"Over revision limit",IF(AND(D192="Free video",J192="",E192&lt;&gt;"",TODAY()&gt;WORKDAY(E192,Settings!$S$5)),"LATE – free video promised in 5 working days",IF(AND(E192&lt;&gt;"",E192=TODAY()),"Shooting today",""))))</f>
        <v/>
      </c>
    </row>
    <row r="193" customFormat="false" ht="15" hidden="false" customHeight="false" outlineLevel="0" collapsed="false">
      <c r="A193" s="17"/>
      <c r="B193" s="17"/>
      <c r="C193" s="44" t="str">
        <f aca="false">IF(B193="","",IFERROR(INDEX(Clients!$C$2:$C$501,MATCH(B193,Clients!$A$2:$A$501,0)),"Client ID not found"))</f>
        <v/>
      </c>
      <c r="D193" s="17"/>
      <c r="E193" s="40"/>
      <c r="F193" s="41"/>
      <c r="G193" s="17"/>
      <c r="H193" s="17"/>
      <c r="I193" s="17"/>
      <c r="J193" s="40"/>
      <c r="K193" s="17"/>
      <c r="L193" s="17"/>
      <c r="M193" s="17"/>
      <c r="N193" s="44" t="str">
        <f aca="true">IF(A193="","",IF(N(K193)&gt;Settings!$S$7,"Over revision limit",IF(AND(D193="Free video",J193="",E193&lt;&gt;"",TODAY()&gt;WORKDAY(E193,Settings!$S$5)),"LATE – free video promised in 5 working days",IF(AND(E193&lt;&gt;"",E193=TODAY()),"Shooting today",""))))</f>
        <v/>
      </c>
    </row>
    <row r="194" customFormat="false" ht="15" hidden="false" customHeight="false" outlineLevel="0" collapsed="false">
      <c r="A194" s="17"/>
      <c r="B194" s="17"/>
      <c r="C194" s="44" t="str">
        <f aca="false">IF(B194="","",IFERROR(INDEX(Clients!$C$2:$C$501,MATCH(B194,Clients!$A$2:$A$501,0)),"Client ID not found"))</f>
        <v/>
      </c>
      <c r="D194" s="17"/>
      <c r="E194" s="40"/>
      <c r="F194" s="41"/>
      <c r="G194" s="17"/>
      <c r="H194" s="17"/>
      <c r="I194" s="17"/>
      <c r="J194" s="40"/>
      <c r="K194" s="17"/>
      <c r="L194" s="17"/>
      <c r="M194" s="17"/>
      <c r="N194" s="44" t="str">
        <f aca="true">IF(A194="","",IF(N(K194)&gt;Settings!$S$7,"Over revision limit",IF(AND(D194="Free video",J194="",E194&lt;&gt;"",TODAY()&gt;WORKDAY(E194,Settings!$S$5)),"LATE – free video promised in 5 working days",IF(AND(E194&lt;&gt;"",E194=TODAY()),"Shooting today",""))))</f>
        <v/>
      </c>
    </row>
    <row r="195" customFormat="false" ht="15" hidden="false" customHeight="false" outlineLevel="0" collapsed="false">
      <c r="A195" s="17"/>
      <c r="B195" s="17"/>
      <c r="C195" s="44" t="str">
        <f aca="false">IF(B195="","",IFERROR(INDEX(Clients!$C$2:$C$501,MATCH(B195,Clients!$A$2:$A$501,0)),"Client ID not found"))</f>
        <v/>
      </c>
      <c r="D195" s="17"/>
      <c r="E195" s="40"/>
      <c r="F195" s="41"/>
      <c r="G195" s="17"/>
      <c r="H195" s="17"/>
      <c r="I195" s="17"/>
      <c r="J195" s="40"/>
      <c r="K195" s="17"/>
      <c r="L195" s="17"/>
      <c r="M195" s="17"/>
      <c r="N195" s="44" t="str">
        <f aca="true">IF(A195="","",IF(N(K195)&gt;Settings!$S$7,"Over revision limit",IF(AND(D195="Free video",J195="",E195&lt;&gt;"",TODAY()&gt;WORKDAY(E195,Settings!$S$5)),"LATE – free video promised in 5 working days",IF(AND(E195&lt;&gt;"",E195=TODAY()),"Shooting today",""))))</f>
        <v/>
      </c>
    </row>
    <row r="196" customFormat="false" ht="15" hidden="false" customHeight="false" outlineLevel="0" collapsed="false">
      <c r="A196" s="17"/>
      <c r="B196" s="17"/>
      <c r="C196" s="44" t="str">
        <f aca="false">IF(B196="","",IFERROR(INDEX(Clients!$C$2:$C$501,MATCH(B196,Clients!$A$2:$A$501,0)),"Client ID not found"))</f>
        <v/>
      </c>
      <c r="D196" s="17"/>
      <c r="E196" s="40"/>
      <c r="F196" s="41"/>
      <c r="G196" s="17"/>
      <c r="H196" s="17"/>
      <c r="I196" s="17"/>
      <c r="J196" s="40"/>
      <c r="K196" s="17"/>
      <c r="L196" s="17"/>
      <c r="M196" s="17"/>
      <c r="N196" s="44" t="str">
        <f aca="true">IF(A196="","",IF(N(K196)&gt;Settings!$S$7,"Over revision limit",IF(AND(D196="Free video",J196="",E196&lt;&gt;"",TODAY()&gt;WORKDAY(E196,Settings!$S$5)),"LATE – free video promised in 5 working days",IF(AND(E196&lt;&gt;"",E196=TODAY()),"Shooting today",""))))</f>
        <v/>
      </c>
    </row>
    <row r="197" customFormat="false" ht="15" hidden="false" customHeight="false" outlineLevel="0" collapsed="false">
      <c r="A197" s="17"/>
      <c r="B197" s="17"/>
      <c r="C197" s="44" t="str">
        <f aca="false">IF(B197="","",IFERROR(INDEX(Clients!$C$2:$C$501,MATCH(B197,Clients!$A$2:$A$501,0)),"Client ID not found"))</f>
        <v/>
      </c>
      <c r="D197" s="17"/>
      <c r="E197" s="40"/>
      <c r="F197" s="41"/>
      <c r="G197" s="17"/>
      <c r="H197" s="17"/>
      <c r="I197" s="17"/>
      <c r="J197" s="40"/>
      <c r="K197" s="17"/>
      <c r="L197" s="17"/>
      <c r="M197" s="17"/>
      <c r="N197" s="44" t="str">
        <f aca="true">IF(A197="","",IF(N(K197)&gt;Settings!$S$7,"Over revision limit",IF(AND(D197="Free video",J197="",E197&lt;&gt;"",TODAY()&gt;WORKDAY(E197,Settings!$S$5)),"LATE – free video promised in 5 working days",IF(AND(E197&lt;&gt;"",E197=TODAY()),"Shooting today",""))))</f>
        <v/>
      </c>
    </row>
    <row r="198" customFormat="false" ht="15" hidden="false" customHeight="false" outlineLevel="0" collapsed="false">
      <c r="A198" s="17"/>
      <c r="B198" s="17"/>
      <c r="C198" s="44" t="str">
        <f aca="false">IF(B198="","",IFERROR(INDEX(Clients!$C$2:$C$501,MATCH(B198,Clients!$A$2:$A$501,0)),"Client ID not found"))</f>
        <v/>
      </c>
      <c r="D198" s="17"/>
      <c r="E198" s="40"/>
      <c r="F198" s="41"/>
      <c r="G198" s="17"/>
      <c r="H198" s="17"/>
      <c r="I198" s="17"/>
      <c r="J198" s="40"/>
      <c r="K198" s="17"/>
      <c r="L198" s="17"/>
      <c r="M198" s="17"/>
      <c r="N198" s="44" t="str">
        <f aca="true">IF(A198="","",IF(N(K198)&gt;Settings!$S$7,"Over revision limit",IF(AND(D198="Free video",J198="",E198&lt;&gt;"",TODAY()&gt;WORKDAY(E198,Settings!$S$5)),"LATE – free video promised in 5 working days",IF(AND(E198&lt;&gt;"",E198=TODAY()),"Shooting today",""))))</f>
        <v/>
      </c>
    </row>
    <row r="199" customFormat="false" ht="15" hidden="false" customHeight="false" outlineLevel="0" collapsed="false">
      <c r="A199" s="17"/>
      <c r="B199" s="17"/>
      <c r="C199" s="44" t="str">
        <f aca="false">IF(B199="","",IFERROR(INDEX(Clients!$C$2:$C$501,MATCH(B199,Clients!$A$2:$A$501,0)),"Client ID not found"))</f>
        <v/>
      </c>
      <c r="D199" s="17"/>
      <c r="E199" s="40"/>
      <c r="F199" s="41"/>
      <c r="G199" s="17"/>
      <c r="H199" s="17"/>
      <c r="I199" s="17"/>
      <c r="J199" s="40"/>
      <c r="K199" s="17"/>
      <c r="L199" s="17"/>
      <c r="M199" s="17"/>
      <c r="N199" s="44" t="str">
        <f aca="true">IF(A199="","",IF(N(K199)&gt;Settings!$S$7,"Over revision limit",IF(AND(D199="Free video",J199="",E199&lt;&gt;"",TODAY()&gt;WORKDAY(E199,Settings!$S$5)),"LATE – free video promised in 5 working days",IF(AND(E199&lt;&gt;"",E199=TODAY()),"Shooting today",""))))</f>
        <v/>
      </c>
    </row>
    <row r="200" customFormat="false" ht="15" hidden="false" customHeight="false" outlineLevel="0" collapsed="false">
      <c r="A200" s="17"/>
      <c r="B200" s="17"/>
      <c r="C200" s="44" t="str">
        <f aca="false">IF(B200="","",IFERROR(INDEX(Clients!$C$2:$C$501,MATCH(B200,Clients!$A$2:$A$501,0)),"Client ID not found"))</f>
        <v/>
      </c>
      <c r="D200" s="17"/>
      <c r="E200" s="40"/>
      <c r="F200" s="41"/>
      <c r="G200" s="17"/>
      <c r="H200" s="17"/>
      <c r="I200" s="17"/>
      <c r="J200" s="40"/>
      <c r="K200" s="17"/>
      <c r="L200" s="17"/>
      <c r="M200" s="17"/>
      <c r="N200" s="44" t="str">
        <f aca="true">IF(A200="","",IF(N(K200)&gt;Settings!$S$7,"Over revision limit",IF(AND(D200="Free video",J200="",E200&lt;&gt;"",TODAY()&gt;WORKDAY(E200,Settings!$S$5)),"LATE – free video promised in 5 working days",IF(AND(E200&lt;&gt;"",E200=TODAY()),"Shooting today",""))))</f>
        <v/>
      </c>
    </row>
    <row r="201" customFormat="false" ht="15" hidden="false" customHeight="false" outlineLevel="0" collapsed="false">
      <c r="A201" s="17"/>
      <c r="B201" s="17"/>
      <c r="C201" s="44" t="str">
        <f aca="false">IF(B201="","",IFERROR(INDEX(Clients!$C$2:$C$501,MATCH(B201,Clients!$A$2:$A$501,0)),"Client ID not found"))</f>
        <v/>
      </c>
      <c r="D201" s="17"/>
      <c r="E201" s="40"/>
      <c r="F201" s="41"/>
      <c r="G201" s="17"/>
      <c r="H201" s="17"/>
      <c r="I201" s="17"/>
      <c r="J201" s="40"/>
      <c r="K201" s="17"/>
      <c r="L201" s="17"/>
      <c r="M201" s="17"/>
      <c r="N201" s="44" t="str">
        <f aca="true">IF(A201="","",IF(N(K201)&gt;Settings!$S$7,"Over revision limit",IF(AND(D201="Free video",J201="",E201&lt;&gt;"",TODAY()&gt;WORKDAY(E201,Settings!$S$5)),"LATE – free video promised in 5 working days",IF(AND(E201&lt;&gt;"",E201=TODAY()),"Shooting today",""))))</f>
        <v/>
      </c>
    </row>
    <row r="202" customFormat="false" ht="15" hidden="false" customHeight="false" outlineLevel="0" collapsed="false">
      <c r="A202" s="17"/>
      <c r="B202" s="17"/>
      <c r="C202" s="44" t="str">
        <f aca="false">IF(B202="","",IFERROR(INDEX(Clients!$C$2:$C$501,MATCH(B202,Clients!$A$2:$A$501,0)),"Client ID not found"))</f>
        <v/>
      </c>
      <c r="D202" s="17"/>
      <c r="E202" s="40"/>
      <c r="F202" s="41"/>
      <c r="G202" s="17"/>
      <c r="H202" s="17"/>
      <c r="I202" s="17"/>
      <c r="J202" s="40"/>
      <c r="K202" s="17"/>
      <c r="L202" s="17"/>
      <c r="M202" s="17"/>
      <c r="N202" s="44" t="str">
        <f aca="true">IF(A202="","",IF(N(K202)&gt;Settings!$S$7,"Over revision limit",IF(AND(D202="Free video",J202="",E202&lt;&gt;"",TODAY()&gt;WORKDAY(E202,Settings!$S$5)),"LATE – free video promised in 5 working days",IF(AND(E202&lt;&gt;"",E202=TODAY()),"Shooting today",""))))</f>
        <v/>
      </c>
    </row>
    <row r="203" customFormat="false" ht="15" hidden="false" customHeight="false" outlineLevel="0" collapsed="false">
      <c r="A203" s="17"/>
      <c r="B203" s="17"/>
      <c r="C203" s="44" t="str">
        <f aca="false">IF(B203="","",IFERROR(INDEX(Clients!$C$2:$C$501,MATCH(B203,Clients!$A$2:$A$501,0)),"Client ID not found"))</f>
        <v/>
      </c>
      <c r="D203" s="17"/>
      <c r="E203" s="40"/>
      <c r="F203" s="41"/>
      <c r="G203" s="17"/>
      <c r="H203" s="17"/>
      <c r="I203" s="17"/>
      <c r="J203" s="40"/>
      <c r="K203" s="17"/>
      <c r="L203" s="17"/>
      <c r="M203" s="17"/>
      <c r="N203" s="44" t="str">
        <f aca="true">IF(A203="","",IF(N(K203)&gt;Settings!$S$7,"Over revision limit",IF(AND(D203="Free video",J203="",E203&lt;&gt;"",TODAY()&gt;WORKDAY(E203,Settings!$S$5)),"LATE – free video promised in 5 working days",IF(AND(E203&lt;&gt;"",E203=TODAY()),"Shooting today",""))))</f>
        <v/>
      </c>
    </row>
    <row r="204" customFormat="false" ht="15" hidden="false" customHeight="false" outlineLevel="0" collapsed="false">
      <c r="A204" s="17"/>
      <c r="B204" s="17"/>
      <c r="C204" s="44" t="str">
        <f aca="false">IF(B204="","",IFERROR(INDEX(Clients!$C$2:$C$501,MATCH(B204,Clients!$A$2:$A$501,0)),"Client ID not found"))</f>
        <v/>
      </c>
      <c r="D204" s="17"/>
      <c r="E204" s="40"/>
      <c r="F204" s="41"/>
      <c r="G204" s="17"/>
      <c r="H204" s="17"/>
      <c r="I204" s="17"/>
      <c r="J204" s="40"/>
      <c r="K204" s="17"/>
      <c r="L204" s="17"/>
      <c r="M204" s="17"/>
      <c r="N204" s="44" t="str">
        <f aca="true">IF(A204="","",IF(N(K204)&gt;Settings!$S$7,"Over revision limit",IF(AND(D204="Free video",J204="",E204&lt;&gt;"",TODAY()&gt;WORKDAY(E204,Settings!$S$5)),"LATE – free video promised in 5 working days",IF(AND(E204&lt;&gt;"",E204=TODAY()),"Shooting today",""))))</f>
        <v/>
      </c>
    </row>
    <row r="205" customFormat="false" ht="15" hidden="false" customHeight="false" outlineLevel="0" collapsed="false">
      <c r="A205" s="17"/>
      <c r="B205" s="17"/>
      <c r="C205" s="44" t="str">
        <f aca="false">IF(B205="","",IFERROR(INDEX(Clients!$C$2:$C$501,MATCH(B205,Clients!$A$2:$A$501,0)),"Client ID not found"))</f>
        <v/>
      </c>
      <c r="D205" s="17"/>
      <c r="E205" s="40"/>
      <c r="F205" s="41"/>
      <c r="G205" s="17"/>
      <c r="H205" s="17"/>
      <c r="I205" s="17"/>
      <c r="J205" s="40"/>
      <c r="K205" s="17"/>
      <c r="L205" s="17"/>
      <c r="M205" s="17"/>
      <c r="N205" s="44" t="str">
        <f aca="true">IF(A205="","",IF(N(K205)&gt;Settings!$S$7,"Over revision limit",IF(AND(D205="Free video",J205="",E205&lt;&gt;"",TODAY()&gt;WORKDAY(E205,Settings!$S$5)),"LATE – free video promised in 5 working days",IF(AND(E205&lt;&gt;"",E205=TODAY()),"Shooting today",""))))</f>
        <v/>
      </c>
    </row>
    <row r="206" customFormat="false" ht="15" hidden="false" customHeight="false" outlineLevel="0" collapsed="false">
      <c r="A206" s="17"/>
      <c r="B206" s="17"/>
      <c r="C206" s="44" t="str">
        <f aca="false">IF(B206="","",IFERROR(INDEX(Clients!$C$2:$C$501,MATCH(B206,Clients!$A$2:$A$501,0)),"Client ID not found"))</f>
        <v/>
      </c>
      <c r="D206" s="17"/>
      <c r="E206" s="40"/>
      <c r="F206" s="41"/>
      <c r="G206" s="17"/>
      <c r="H206" s="17"/>
      <c r="I206" s="17"/>
      <c r="J206" s="40"/>
      <c r="K206" s="17"/>
      <c r="L206" s="17"/>
      <c r="M206" s="17"/>
      <c r="N206" s="44" t="str">
        <f aca="true">IF(A206="","",IF(N(K206)&gt;Settings!$S$7,"Over revision limit",IF(AND(D206="Free video",J206="",E206&lt;&gt;"",TODAY()&gt;WORKDAY(E206,Settings!$S$5)),"LATE – free video promised in 5 working days",IF(AND(E206&lt;&gt;"",E206=TODAY()),"Shooting today",""))))</f>
        <v/>
      </c>
    </row>
    <row r="207" customFormat="false" ht="15" hidden="false" customHeight="false" outlineLevel="0" collapsed="false">
      <c r="A207" s="17"/>
      <c r="B207" s="17"/>
      <c r="C207" s="44" t="str">
        <f aca="false">IF(B207="","",IFERROR(INDEX(Clients!$C$2:$C$501,MATCH(B207,Clients!$A$2:$A$501,0)),"Client ID not found"))</f>
        <v/>
      </c>
      <c r="D207" s="17"/>
      <c r="E207" s="40"/>
      <c r="F207" s="41"/>
      <c r="G207" s="17"/>
      <c r="H207" s="17"/>
      <c r="I207" s="17"/>
      <c r="J207" s="40"/>
      <c r="K207" s="17"/>
      <c r="L207" s="17"/>
      <c r="M207" s="17"/>
      <c r="N207" s="44" t="str">
        <f aca="true">IF(A207="","",IF(N(K207)&gt;Settings!$S$7,"Over revision limit",IF(AND(D207="Free video",J207="",E207&lt;&gt;"",TODAY()&gt;WORKDAY(E207,Settings!$S$5)),"LATE – free video promised in 5 working days",IF(AND(E207&lt;&gt;"",E207=TODAY()),"Shooting today",""))))</f>
        <v/>
      </c>
    </row>
    <row r="208" customFormat="false" ht="15" hidden="false" customHeight="false" outlineLevel="0" collapsed="false">
      <c r="A208" s="17"/>
      <c r="B208" s="17"/>
      <c r="C208" s="44" t="str">
        <f aca="false">IF(B208="","",IFERROR(INDEX(Clients!$C$2:$C$501,MATCH(B208,Clients!$A$2:$A$501,0)),"Client ID not found"))</f>
        <v/>
      </c>
      <c r="D208" s="17"/>
      <c r="E208" s="40"/>
      <c r="F208" s="41"/>
      <c r="G208" s="17"/>
      <c r="H208" s="17"/>
      <c r="I208" s="17"/>
      <c r="J208" s="40"/>
      <c r="K208" s="17"/>
      <c r="L208" s="17"/>
      <c r="M208" s="17"/>
      <c r="N208" s="44" t="str">
        <f aca="true">IF(A208="","",IF(N(K208)&gt;Settings!$S$7,"Over revision limit",IF(AND(D208="Free video",J208="",E208&lt;&gt;"",TODAY()&gt;WORKDAY(E208,Settings!$S$5)),"LATE – free video promised in 5 working days",IF(AND(E208&lt;&gt;"",E208=TODAY()),"Shooting today",""))))</f>
        <v/>
      </c>
    </row>
    <row r="209" customFormat="false" ht="15" hidden="false" customHeight="false" outlineLevel="0" collapsed="false">
      <c r="A209" s="17"/>
      <c r="B209" s="17"/>
      <c r="C209" s="44" t="str">
        <f aca="false">IF(B209="","",IFERROR(INDEX(Clients!$C$2:$C$501,MATCH(B209,Clients!$A$2:$A$501,0)),"Client ID not found"))</f>
        <v/>
      </c>
      <c r="D209" s="17"/>
      <c r="E209" s="40"/>
      <c r="F209" s="41"/>
      <c r="G209" s="17"/>
      <c r="H209" s="17"/>
      <c r="I209" s="17"/>
      <c r="J209" s="40"/>
      <c r="K209" s="17"/>
      <c r="L209" s="17"/>
      <c r="M209" s="17"/>
      <c r="N209" s="44" t="str">
        <f aca="true">IF(A209="","",IF(N(K209)&gt;Settings!$S$7,"Over revision limit",IF(AND(D209="Free video",J209="",E209&lt;&gt;"",TODAY()&gt;WORKDAY(E209,Settings!$S$5)),"LATE – free video promised in 5 working days",IF(AND(E209&lt;&gt;"",E209=TODAY()),"Shooting today",""))))</f>
        <v/>
      </c>
    </row>
    <row r="210" customFormat="false" ht="15" hidden="false" customHeight="false" outlineLevel="0" collapsed="false">
      <c r="A210" s="17"/>
      <c r="B210" s="17"/>
      <c r="C210" s="44" t="str">
        <f aca="false">IF(B210="","",IFERROR(INDEX(Clients!$C$2:$C$501,MATCH(B210,Clients!$A$2:$A$501,0)),"Client ID not found"))</f>
        <v/>
      </c>
      <c r="D210" s="17"/>
      <c r="E210" s="40"/>
      <c r="F210" s="41"/>
      <c r="G210" s="17"/>
      <c r="H210" s="17"/>
      <c r="I210" s="17"/>
      <c r="J210" s="40"/>
      <c r="K210" s="17"/>
      <c r="L210" s="17"/>
      <c r="M210" s="17"/>
      <c r="N210" s="44" t="str">
        <f aca="true">IF(A210="","",IF(N(K210)&gt;Settings!$S$7,"Over revision limit",IF(AND(D210="Free video",J210="",E210&lt;&gt;"",TODAY()&gt;WORKDAY(E210,Settings!$S$5)),"LATE – free video promised in 5 working days",IF(AND(E210&lt;&gt;"",E210=TODAY()),"Shooting today",""))))</f>
        <v/>
      </c>
    </row>
    <row r="211" customFormat="false" ht="15" hidden="false" customHeight="false" outlineLevel="0" collapsed="false">
      <c r="A211" s="17"/>
      <c r="B211" s="17"/>
      <c r="C211" s="44" t="str">
        <f aca="false">IF(B211="","",IFERROR(INDEX(Clients!$C$2:$C$501,MATCH(B211,Clients!$A$2:$A$501,0)),"Client ID not found"))</f>
        <v/>
      </c>
      <c r="D211" s="17"/>
      <c r="E211" s="40"/>
      <c r="F211" s="41"/>
      <c r="G211" s="17"/>
      <c r="H211" s="17"/>
      <c r="I211" s="17"/>
      <c r="J211" s="40"/>
      <c r="K211" s="17"/>
      <c r="L211" s="17"/>
      <c r="M211" s="17"/>
      <c r="N211" s="44" t="str">
        <f aca="true">IF(A211="","",IF(N(K211)&gt;Settings!$S$7,"Over revision limit",IF(AND(D211="Free video",J211="",E211&lt;&gt;"",TODAY()&gt;WORKDAY(E211,Settings!$S$5)),"LATE – free video promised in 5 working days",IF(AND(E211&lt;&gt;"",E211=TODAY()),"Shooting today",""))))</f>
        <v/>
      </c>
    </row>
    <row r="212" customFormat="false" ht="15" hidden="false" customHeight="false" outlineLevel="0" collapsed="false">
      <c r="A212" s="17"/>
      <c r="B212" s="17"/>
      <c r="C212" s="44" t="str">
        <f aca="false">IF(B212="","",IFERROR(INDEX(Clients!$C$2:$C$501,MATCH(B212,Clients!$A$2:$A$501,0)),"Client ID not found"))</f>
        <v/>
      </c>
      <c r="D212" s="17"/>
      <c r="E212" s="40"/>
      <c r="F212" s="41"/>
      <c r="G212" s="17"/>
      <c r="H212" s="17"/>
      <c r="I212" s="17"/>
      <c r="J212" s="40"/>
      <c r="K212" s="17"/>
      <c r="L212" s="17"/>
      <c r="M212" s="17"/>
      <c r="N212" s="44" t="str">
        <f aca="true">IF(A212="","",IF(N(K212)&gt;Settings!$S$7,"Over revision limit",IF(AND(D212="Free video",J212="",E212&lt;&gt;"",TODAY()&gt;WORKDAY(E212,Settings!$S$5)),"LATE – free video promised in 5 working days",IF(AND(E212&lt;&gt;"",E212=TODAY()),"Shooting today",""))))</f>
        <v/>
      </c>
    </row>
    <row r="213" customFormat="false" ht="15" hidden="false" customHeight="false" outlineLevel="0" collapsed="false">
      <c r="A213" s="17"/>
      <c r="B213" s="17"/>
      <c r="C213" s="44" t="str">
        <f aca="false">IF(B213="","",IFERROR(INDEX(Clients!$C$2:$C$501,MATCH(B213,Clients!$A$2:$A$501,0)),"Client ID not found"))</f>
        <v/>
      </c>
      <c r="D213" s="17"/>
      <c r="E213" s="40"/>
      <c r="F213" s="41"/>
      <c r="G213" s="17"/>
      <c r="H213" s="17"/>
      <c r="I213" s="17"/>
      <c r="J213" s="40"/>
      <c r="K213" s="17"/>
      <c r="L213" s="17"/>
      <c r="M213" s="17"/>
      <c r="N213" s="44" t="str">
        <f aca="true">IF(A213="","",IF(N(K213)&gt;Settings!$S$7,"Over revision limit",IF(AND(D213="Free video",J213="",E213&lt;&gt;"",TODAY()&gt;WORKDAY(E213,Settings!$S$5)),"LATE – free video promised in 5 working days",IF(AND(E213&lt;&gt;"",E213=TODAY()),"Shooting today",""))))</f>
        <v/>
      </c>
    </row>
    <row r="214" customFormat="false" ht="15" hidden="false" customHeight="false" outlineLevel="0" collapsed="false">
      <c r="A214" s="17"/>
      <c r="B214" s="17"/>
      <c r="C214" s="44" t="str">
        <f aca="false">IF(B214="","",IFERROR(INDEX(Clients!$C$2:$C$501,MATCH(B214,Clients!$A$2:$A$501,0)),"Client ID not found"))</f>
        <v/>
      </c>
      <c r="D214" s="17"/>
      <c r="E214" s="40"/>
      <c r="F214" s="41"/>
      <c r="G214" s="17"/>
      <c r="H214" s="17"/>
      <c r="I214" s="17"/>
      <c r="J214" s="40"/>
      <c r="K214" s="17"/>
      <c r="L214" s="17"/>
      <c r="M214" s="17"/>
      <c r="N214" s="44" t="str">
        <f aca="true">IF(A214="","",IF(N(K214)&gt;Settings!$S$7,"Over revision limit",IF(AND(D214="Free video",J214="",E214&lt;&gt;"",TODAY()&gt;WORKDAY(E214,Settings!$S$5)),"LATE – free video promised in 5 working days",IF(AND(E214&lt;&gt;"",E214=TODAY()),"Shooting today",""))))</f>
        <v/>
      </c>
    </row>
    <row r="215" customFormat="false" ht="15" hidden="false" customHeight="false" outlineLevel="0" collapsed="false">
      <c r="A215" s="17"/>
      <c r="B215" s="17"/>
      <c r="C215" s="44" t="str">
        <f aca="false">IF(B215="","",IFERROR(INDEX(Clients!$C$2:$C$501,MATCH(B215,Clients!$A$2:$A$501,0)),"Client ID not found"))</f>
        <v/>
      </c>
      <c r="D215" s="17"/>
      <c r="E215" s="40"/>
      <c r="F215" s="41"/>
      <c r="G215" s="17"/>
      <c r="H215" s="17"/>
      <c r="I215" s="17"/>
      <c r="J215" s="40"/>
      <c r="K215" s="17"/>
      <c r="L215" s="17"/>
      <c r="M215" s="17"/>
      <c r="N215" s="44" t="str">
        <f aca="true">IF(A215="","",IF(N(K215)&gt;Settings!$S$7,"Over revision limit",IF(AND(D215="Free video",J215="",E215&lt;&gt;"",TODAY()&gt;WORKDAY(E215,Settings!$S$5)),"LATE – free video promised in 5 working days",IF(AND(E215&lt;&gt;"",E215=TODAY()),"Shooting today",""))))</f>
        <v/>
      </c>
    </row>
    <row r="216" customFormat="false" ht="15" hidden="false" customHeight="false" outlineLevel="0" collapsed="false">
      <c r="A216" s="17"/>
      <c r="B216" s="17"/>
      <c r="C216" s="44" t="str">
        <f aca="false">IF(B216="","",IFERROR(INDEX(Clients!$C$2:$C$501,MATCH(B216,Clients!$A$2:$A$501,0)),"Client ID not found"))</f>
        <v/>
      </c>
      <c r="D216" s="17"/>
      <c r="E216" s="40"/>
      <c r="F216" s="41"/>
      <c r="G216" s="17"/>
      <c r="H216" s="17"/>
      <c r="I216" s="17"/>
      <c r="J216" s="40"/>
      <c r="K216" s="17"/>
      <c r="L216" s="17"/>
      <c r="M216" s="17"/>
      <c r="N216" s="44" t="str">
        <f aca="true">IF(A216="","",IF(N(K216)&gt;Settings!$S$7,"Over revision limit",IF(AND(D216="Free video",J216="",E216&lt;&gt;"",TODAY()&gt;WORKDAY(E216,Settings!$S$5)),"LATE – free video promised in 5 working days",IF(AND(E216&lt;&gt;"",E216=TODAY()),"Shooting today",""))))</f>
        <v/>
      </c>
    </row>
    <row r="217" customFormat="false" ht="15" hidden="false" customHeight="false" outlineLevel="0" collapsed="false">
      <c r="A217" s="17"/>
      <c r="B217" s="17"/>
      <c r="C217" s="44" t="str">
        <f aca="false">IF(B217="","",IFERROR(INDEX(Clients!$C$2:$C$501,MATCH(B217,Clients!$A$2:$A$501,0)),"Client ID not found"))</f>
        <v/>
      </c>
      <c r="D217" s="17"/>
      <c r="E217" s="40"/>
      <c r="F217" s="41"/>
      <c r="G217" s="17"/>
      <c r="H217" s="17"/>
      <c r="I217" s="17"/>
      <c r="J217" s="40"/>
      <c r="K217" s="17"/>
      <c r="L217" s="17"/>
      <c r="M217" s="17"/>
      <c r="N217" s="44" t="str">
        <f aca="true">IF(A217="","",IF(N(K217)&gt;Settings!$S$7,"Over revision limit",IF(AND(D217="Free video",J217="",E217&lt;&gt;"",TODAY()&gt;WORKDAY(E217,Settings!$S$5)),"LATE – free video promised in 5 working days",IF(AND(E217&lt;&gt;"",E217=TODAY()),"Shooting today",""))))</f>
        <v/>
      </c>
    </row>
    <row r="218" customFormat="false" ht="15" hidden="false" customHeight="false" outlineLevel="0" collapsed="false">
      <c r="A218" s="17"/>
      <c r="B218" s="17"/>
      <c r="C218" s="44" t="str">
        <f aca="false">IF(B218="","",IFERROR(INDEX(Clients!$C$2:$C$501,MATCH(B218,Clients!$A$2:$A$501,0)),"Client ID not found"))</f>
        <v/>
      </c>
      <c r="D218" s="17"/>
      <c r="E218" s="40"/>
      <c r="F218" s="41"/>
      <c r="G218" s="17"/>
      <c r="H218" s="17"/>
      <c r="I218" s="17"/>
      <c r="J218" s="40"/>
      <c r="K218" s="17"/>
      <c r="L218" s="17"/>
      <c r="M218" s="17"/>
      <c r="N218" s="44" t="str">
        <f aca="true">IF(A218="","",IF(N(K218)&gt;Settings!$S$7,"Over revision limit",IF(AND(D218="Free video",J218="",E218&lt;&gt;"",TODAY()&gt;WORKDAY(E218,Settings!$S$5)),"LATE – free video promised in 5 working days",IF(AND(E218&lt;&gt;"",E218=TODAY()),"Shooting today",""))))</f>
        <v/>
      </c>
    </row>
    <row r="219" customFormat="false" ht="15" hidden="false" customHeight="false" outlineLevel="0" collapsed="false">
      <c r="A219" s="17"/>
      <c r="B219" s="17"/>
      <c r="C219" s="44" t="str">
        <f aca="false">IF(B219="","",IFERROR(INDEX(Clients!$C$2:$C$501,MATCH(B219,Clients!$A$2:$A$501,0)),"Client ID not found"))</f>
        <v/>
      </c>
      <c r="D219" s="17"/>
      <c r="E219" s="40"/>
      <c r="F219" s="41"/>
      <c r="G219" s="17"/>
      <c r="H219" s="17"/>
      <c r="I219" s="17"/>
      <c r="J219" s="40"/>
      <c r="K219" s="17"/>
      <c r="L219" s="17"/>
      <c r="M219" s="17"/>
      <c r="N219" s="44" t="str">
        <f aca="true">IF(A219="","",IF(N(K219)&gt;Settings!$S$7,"Over revision limit",IF(AND(D219="Free video",J219="",E219&lt;&gt;"",TODAY()&gt;WORKDAY(E219,Settings!$S$5)),"LATE – free video promised in 5 working days",IF(AND(E219&lt;&gt;"",E219=TODAY()),"Shooting today",""))))</f>
        <v/>
      </c>
    </row>
    <row r="220" customFormat="false" ht="15" hidden="false" customHeight="false" outlineLevel="0" collapsed="false">
      <c r="A220" s="17"/>
      <c r="B220" s="17"/>
      <c r="C220" s="44" t="str">
        <f aca="false">IF(B220="","",IFERROR(INDEX(Clients!$C$2:$C$501,MATCH(B220,Clients!$A$2:$A$501,0)),"Client ID not found"))</f>
        <v/>
      </c>
      <c r="D220" s="17"/>
      <c r="E220" s="40"/>
      <c r="F220" s="41"/>
      <c r="G220" s="17"/>
      <c r="H220" s="17"/>
      <c r="I220" s="17"/>
      <c r="J220" s="40"/>
      <c r="K220" s="17"/>
      <c r="L220" s="17"/>
      <c r="M220" s="17"/>
      <c r="N220" s="44" t="str">
        <f aca="true">IF(A220="","",IF(N(K220)&gt;Settings!$S$7,"Over revision limit",IF(AND(D220="Free video",J220="",E220&lt;&gt;"",TODAY()&gt;WORKDAY(E220,Settings!$S$5)),"LATE – free video promised in 5 working days",IF(AND(E220&lt;&gt;"",E220=TODAY()),"Shooting today",""))))</f>
        <v/>
      </c>
    </row>
    <row r="221" customFormat="false" ht="15" hidden="false" customHeight="false" outlineLevel="0" collapsed="false">
      <c r="A221" s="17"/>
      <c r="B221" s="17"/>
      <c r="C221" s="44" t="str">
        <f aca="false">IF(B221="","",IFERROR(INDEX(Clients!$C$2:$C$501,MATCH(B221,Clients!$A$2:$A$501,0)),"Client ID not found"))</f>
        <v/>
      </c>
      <c r="D221" s="17"/>
      <c r="E221" s="40"/>
      <c r="F221" s="41"/>
      <c r="G221" s="17"/>
      <c r="H221" s="17"/>
      <c r="I221" s="17"/>
      <c r="J221" s="40"/>
      <c r="K221" s="17"/>
      <c r="L221" s="17"/>
      <c r="M221" s="17"/>
      <c r="N221" s="44" t="str">
        <f aca="true">IF(A221="","",IF(N(K221)&gt;Settings!$S$7,"Over revision limit",IF(AND(D221="Free video",J221="",E221&lt;&gt;"",TODAY()&gt;WORKDAY(E221,Settings!$S$5)),"LATE – free video promised in 5 working days",IF(AND(E221&lt;&gt;"",E221=TODAY()),"Shooting today",""))))</f>
        <v/>
      </c>
    </row>
    <row r="222" customFormat="false" ht="15" hidden="false" customHeight="false" outlineLevel="0" collapsed="false">
      <c r="A222" s="17"/>
      <c r="B222" s="17"/>
      <c r="C222" s="44" t="str">
        <f aca="false">IF(B222="","",IFERROR(INDEX(Clients!$C$2:$C$501,MATCH(B222,Clients!$A$2:$A$501,0)),"Client ID not found"))</f>
        <v/>
      </c>
      <c r="D222" s="17"/>
      <c r="E222" s="40"/>
      <c r="F222" s="41"/>
      <c r="G222" s="17"/>
      <c r="H222" s="17"/>
      <c r="I222" s="17"/>
      <c r="J222" s="40"/>
      <c r="K222" s="17"/>
      <c r="L222" s="17"/>
      <c r="M222" s="17"/>
      <c r="N222" s="44" t="str">
        <f aca="true">IF(A222="","",IF(N(K222)&gt;Settings!$S$7,"Over revision limit",IF(AND(D222="Free video",J222="",E222&lt;&gt;"",TODAY()&gt;WORKDAY(E222,Settings!$S$5)),"LATE – free video promised in 5 working days",IF(AND(E222&lt;&gt;"",E222=TODAY()),"Shooting today",""))))</f>
        <v/>
      </c>
    </row>
    <row r="223" customFormat="false" ht="15" hidden="false" customHeight="false" outlineLevel="0" collapsed="false">
      <c r="A223" s="17"/>
      <c r="B223" s="17"/>
      <c r="C223" s="44" t="str">
        <f aca="false">IF(B223="","",IFERROR(INDEX(Clients!$C$2:$C$501,MATCH(B223,Clients!$A$2:$A$501,0)),"Client ID not found"))</f>
        <v/>
      </c>
      <c r="D223" s="17"/>
      <c r="E223" s="40"/>
      <c r="F223" s="41"/>
      <c r="G223" s="17"/>
      <c r="H223" s="17"/>
      <c r="I223" s="17"/>
      <c r="J223" s="40"/>
      <c r="K223" s="17"/>
      <c r="L223" s="17"/>
      <c r="M223" s="17"/>
      <c r="N223" s="44" t="str">
        <f aca="true">IF(A223="","",IF(N(K223)&gt;Settings!$S$7,"Over revision limit",IF(AND(D223="Free video",J223="",E223&lt;&gt;"",TODAY()&gt;WORKDAY(E223,Settings!$S$5)),"LATE – free video promised in 5 working days",IF(AND(E223&lt;&gt;"",E223=TODAY()),"Shooting today",""))))</f>
        <v/>
      </c>
    </row>
    <row r="224" customFormat="false" ht="15" hidden="false" customHeight="false" outlineLevel="0" collapsed="false">
      <c r="A224" s="17"/>
      <c r="B224" s="17"/>
      <c r="C224" s="44" t="str">
        <f aca="false">IF(B224="","",IFERROR(INDEX(Clients!$C$2:$C$501,MATCH(B224,Clients!$A$2:$A$501,0)),"Client ID not found"))</f>
        <v/>
      </c>
      <c r="D224" s="17"/>
      <c r="E224" s="40"/>
      <c r="F224" s="41"/>
      <c r="G224" s="17"/>
      <c r="H224" s="17"/>
      <c r="I224" s="17"/>
      <c r="J224" s="40"/>
      <c r="K224" s="17"/>
      <c r="L224" s="17"/>
      <c r="M224" s="17"/>
      <c r="N224" s="44" t="str">
        <f aca="true">IF(A224="","",IF(N(K224)&gt;Settings!$S$7,"Over revision limit",IF(AND(D224="Free video",J224="",E224&lt;&gt;"",TODAY()&gt;WORKDAY(E224,Settings!$S$5)),"LATE – free video promised in 5 working days",IF(AND(E224&lt;&gt;"",E224=TODAY()),"Shooting today",""))))</f>
        <v/>
      </c>
    </row>
    <row r="225" customFormat="false" ht="15" hidden="false" customHeight="false" outlineLevel="0" collapsed="false">
      <c r="A225" s="17"/>
      <c r="B225" s="17"/>
      <c r="C225" s="44" t="str">
        <f aca="false">IF(B225="","",IFERROR(INDEX(Clients!$C$2:$C$501,MATCH(B225,Clients!$A$2:$A$501,0)),"Client ID not found"))</f>
        <v/>
      </c>
      <c r="D225" s="17"/>
      <c r="E225" s="40"/>
      <c r="F225" s="41"/>
      <c r="G225" s="17"/>
      <c r="H225" s="17"/>
      <c r="I225" s="17"/>
      <c r="J225" s="40"/>
      <c r="K225" s="17"/>
      <c r="L225" s="17"/>
      <c r="M225" s="17"/>
      <c r="N225" s="44" t="str">
        <f aca="true">IF(A225="","",IF(N(K225)&gt;Settings!$S$7,"Over revision limit",IF(AND(D225="Free video",J225="",E225&lt;&gt;"",TODAY()&gt;WORKDAY(E225,Settings!$S$5)),"LATE – free video promised in 5 working days",IF(AND(E225&lt;&gt;"",E225=TODAY()),"Shooting today",""))))</f>
        <v/>
      </c>
    </row>
    <row r="226" customFormat="false" ht="15" hidden="false" customHeight="false" outlineLevel="0" collapsed="false">
      <c r="A226" s="17"/>
      <c r="B226" s="17"/>
      <c r="C226" s="44" t="str">
        <f aca="false">IF(B226="","",IFERROR(INDEX(Clients!$C$2:$C$501,MATCH(B226,Clients!$A$2:$A$501,0)),"Client ID not found"))</f>
        <v/>
      </c>
      <c r="D226" s="17"/>
      <c r="E226" s="40"/>
      <c r="F226" s="41"/>
      <c r="G226" s="17"/>
      <c r="H226" s="17"/>
      <c r="I226" s="17"/>
      <c r="J226" s="40"/>
      <c r="K226" s="17"/>
      <c r="L226" s="17"/>
      <c r="M226" s="17"/>
      <c r="N226" s="44" t="str">
        <f aca="true">IF(A226="","",IF(N(K226)&gt;Settings!$S$7,"Over revision limit",IF(AND(D226="Free video",J226="",E226&lt;&gt;"",TODAY()&gt;WORKDAY(E226,Settings!$S$5)),"LATE – free video promised in 5 working days",IF(AND(E226&lt;&gt;"",E226=TODAY()),"Shooting today",""))))</f>
        <v/>
      </c>
    </row>
    <row r="227" customFormat="false" ht="15" hidden="false" customHeight="false" outlineLevel="0" collapsed="false">
      <c r="A227" s="17"/>
      <c r="B227" s="17"/>
      <c r="C227" s="44" t="str">
        <f aca="false">IF(B227="","",IFERROR(INDEX(Clients!$C$2:$C$501,MATCH(B227,Clients!$A$2:$A$501,0)),"Client ID not found"))</f>
        <v/>
      </c>
      <c r="D227" s="17"/>
      <c r="E227" s="40"/>
      <c r="F227" s="41"/>
      <c r="G227" s="17"/>
      <c r="H227" s="17"/>
      <c r="I227" s="17"/>
      <c r="J227" s="40"/>
      <c r="K227" s="17"/>
      <c r="L227" s="17"/>
      <c r="M227" s="17"/>
      <c r="N227" s="44" t="str">
        <f aca="true">IF(A227="","",IF(N(K227)&gt;Settings!$S$7,"Over revision limit",IF(AND(D227="Free video",J227="",E227&lt;&gt;"",TODAY()&gt;WORKDAY(E227,Settings!$S$5)),"LATE – free video promised in 5 working days",IF(AND(E227&lt;&gt;"",E227=TODAY()),"Shooting today",""))))</f>
        <v/>
      </c>
    </row>
    <row r="228" customFormat="false" ht="15" hidden="false" customHeight="false" outlineLevel="0" collapsed="false">
      <c r="A228" s="17"/>
      <c r="B228" s="17"/>
      <c r="C228" s="44" t="str">
        <f aca="false">IF(B228="","",IFERROR(INDEX(Clients!$C$2:$C$501,MATCH(B228,Clients!$A$2:$A$501,0)),"Client ID not found"))</f>
        <v/>
      </c>
      <c r="D228" s="17"/>
      <c r="E228" s="40"/>
      <c r="F228" s="41"/>
      <c r="G228" s="17"/>
      <c r="H228" s="17"/>
      <c r="I228" s="17"/>
      <c r="J228" s="40"/>
      <c r="K228" s="17"/>
      <c r="L228" s="17"/>
      <c r="M228" s="17"/>
      <c r="N228" s="44" t="str">
        <f aca="true">IF(A228="","",IF(N(K228)&gt;Settings!$S$7,"Over revision limit",IF(AND(D228="Free video",J228="",E228&lt;&gt;"",TODAY()&gt;WORKDAY(E228,Settings!$S$5)),"LATE – free video promised in 5 working days",IF(AND(E228&lt;&gt;"",E228=TODAY()),"Shooting today",""))))</f>
        <v/>
      </c>
    </row>
    <row r="229" customFormat="false" ht="15" hidden="false" customHeight="false" outlineLevel="0" collapsed="false">
      <c r="A229" s="17"/>
      <c r="B229" s="17"/>
      <c r="C229" s="44" t="str">
        <f aca="false">IF(B229="","",IFERROR(INDEX(Clients!$C$2:$C$501,MATCH(B229,Clients!$A$2:$A$501,0)),"Client ID not found"))</f>
        <v/>
      </c>
      <c r="D229" s="17"/>
      <c r="E229" s="40"/>
      <c r="F229" s="41"/>
      <c r="G229" s="17"/>
      <c r="H229" s="17"/>
      <c r="I229" s="17"/>
      <c r="J229" s="40"/>
      <c r="K229" s="17"/>
      <c r="L229" s="17"/>
      <c r="M229" s="17"/>
      <c r="N229" s="44" t="str">
        <f aca="true">IF(A229="","",IF(N(K229)&gt;Settings!$S$7,"Over revision limit",IF(AND(D229="Free video",J229="",E229&lt;&gt;"",TODAY()&gt;WORKDAY(E229,Settings!$S$5)),"LATE – free video promised in 5 working days",IF(AND(E229&lt;&gt;"",E229=TODAY()),"Shooting today",""))))</f>
        <v/>
      </c>
    </row>
    <row r="230" customFormat="false" ht="15" hidden="false" customHeight="false" outlineLevel="0" collapsed="false">
      <c r="A230" s="17"/>
      <c r="B230" s="17"/>
      <c r="C230" s="44" t="str">
        <f aca="false">IF(B230="","",IFERROR(INDEX(Clients!$C$2:$C$501,MATCH(B230,Clients!$A$2:$A$501,0)),"Client ID not found"))</f>
        <v/>
      </c>
      <c r="D230" s="17"/>
      <c r="E230" s="40"/>
      <c r="F230" s="41"/>
      <c r="G230" s="17"/>
      <c r="H230" s="17"/>
      <c r="I230" s="17"/>
      <c r="J230" s="40"/>
      <c r="K230" s="17"/>
      <c r="L230" s="17"/>
      <c r="M230" s="17"/>
      <c r="N230" s="44" t="str">
        <f aca="true">IF(A230="","",IF(N(K230)&gt;Settings!$S$7,"Over revision limit",IF(AND(D230="Free video",J230="",E230&lt;&gt;"",TODAY()&gt;WORKDAY(E230,Settings!$S$5)),"LATE – free video promised in 5 working days",IF(AND(E230&lt;&gt;"",E230=TODAY()),"Shooting today",""))))</f>
        <v/>
      </c>
    </row>
    <row r="231" customFormat="false" ht="15" hidden="false" customHeight="false" outlineLevel="0" collapsed="false">
      <c r="A231" s="17"/>
      <c r="B231" s="17"/>
      <c r="C231" s="44" t="str">
        <f aca="false">IF(B231="","",IFERROR(INDEX(Clients!$C$2:$C$501,MATCH(B231,Clients!$A$2:$A$501,0)),"Client ID not found"))</f>
        <v/>
      </c>
      <c r="D231" s="17"/>
      <c r="E231" s="40"/>
      <c r="F231" s="41"/>
      <c r="G231" s="17"/>
      <c r="H231" s="17"/>
      <c r="I231" s="17"/>
      <c r="J231" s="40"/>
      <c r="K231" s="17"/>
      <c r="L231" s="17"/>
      <c r="M231" s="17"/>
      <c r="N231" s="44" t="str">
        <f aca="true">IF(A231="","",IF(N(K231)&gt;Settings!$S$7,"Over revision limit",IF(AND(D231="Free video",J231="",E231&lt;&gt;"",TODAY()&gt;WORKDAY(E231,Settings!$S$5)),"LATE – free video promised in 5 working days",IF(AND(E231&lt;&gt;"",E231=TODAY()),"Shooting today",""))))</f>
        <v/>
      </c>
    </row>
    <row r="232" customFormat="false" ht="15" hidden="false" customHeight="false" outlineLevel="0" collapsed="false">
      <c r="A232" s="17"/>
      <c r="B232" s="17"/>
      <c r="C232" s="44" t="str">
        <f aca="false">IF(B232="","",IFERROR(INDEX(Clients!$C$2:$C$501,MATCH(B232,Clients!$A$2:$A$501,0)),"Client ID not found"))</f>
        <v/>
      </c>
      <c r="D232" s="17"/>
      <c r="E232" s="40"/>
      <c r="F232" s="41"/>
      <c r="G232" s="17"/>
      <c r="H232" s="17"/>
      <c r="I232" s="17"/>
      <c r="J232" s="40"/>
      <c r="K232" s="17"/>
      <c r="L232" s="17"/>
      <c r="M232" s="17"/>
      <c r="N232" s="44" t="str">
        <f aca="true">IF(A232="","",IF(N(K232)&gt;Settings!$S$7,"Over revision limit",IF(AND(D232="Free video",J232="",E232&lt;&gt;"",TODAY()&gt;WORKDAY(E232,Settings!$S$5)),"LATE – free video promised in 5 working days",IF(AND(E232&lt;&gt;"",E232=TODAY()),"Shooting today",""))))</f>
        <v/>
      </c>
    </row>
    <row r="233" customFormat="false" ht="15" hidden="false" customHeight="false" outlineLevel="0" collapsed="false">
      <c r="A233" s="17"/>
      <c r="B233" s="17"/>
      <c r="C233" s="44" t="str">
        <f aca="false">IF(B233="","",IFERROR(INDEX(Clients!$C$2:$C$501,MATCH(B233,Clients!$A$2:$A$501,0)),"Client ID not found"))</f>
        <v/>
      </c>
      <c r="D233" s="17"/>
      <c r="E233" s="40"/>
      <c r="F233" s="41"/>
      <c r="G233" s="17"/>
      <c r="H233" s="17"/>
      <c r="I233" s="17"/>
      <c r="J233" s="40"/>
      <c r="K233" s="17"/>
      <c r="L233" s="17"/>
      <c r="M233" s="17"/>
      <c r="N233" s="44" t="str">
        <f aca="true">IF(A233="","",IF(N(K233)&gt;Settings!$S$7,"Over revision limit",IF(AND(D233="Free video",J233="",E233&lt;&gt;"",TODAY()&gt;WORKDAY(E233,Settings!$S$5)),"LATE – free video promised in 5 working days",IF(AND(E233&lt;&gt;"",E233=TODAY()),"Shooting today",""))))</f>
        <v/>
      </c>
    </row>
    <row r="234" customFormat="false" ht="15" hidden="false" customHeight="false" outlineLevel="0" collapsed="false">
      <c r="A234" s="17"/>
      <c r="B234" s="17"/>
      <c r="C234" s="44" t="str">
        <f aca="false">IF(B234="","",IFERROR(INDEX(Clients!$C$2:$C$501,MATCH(B234,Clients!$A$2:$A$501,0)),"Client ID not found"))</f>
        <v/>
      </c>
      <c r="D234" s="17"/>
      <c r="E234" s="40"/>
      <c r="F234" s="41"/>
      <c r="G234" s="17"/>
      <c r="H234" s="17"/>
      <c r="I234" s="17"/>
      <c r="J234" s="40"/>
      <c r="K234" s="17"/>
      <c r="L234" s="17"/>
      <c r="M234" s="17"/>
      <c r="N234" s="44" t="str">
        <f aca="true">IF(A234="","",IF(N(K234)&gt;Settings!$S$7,"Over revision limit",IF(AND(D234="Free video",J234="",E234&lt;&gt;"",TODAY()&gt;WORKDAY(E234,Settings!$S$5)),"LATE – free video promised in 5 working days",IF(AND(E234&lt;&gt;"",E234=TODAY()),"Shooting today",""))))</f>
        <v/>
      </c>
    </row>
    <row r="235" customFormat="false" ht="15" hidden="false" customHeight="false" outlineLevel="0" collapsed="false">
      <c r="A235" s="17"/>
      <c r="B235" s="17"/>
      <c r="C235" s="44" t="str">
        <f aca="false">IF(B235="","",IFERROR(INDEX(Clients!$C$2:$C$501,MATCH(B235,Clients!$A$2:$A$501,0)),"Client ID not found"))</f>
        <v/>
      </c>
      <c r="D235" s="17"/>
      <c r="E235" s="40"/>
      <c r="F235" s="41"/>
      <c r="G235" s="17"/>
      <c r="H235" s="17"/>
      <c r="I235" s="17"/>
      <c r="J235" s="40"/>
      <c r="K235" s="17"/>
      <c r="L235" s="17"/>
      <c r="M235" s="17"/>
      <c r="N235" s="44" t="str">
        <f aca="true">IF(A235="","",IF(N(K235)&gt;Settings!$S$7,"Over revision limit",IF(AND(D235="Free video",J235="",E235&lt;&gt;"",TODAY()&gt;WORKDAY(E235,Settings!$S$5)),"LATE – free video promised in 5 working days",IF(AND(E235&lt;&gt;"",E235=TODAY()),"Shooting today",""))))</f>
        <v/>
      </c>
    </row>
    <row r="236" customFormat="false" ht="15" hidden="false" customHeight="false" outlineLevel="0" collapsed="false">
      <c r="A236" s="17"/>
      <c r="B236" s="17"/>
      <c r="C236" s="44" t="str">
        <f aca="false">IF(B236="","",IFERROR(INDEX(Clients!$C$2:$C$501,MATCH(B236,Clients!$A$2:$A$501,0)),"Client ID not found"))</f>
        <v/>
      </c>
      <c r="D236" s="17"/>
      <c r="E236" s="40"/>
      <c r="F236" s="41"/>
      <c r="G236" s="17"/>
      <c r="H236" s="17"/>
      <c r="I236" s="17"/>
      <c r="J236" s="40"/>
      <c r="K236" s="17"/>
      <c r="L236" s="17"/>
      <c r="M236" s="17"/>
      <c r="N236" s="44" t="str">
        <f aca="true">IF(A236="","",IF(N(K236)&gt;Settings!$S$7,"Over revision limit",IF(AND(D236="Free video",J236="",E236&lt;&gt;"",TODAY()&gt;WORKDAY(E236,Settings!$S$5)),"LATE – free video promised in 5 working days",IF(AND(E236&lt;&gt;"",E236=TODAY()),"Shooting today",""))))</f>
        <v/>
      </c>
    </row>
    <row r="237" customFormat="false" ht="15" hidden="false" customHeight="false" outlineLevel="0" collapsed="false">
      <c r="A237" s="17"/>
      <c r="B237" s="17"/>
      <c r="C237" s="44" t="str">
        <f aca="false">IF(B237="","",IFERROR(INDEX(Clients!$C$2:$C$501,MATCH(B237,Clients!$A$2:$A$501,0)),"Client ID not found"))</f>
        <v/>
      </c>
      <c r="D237" s="17"/>
      <c r="E237" s="40"/>
      <c r="F237" s="41"/>
      <c r="G237" s="17"/>
      <c r="H237" s="17"/>
      <c r="I237" s="17"/>
      <c r="J237" s="40"/>
      <c r="K237" s="17"/>
      <c r="L237" s="17"/>
      <c r="M237" s="17"/>
      <c r="N237" s="44" t="str">
        <f aca="true">IF(A237="","",IF(N(K237)&gt;Settings!$S$7,"Over revision limit",IF(AND(D237="Free video",J237="",E237&lt;&gt;"",TODAY()&gt;WORKDAY(E237,Settings!$S$5)),"LATE – free video promised in 5 working days",IF(AND(E237&lt;&gt;"",E237=TODAY()),"Shooting today",""))))</f>
        <v/>
      </c>
    </row>
    <row r="238" customFormat="false" ht="15" hidden="false" customHeight="false" outlineLevel="0" collapsed="false">
      <c r="A238" s="17"/>
      <c r="B238" s="17"/>
      <c r="C238" s="44" t="str">
        <f aca="false">IF(B238="","",IFERROR(INDEX(Clients!$C$2:$C$501,MATCH(B238,Clients!$A$2:$A$501,0)),"Client ID not found"))</f>
        <v/>
      </c>
      <c r="D238" s="17"/>
      <c r="E238" s="40"/>
      <c r="F238" s="41"/>
      <c r="G238" s="17"/>
      <c r="H238" s="17"/>
      <c r="I238" s="17"/>
      <c r="J238" s="40"/>
      <c r="K238" s="17"/>
      <c r="L238" s="17"/>
      <c r="M238" s="17"/>
      <c r="N238" s="44" t="str">
        <f aca="true">IF(A238="","",IF(N(K238)&gt;Settings!$S$7,"Over revision limit",IF(AND(D238="Free video",J238="",E238&lt;&gt;"",TODAY()&gt;WORKDAY(E238,Settings!$S$5)),"LATE – free video promised in 5 working days",IF(AND(E238&lt;&gt;"",E238=TODAY()),"Shooting today",""))))</f>
        <v/>
      </c>
    </row>
    <row r="239" customFormat="false" ht="15" hidden="false" customHeight="false" outlineLevel="0" collapsed="false">
      <c r="A239" s="17"/>
      <c r="B239" s="17"/>
      <c r="C239" s="44" t="str">
        <f aca="false">IF(B239="","",IFERROR(INDEX(Clients!$C$2:$C$501,MATCH(B239,Clients!$A$2:$A$501,0)),"Client ID not found"))</f>
        <v/>
      </c>
      <c r="D239" s="17"/>
      <c r="E239" s="40"/>
      <c r="F239" s="41"/>
      <c r="G239" s="17"/>
      <c r="H239" s="17"/>
      <c r="I239" s="17"/>
      <c r="J239" s="40"/>
      <c r="K239" s="17"/>
      <c r="L239" s="17"/>
      <c r="M239" s="17"/>
      <c r="N239" s="44" t="str">
        <f aca="true">IF(A239="","",IF(N(K239)&gt;Settings!$S$7,"Over revision limit",IF(AND(D239="Free video",J239="",E239&lt;&gt;"",TODAY()&gt;WORKDAY(E239,Settings!$S$5)),"LATE – free video promised in 5 working days",IF(AND(E239&lt;&gt;"",E239=TODAY()),"Shooting today",""))))</f>
        <v/>
      </c>
    </row>
    <row r="240" customFormat="false" ht="15" hidden="false" customHeight="false" outlineLevel="0" collapsed="false">
      <c r="A240" s="17"/>
      <c r="B240" s="17"/>
      <c r="C240" s="44" t="str">
        <f aca="false">IF(B240="","",IFERROR(INDEX(Clients!$C$2:$C$501,MATCH(B240,Clients!$A$2:$A$501,0)),"Client ID not found"))</f>
        <v/>
      </c>
      <c r="D240" s="17"/>
      <c r="E240" s="40"/>
      <c r="F240" s="41"/>
      <c r="G240" s="17"/>
      <c r="H240" s="17"/>
      <c r="I240" s="17"/>
      <c r="J240" s="40"/>
      <c r="K240" s="17"/>
      <c r="L240" s="17"/>
      <c r="M240" s="17"/>
      <c r="N240" s="44" t="str">
        <f aca="true">IF(A240="","",IF(N(K240)&gt;Settings!$S$7,"Over revision limit",IF(AND(D240="Free video",J240="",E240&lt;&gt;"",TODAY()&gt;WORKDAY(E240,Settings!$S$5)),"LATE – free video promised in 5 working days",IF(AND(E240&lt;&gt;"",E240=TODAY()),"Shooting today",""))))</f>
        <v/>
      </c>
    </row>
    <row r="241" customFormat="false" ht="15" hidden="false" customHeight="false" outlineLevel="0" collapsed="false">
      <c r="A241" s="17"/>
      <c r="B241" s="17"/>
      <c r="C241" s="44" t="str">
        <f aca="false">IF(B241="","",IFERROR(INDEX(Clients!$C$2:$C$501,MATCH(B241,Clients!$A$2:$A$501,0)),"Client ID not found"))</f>
        <v/>
      </c>
      <c r="D241" s="17"/>
      <c r="E241" s="40"/>
      <c r="F241" s="41"/>
      <c r="G241" s="17"/>
      <c r="H241" s="17"/>
      <c r="I241" s="17"/>
      <c r="J241" s="40"/>
      <c r="K241" s="17"/>
      <c r="L241" s="17"/>
      <c r="M241" s="17"/>
      <c r="N241" s="44" t="str">
        <f aca="true">IF(A241="","",IF(N(K241)&gt;Settings!$S$7,"Over revision limit",IF(AND(D241="Free video",J241="",E241&lt;&gt;"",TODAY()&gt;WORKDAY(E241,Settings!$S$5)),"LATE – free video promised in 5 working days",IF(AND(E241&lt;&gt;"",E241=TODAY()),"Shooting today",""))))</f>
        <v/>
      </c>
    </row>
    <row r="242" customFormat="false" ht="15" hidden="false" customHeight="false" outlineLevel="0" collapsed="false">
      <c r="A242" s="17"/>
      <c r="B242" s="17"/>
      <c r="C242" s="44" t="str">
        <f aca="false">IF(B242="","",IFERROR(INDEX(Clients!$C$2:$C$501,MATCH(B242,Clients!$A$2:$A$501,0)),"Client ID not found"))</f>
        <v/>
      </c>
      <c r="D242" s="17"/>
      <c r="E242" s="40"/>
      <c r="F242" s="41"/>
      <c r="G242" s="17"/>
      <c r="H242" s="17"/>
      <c r="I242" s="17"/>
      <c r="J242" s="40"/>
      <c r="K242" s="17"/>
      <c r="L242" s="17"/>
      <c r="M242" s="17"/>
      <c r="N242" s="44" t="str">
        <f aca="true">IF(A242="","",IF(N(K242)&gt;Settings!$S$7,"Over revision limit",IF(AND(D242="Free video",J242="",E242&lt;&gt;"",TODAY()&gt;WORKDAY(E242,Settings!$S$5)),"LATE – free video promised in 5 working days",IF(AND(E242&lt;&gt;"",E242=TODAY()),"Shooting today",""))))</f>
        <v/>
      </c>
    </row>
    <row r="243" customFormat="false" ht="15" hidden="false" customHeight="false" outlineLevel="0" collapsed="false">
      <c r="A243" s="17"/>
      <c r="B243" s="17"/>
      <c r="C243" s="44" t="str">
        <f aca="false">IF(B243="","",IFERROR(INDEX(Clients!$C$2:$C$501,MATCH(B243,Clients!$A$2:$A$501,0)),"Client ID not found"))</f>
        <v/>
      </c>
      <c r="D243" s="17"/>
      <c r="E243" s="40"/>
      <c r="F243" s="41"/>
      <c r="G243" s="17"/>
      <c r="H243" s="17"/>
      <c r="I243" s="17"/>
      <c r="J243" s="40"/>
      <c r="K243" s="17"/>
      <c r="L243" s="17"/>
      <c r="M243" s="17"/>
      <c r="N243" s="44" t="str">
        <f aca="true">IF(A243="","",IF(N(K243)&gt;Settings!$S$7,"Over revision limit",IF(AND(D243="Free video",J243="",E243&lt;&gt;"",TODAY()&gt;WORKDAY(E243,Settings!$S$5)),"LATE – free video promised in 5 working days",IF(AND(E243&lt;&gt;"",E243=TODAY()),"Shooting today",""))))</f>
        <v/>
      </c>
    </row>
    <row r="244" customFormat="false" ht="15" hidden="false" customHeight="false" outlineLevel="0" collapsed="false">
      <c r="A244" s="17"/>
      <c r="B244" s="17"/>
      <c r="C244" s="44" t="str">
        <f aca="false">IF(B244="","",IFERROR(INDEX(Clients!$C$2:$C$501,MATCH(B244,Clients!$A$2:$A$501,0)),"Client ID not found"))</f>
        <v/>
      </c>
      <c r="D244" s="17"/>
      <c r="E244" s="40"/>
      <c r="F244" s="41"/>
      <c r="G244" s="17"/>
      <c r="H244" s="17"/>
      <c r="I244" s="17"/>
      <c r="J244" s="40"/>
      <c r="K244" s="17"/>
      <c r="L244" s="17"/>
      <c r="M244" s="17"/>
      <c r="N244" s="44" t="str">
        <f aca="true">IF(A244="","",IF(N(K244)&gt;Settings!$S$7,"Over revision limit",IF(AND(D244="Free video",J244="",E244&lt;&gt;"",TODAY()&gt;WORKDAY(E244,Settings!$S$5)),"LATE – free video promised in 5 working days",IF(AND(E244&lt;&gt;"",E244=TODAY()),"Shooting today",""))))</f>
        <v/>
      </c>
    </row>
    <row r="245" customFormat="false" ht="15" hidden="false" customHeight="false" outlineLevel="0" collapsed="false">
      <c r="A245" s="17"/>
      <c r="B245" s="17"/>
      <c r="C245" s="44" t="str">
        <f aca="false">IF(B245="","",IFERROR(INDEX(Clients!$C$2:$C$501,MATCH(B245,Clients!$A$2:$A$501,0)),"Client ID not found"))</f>
        <v/>
      </c>
      <c r="D245" s="17"/>
      <c r="E245" s="40"/>
      <c r="F245" s="41"/>
      <c r="G245" s="17"/>
      <c r="H245" s="17"/>
      <c r="I245" s="17"/>
      <c r="J245" s="40"/>
      <c r="K245" s="17"/>
      <c r="L245" s="17"/>
      <c r="M245" s="17"/>
      <c r="N245" s="44" t="str">
        <f aca="true">IF(A245="","",IF(N(K245)&gt;Settings!$S$7,"Over revision limit",IF(AND(D245="Free video",J245="",E245&lt;&gt;"",TODAY()&gt;WORKDAY(E245,Settings!$S$5)),"LATE – free video promised in 5 working days",IF(AND(E245&lt;&gt;"",E245=TODAY()),"Shooting today",""))))</f>
        <v/>
      </c>
    </row>
    <row r="246" customFormat="false" ht="15" hidden="false" customHeight="false" outlineLevel="0" collapsed="false">
      <c r="A246" s="17"/>
      <c r="B246" s="17"/>
      <c r="C246" s="44" t="str">
        <f aca="false">IF(B246="","",IFERROR(INDEX(Clients!$C$2:$C$501,MATCH(B246,Clients!$A$2:$A$501,0)),"Client ID not found"))</f>
        <v/>
      </c>
      <c r="D246" s="17"/>
      <c r="E246" s="40"/>
      <c r="F246" s="41"/>
      <c r="G246" s="17"/>
      <c r="H246" s="17"/>
      <c r="I246" s="17"/>
      <c r="J246" s="40"/>
      <c r="K246" s="17"/>
      <c r="L246" s="17"/>
      <c r="M246" s="17"/>
      <c r="N246" s="44" t="str">
        <f aca="true">IF(A246="","",IF(N(K246)&gt;Settings!$S$7,"Over revision limit",IF(AND(D246="Free video",J246="",E246&lt;&gt;"",TODAY()&gt;WORKDAY(E246,Settings!$S$5)),"LATE – free video promised in 5 working days",IF(AND(E246&lt;&gt;"",E246=TODAY()),"Shooting today",""))))</f>
        <v/>
      </c>
    </row>
    <row r="247" customFormat="false" ht="15" hidden="false" customHeight="false" outlineLevel="0" collapsed="false">
      <c r="A247" s="17"/>
      <c r="B247" s="17"/>
      <c r="C247" s="44" t="str">
        <f aca="false">IF(B247="","",IFERROR(INDEX(Clients!$C$2:$C$501,MATCH(B247,Clients!$A$2:$A$501,0)),"Client ID not found"))</f>
        <v/>
      </c>
      <c r="D247" s="17"/>
      <c r="E247" s="40"/>
      <c r="F247" s="41"/>
      <c r="G247" s="17"/>
      <c r="H247" s="17"/>
      <c r="I247" s="17"/>
      <c r="J247" s="40"/>
      <c r="K247" s="17"/>
      <c r="L247" s="17"/>
      <c r="M247" s="17"/>
      <c r="N247" s="44" t="str">
        <f aca="true">IF(A247="","",IF(N(K247)&gt;Settings!$S$7,"Over revision limit",IF(AND(D247="Free video",J247="",E247&lt;&gt;"",TODAY()&gt;WORKDAY(E247,Settings!$S$5)),"LATE – free video promised in 5 working days",IF(AND(E247&lt;&gt;"",E247=TODAY()),"Shooting today",""))))</f>
        <v/>
      </c>
    </row>
    <row r="248" customFormat="false" ht="15" hidden="false" customHeight="false" outlineLevel="0" collapsed="false">
      <c r="A248" s="17"/>
      <c r="B248" s="17"/>
      <c r="C248" s="44" t="str">
        <f aca="false">IF(B248="","",IFERROR(INDEX(Clients!$C$2:$C$501,MATCH(B248,Clients!$A$2:$A$501,0)),"Client ID not found"))</f>
        <v/>
      </c>
      <c r="D248" s="17"/>
      <c r="E248" s="40"/>
      <c r="F248" s="41"/>
      <c r="G248" s="17"/>
      <c r="H248" s="17"/>
      <c r="I248" s="17"/>
      <c r="J248" s="40"/>
      <c r="K248" s="17"/>
      <c r="L248" s="17"/>
      <c r="M248" s="17"/>
      <c r="N248" s="44" t="str">
        <f aca="true">IF(A248="","",IF(N(K248)&gt;Settings!$S$7,"Over revision limit",IF(AND(D248="Free video",J248="",E248&lt;&gt;"",TODAY()&gt;WORKDAY(E248,Settings!$S$5)),"LATE – free video promised in 5 working days",IF(AND(E248&lt;&gt;"",E248=TODAY()),"Shooting today",""))))</f>
        <v/>
      </c>
    </row>
    <row r="249" customFormat="false" ht="15" hidden="false" customHeight="false" outlineLevel="0" collapsed="false">
      <c r="A249" s="17"/>
      <c r="B249" s="17"/>
      <c r="C249" s="44" t="str">
        <f aca="false">IF(B249="","",IFERROR(INDEX(Clients!$C$2:$C$501,MATCH(B249,Clients!$A$2:$A$501,0)),"Client ID not found"))</f>
        <v/>
      </c>
      <c r="D249" s="17"/>
      <c r="E249" s="40"/>
      <c r="F249" s="41"/>
      <c r="G249" s="17"/>
      <c r="H249" s="17"/>
      <c r="I249" s="17"/>
      <c r="J249" s="40"/>
      <c r="K249" s="17"/>
      <c r="L249" s="17"/>
      <c r="M249" s="17"/>
      <c r="N249" s="44" t="str">
        <f aca="true">IF(A249="","",IF(N(K249)&gt;Settings!$S$7,"Over revision limit",IF(AND(D249="Free video",J249="",E249&lt;&gt;"",TODAY()&gt;WORKDAY(E249,Settings!$S$5)),"LATE – free video promised in 5 working days",IF(AND(E249&lt;&gt;"",E249=TODAY()),"Shooting today",""))))</f>
        <v/>
      </c>
    </row>
    <row r="250" customFormat="false" ht="15" hidden="false" customHeight="false" outlineLevel="0" collapsed="false">
      <c r="A250" s="17"/>
      <c r="B250" s="17"/>
      <c r="C250" s="44" t="str">
        <f aca="false">IF(B250="","",IFERROR(INDEX(Clients!$C$2:$C$501,MATCH(B250,Clients!$A$2:$A$501,0)),"Client ID not found"))</f>
        <v/>
      </c>
      <c r="D250" s="17"/>
      <c r="E250" s="40"/>
      <c r="F250" s="41"/>
      <c r="G250" s="17"/>
      <c r="H250" s="17"/>
      <c r="I250" s="17"/>
      <c r="J250" s="40"/>
      <c r="K250" s="17"/>
      <c r="L250" s="17"/>
      <c r="M250" s="17"/>
      <c r="N250" s="44" t="str">
        <f aca="true">IF(A250="","",IF(N(K250)&gt;Settings!$S$7,"Over revision limit",IF(AND(D250="Free video",J250="",E250&lt;&gt;"",TODAY()&gt;WORKDAY(E250,Settings!$S$5)),"LATE – free video promised in 5 working days",IF(AND(E250&lt;&gt;"",E250=TODAY()),"Shooting today",""))))</f>
        <v/>
      </c>
    </row>
    <row r="251" customFormat="false" ht="15" hidden="false" customHeight="false" outlineLevel="0" collapsed="false">
      <c r="A251" s="17"/>
      <c r="B251" s="17"/>
      <c r="C251" s="44" t="str">
        <f aca="false">IF(B251="","",IFERROR(INDEX(Clients!$C$2:$C$501,MATCH(B251,Clients!$A$2:$A$501,0)),"Client ID not found"))</f>
        <v/>
      </c>
      <c r="D251" s="17"/>
      <c r="E251" s="40"/>
      <c r="F251" s="41"/>
      <c r="G251" s="17"/>
      <c r="H251" s="17"/>
      <c r="I251" s="17"/>
      <c r="J251" s="40"/>
      <c r="K251" s="17"/>
      <c r="L251" s="17"/>
      <c r="M251" s="17"/>
      <c r="N251" s="44" t="str">
        <f aca="true">IF(A251="","",IF(N(K251)&gt;Settings!$S$7,"Over revision limit",IF(AND(D251="Free video",J251="",E251&lt;&gt;"",TODAY()&gt;WORKDAY(E251,Settings!$S$5)),"LATE – free video promised in 5 working days",IF(AND(E251&lt;&gt;"",E251=TODAY()),"Shooting today",""))))</f>
        <v/>
      </c>
    </row>
    <row r="252" customFormat="false" ht="15" hidden="false" customHeight="false" outlineLevel="0" collapsed="false">
      <c r="A252" s="17"/>
      <c r="B252" s="17"/>
      <c r="C252" s="44" t="str">
        <f aca="false">IF(B252="","",IFERROR(INDEX(Clients!$C$2:$C$501,MATCH(B252,Clients!$A$2:$A$501,0)),"Client ID not found"))</f>
        <v/>
      </c>
      <c r="D252" s="17"/>
      <c r="E252" s="40"/>
      <c r="F252" s="41"/>
      <c r="G252" s="17"/>
      <c r="H252" s="17"/>
      <c r="I252" s="17"/>
      <c r="J252" s="40"/>
      <c r="K252" s="17"/>
      <c r="L252" s="17"/>
      <c r="M252" s="17"/>
      <c r="N252" s="44" t="str">
        <f aca="true">IF(A252="","",IF(N(K252)&gt;Settings!$S$7,"Over revision limit",IF(AND(D252="Free video",J252="",E252&lt;&gt;"",TODAY()&gt;WORKDAY(E252,Settings!$S$5)),"LATE – free video promised in 5 working days",IF(AND(E252&lt;&gt;"",E252=TODAY()),"Shooting today",""))))</f>
        <v/>
      </c>
    </row>
    <row r="253" customFormat="false" ht="15" hidden="false" customHeight="false" outlineLevel="0" collapsed="false">
      <c r="A253" s="17"/>
      <c r="B253" s="17"/>
      <c r="C253" s="44" t="str">
        <f aca="false">IF(B253="","",IFERROR(INDEX(Clients!$C$2:$C$501,MATCH(B253,Clients!$A$2:$A$501,0)),"Client ID not found"))</f>
        <v/>
      </c>
      <c r="D253" s="17"/>
      <c r="E253" s="40"/>
      <c r="F253" s="41"/>
      <c r="G253" s="17"/>
      <c r="H253" s="17"/>
      <c r="I253" s="17"/>
      <c r="J253" s="40"/>
      <c r="K253" s="17"/>
      <c r="L253" s="17"/>
      <c r="M253" s="17"/>
      <c r="N253" s="44" t="str">
        <f aca="true">IF(A253="","",IF(N(K253)&gt;Settings!$S$7,"Over revision limit",IF(AND(D253="Free video",J253="",E253&lt;&gt;"",TODAY()&gt;WORKDAY(E253,Settings!$S$5)),"LATE – free video promised in 5 working days",IF(AND(E253&lt;&gt;"",E253=TODAY()),"Shooting today",""))))</f>
        <v/>
      </c>
    </row>
    <row r="254" customFormat="false" ht="15" hidden="false" customHeight="false" outlineLevel="0" collapsed="false">
      <c r="A254" s="17"/>
      <c r="B254" s="17"/>
      <c r="C254" s="44" t="str">
        <f aca="false">IF(B254="","",IFERROR(INDEX(Clients!$C$2:$C$501,MATCH(B254,Clients!$A$2:$A$501,0)),"Client ID not found"))</f>
        <v/>
      </c>
      <c r="D254" s="17"/>
      <c r="E254" s="40"/>
      <c r="F254" s="41"/>
      <c r="G254" s="17"/>
      <c r="H254" s="17"/>
      <c r="I254" s="17"/>
      <c r="J254" s="40"/>
      <c r="K254" s="17"/>
      <c r="L254" s="17"/>
      <c r="M254" s="17"/>
      <c r="N254" s="44" t="str">
        <f aca="true">IF(A254="","",IF(N(K254)&gt;Settings!$S$7,"Over revision limit",IF(AND(D254="Free video",J254="",E254&lt;&gt;"",TODAY()&gt;WORKDAY(E254,Settings!$S$5)),"LATE – free video promised in 5 working days",IF(AND(E254&lt;&gt;"",E254=TODAY()),"Shooting today",""))))</f>
        <v/>
      </c>
    </row>
    <row r="255" customFormat="false" ht="15" hidden="false" customHeight="false" outlineLevel="0" collapsed="false">
      <c r="A255" s="17"/>
      <c r="B255" s="17"/>
      <c r="C255" s="44" t="str">
        <f aca="false">IF(B255="","",IFERROR(INDEX(Clients!$C$2:$C$501,MATCH(B255,Clients!$A$2:$A$501,0)),"Client ID not found"))</f>
        <v/>
      </c>
      <c r="D255" s="17"/>
      <c r="E255" s="40"/>
      <c r="F255" s="41"/>
      <c r="G255" s="17"/>
      <c r="H255" s="17"/>
      <c r="I255" s="17"/>
      <c r="J255" s="40"/>
      <c r="K255" s="17"/>
      <c r="L255" s="17"/>
      <c r="M255" s="17"/>
      <c r="N255" s="44" t="str">
        <f aca="true">IF(A255="","",IF(N(K255)&gt;Settings!$S$7,"Over revision limit",IF(AND(D255="Free video",J255="",E255&lt;&gt;"",TODAY()&gt;WORKDAY(E255,Settings!$S$5)),"LATE – free video promised in 5 working days",IF(AND(E255&lt;&gt;"",E255=TODAY()),"Shooting today",""))))</f>
        <v/>
      </c>
    </row>
    <row r="256" customFormat="false" ht="15" hidden="false" customHeight="false" outlineLevel="0" collapsed="false">
      <c r="A256" s="17"/>
      <c r="B256" s="17"/>
      <c r="C256" s="44" t="str">
        <f aca="false">IF(B256="","",IFERROR(INDEX(Clients!$C$2:$C$501,MATCH(B256,Clients!$A$2:$A$501,0)),"Client ID not found"))</f>
        <v/>
      </c>
      <c r="D256" s="17"/>
      <c r="E256" s="40"/>
      <c r="F256" s="41"/>
      <c r="G256" s="17"/>
      <c r="H256" s="17"/>
      <c r="I256" s="17"/>
      <c r="J256" s="40"/>
      <c r="K256" s="17"/>
      <c r="L256" s="17"/>
      <c r="M256" s="17"/>
      <c r="N256" s="44" t="str">
        <f aca="true">IF(A256="","",IF(N(K256)&gt;Settings!$S$7,"Over revision limit",IF(AND(D256="Free video",J256="",E256&lt;&gt;"",TODAY()&gt;WORKDAY(E256,Settings!$S$5)),"LATE – free video promised in 5 working days",IF(AND(E256&lt;&gt;"",E256=TODAY()),"Shooting today",""))))</f>
        <v/>
      </c>
    </row>
    <row r="257" customFormat="false" ht="15" hidden="false" customHeight="false" outlineLevel="0" collapsed="false">
      <c r="A257" s="17"/>
      <c r="B257" s="17"/>
      <c r="C257" s="44" t="str">
        <f aca="false">IF(B257="","",IFERROR(INDEX(Clients!$C$2:$C$501,MATCH(B257,Clients!$A$2:$A$501,0)),"Client ID not found"))</f>
        <v/>
      </c>
      <c r="D257" s="17"/>
      <c r="E257" s="40"/>
      <c r="F257" s="41"/>
      <c r="G257" s="17"/>
      <c r="H257" s="17"/>
      <c r="I257" s="17"/>
      <c r="J257" s="40"/>
      <c r="K257" s="17"/>
      <c r="L257" s="17"/>
      <c r="M257" s="17"/>
      <c r="N257" s="44" t="str">
        <f aca="true">IF(A257="","",IF(N(K257)&gt;Settings!$S$7,"Over revision limit",IF(AND(D257="Free video",J257="",E257&lt;&gt;"",TODAY()&gt;WORKDAY(E257,Settings!$S$5)),"LATE – free video promised in 5 working days",IF(AND(E257&lt;&gt;"",E257=TODAY()),"Shooting today",""))))</f>
        <v/>
      </c>
    </row>
    <row r="258" customFormat="false" ht="15" hidden="false" customHeight="false" outlineLevel="0" collapsed="false">
      <c r="A258" s="17"/>
      <c r="B258" s="17"/>
      <c r="C258" s="44" t="str">
        <f aca="false">IF(B258="","",IFERROR(INDEX(Clients!$C$2:$C$501,MATCH(B258,Clients!$A$2:$A$501,0)),"Client ID not found"))</f>
        <v/>
      </c>
      <c r="D258" s="17"/>
      <c r="E258" s="40"/>
      <c r="F258" s="41"/>
      <c r="G258" s="17"/>
      <c r="H258" s="17"/>
      <c r="I258" s="17"/>
      <c r="J258" s="40"/>
      <c r="K258" s="17"/>
      <c r="L258" s="17"/>
      <c r="M258" s="17"/>
      <c r="N258" s="44" t="str">
        <f aca="true">IF(A258="","",IF(N(K258)&gt;Settings!$S$7,"Over revision limit",IF(AND(D258="Free video",J258="",E258&lt;&gt;"",TODAY()&gt;WORKDAY(E258,Settings!$S$5)),"LATE – free video promised in 5 working days",IF(AND(E258&lt;&gt;"",E258=TODAY()),"Shooting today",""))))</f>
        <v/>
      </c>
    </row>
    <row r="259" customFormat="false" ht="15" hidden="false" customHeight="false" outlineLevel="0" collapsed="false">
      <c r="A259" s="17"/>
      <c r="B259" s="17"/>
      <c r="C259" s="44" t="str">
        <f aca="false">IF(B259="","",IFERROR(INDEX(Clients!$C$2:$C$501,MATCH(B259,Clients!$A$2:$A$501,0)),"Client ID not found"))</f>
        <v/>
      </c>
      <c r="D259" s="17"/>
      <c r="E259" s="40"/>
      <c r="F259" s="41"/>
      <c r="G259" s="17"/>
      <c r="H259" s="17"/>
      <c r="I259" s="17"/>
      <c r="J259" s="40"/>
      <c r="K259" s="17"/>
      <c r="L259" s="17"/>
      <c r="M259" s="17"/>
      <c r="N259" s="44" t="str">
        <f aca="true">IF(A259="","",IF(N(K259)&gt;Settings!$S$7,"Over revision limit",IF(AND(D259="Free video",J259="",E259&lt;&gt;"",TODAY()&gt;WORKDAY(E259,Settings!$S$5)),"LATE – free video promised in 5 working days",IF(AND(E259&lt;&gt;"",E259=TODAY()),"Shooting today",""))))</f>
        <v/>
      </c>
    </row>
    <row r="260" customFormat="false" ht="15" hidden="false" customHeight="false" outlineLevel="0" collapsed="false">
      <c r="A260" s="17"/>
      <c r="B260" s="17"/>
      <c r="C260" s="44" t="str">
        <f aca="false">IF(B260="","",IFERROR(INDEX(Clients!$C$2:$C$501,MATCH(B260,Clients!$A$2:$A$501,0)),"Client ID not found"))</f>
        <v/>
      </c>
      <c r="D260" s="17"/>
      <c r="E260" s="40"/>
      <c r="F260" s="41"/>
      <c r="G260" s="17"/>
      <c r="H260" s="17"/>
      <c r="I260" s="17"/>
      <c r="J260" s="40"/>
      <c r="K260" s="17"/>
      <c r="L260" s="17"/>
      <c r="M260" s="17"/>
      <c r="N260" s="44" t="str">
        <f aca="true">IF(A260="","",IF(N(K260)&gt;Settings!$S$7,"Over revision limit",IF(AND(D260="Free video",J260="",E260&lt;&gt;"",TODAY()&gt;WORKDAY(E260,Settings!$S$5)),"LATE – free video promised in 5 working days",IF(AND(E260&lt;&gt;"",E260=TODAY()),"Shooting today",""))))</f>
        <v/>
      </c>
    </row>
    <row r="261" customFormat="false" ht="15" hidden="false" customHeight="false" outlineLevel="0" collapsed="false">
      <c r="A261" s="17"/>
      <c r="B261" s="17"/>
      <c r="C261" s="44" t="str">
        <f aca="false">IF(B261="","",IFERROR(INDEX(Clients!$C$2:$C$501,MATCH(B261,Clients!$A$2:$A$501,0)),"Client ID not found"))</f>
        <v/>
      </c>
      <c r="D261" s="17"/>
      <c r="E261" s="40"/>
      <c r="F261" s="41"/>
      <c r="G261" s="17"/>
      <c r="H261" s="17"/>
      <c r="I261" s="17"/>
      <c r="J261" s="40"/>
      <c r="K261" s="17"/>
      <c r="L261" s="17"/>
      <c r="M261" s="17"/>
      <c r="N261" s="44" t="str">
        <f aca="true">IF(A261="","",IF(N(K261)&gt;Settings!$S$7,"Over revision limit",IF(AND(D261="Free video",J261="",E261&lt;&gt;"",TODAY()&gt;WORKDAY(E261,Settings!$S$5)),"LATE – free video promised in 5 working days",IF(AND(E261&lt;&gt;"",E261=TODAY()),"Shooting today",""))))</f>
        <v/>
      </c>
    </row>
    <row r="262" customFormat="false" ht="15" hidden="false" customHeight="false" outlineLevel="0" collapsed="false">
      <c r="A262" s="17"/>
      <c r="B262" s="17"/>
      <c r="C262" s="44" t="str">
        <f aca="false">IF(B262="","",IFERROR(INDEX(Clients!$C$2:$C$501,MATCH(B262,Clients!$A$2:$A$501,0)),"Client ID not found"))</f>
        <v/>
      </c>
      <c r="D262" s="17"/>
      <c r="E262" s="40"/>
      <c r="F262" s="41"/>
      <c r="G262" s="17"/>
      <c r="H262" s="17"/>
      <c r="I262" s="17"/>
      <c r="J262" s="40"/>
      <c r="K262" s="17"/>
      <c r="L262" s="17"/>
      <c r="M262" s="17"/>
      <c r="N262" s="44" t="str">
        <f aca="true">IF(A262="","",IF(N(K262)&gt;Settings!$S$7,"Over revision limit",IF(AND(D262="Free video",J262="",E262&lt;&gt;"",TODAY()&gt;WORKDAY(E262,Settings!$S$5)),"LATE – free video promised in 5 working days",IF(AND(E262&lt;&gt;"",E262=TODAY()),"Shooting today",""))))</f>
        <v/>
      </c>
    </row>
    <row r="263" customFormat="false" ht="15" hidden="false" customHeight="false" outlineLevel="0" collapsed="false">
      <c r="A263" s="17"/>
      <c r="B263" s="17"/>
      <c r="C263" s="44" t="str">
        <f aca="false">IF(B263="","",IFERROR(INDEX(Clients!$C$2:$C$501,MATCH(B263,Clients!$A$2:$A$501,0)),"Client ID not found"))</f>
        <v/>
      </c>
      <c r="D263" s="17"/>
      <c r="E263" s="40"/>
      <c r="F263" s="41"/>
      <c r="G263" s="17"/>
      <c r="H263" s="17"/>
      <c r="I263" s="17"/>
      <c r="J263" s="40"/>
      <c r="K263" s="17"/>
      <c r="L263" s="17"/>
      <c r="M263" s="17"/>
      <c r="N263" s="44" t="str">
        <f aca="true">IF(A263="","",IF(N(K263)&gt;Settings!$S$7,"Over revision limit",IF(AND(D263="Free video",J263="",E263&lt;&gt;"",TODAY()&gt;WORKDAY(E263,Settings!$S$5)),"LATE – free video promised in 5 working days",IF(AND(E263&lt;&gt;"",E263=TODAY()),"Shooting today",""))))</f>
        <v/>
      </c>
    </row>
    <row r="264" customFormat="false" ht="15" hidden="false" customHeight="false" outlineLevel="0" collapsed="false">
      <c r="A264" s="17"/>
      <c r="B264" s="17"/>
      <c r="C264" s="44" t="str">
        <f aca="false">IF(B264="","",IFERROR(INDEX(Clients!$C$2:$C$501,MATCH(B264,Clients!$A$2:$A$501,0)),"Client ID not found"))</f>
        <v/>
      </c>
      <c r="D264" s="17"/>
      <c r="E264" s="40"/>
      <c r="F264" s="41"/>
      <c r="G264" s="17"/>
      <c r="H264" s="17"/>
      <c r="I264" s="17"/>
      <c r="J264" s="40"/>
      <c r="K264" s="17"/>
      <c r="L264" s="17"/>
      <c r="M264" s="17"/>
      <c r="N264" s="44" t="str">
        <f aca="true">IF(A264="","",IF(N(K264)&gt;Settings!$S$7,"Over revision limit",IF(AND(D264="Free video",J264="",E264&lt;&gt;"",TODAY()&gt;WORKDAY(E264,Settings!$S$5)),"LATE – free video promised in 5 working days",IF(AND(E264&lt;&gt;"",E264=TODAY()),"Shooting today",""))))</f>
        <v/>
      </c>
    </row>
    <row r="265" customFormat="false" ht="15" hidden="false" customHeight="false" outlineLevel="0" collapsed="false">
      <c r="A265" s="17"/>
      <c r="B265" s="17"/>
      <c r="C265" s="44" t="str">
        <f aca="false">IF(B265="","",IFERROR(INDEX(Clients!$C$2:$C$501,MATCH(B265,Clients!$A$2:$A$501,0)),"Client ID not found"))</f>
        <v/>
      </c>
      <c r="D265" s="17"/>
      <c r="E265" s="40"/>
      <c r="F265" s="41"/>
      <c r="G265" s="17"/>
      <c r="H265" s="17"/>
      <c r="I265" s="17"/>
      <c r="J265" s="40"/>
      <c r="K265" s="17"/>
      <c r="L265" s="17"/>
      <c r="M265" s="17"/>
      <c r="N265" s="44" t="str">
        <f aca="true">IF(A265="","",IF(N(K265)&gt;Settings!$S$7,"Over revision limit",IF(AND(D265="Free video",J265="",E265&lt;&gt;"",TODAY()&gt;WORKDAY(E265,Settings!$S$5)),"LATE – free video promised in 5 working days",IF(AND(E265&lt;&gt;"",E265=TODAY()),"Shooting today",""))))</f>
        <v/>
      </c>
    </row>
    <row r="266" customFormat="false" ht="15" hidden="false" customHeight="false" outlineLevel="0" collapsed="false">
      <c r="A266" s="17"/>
      <c r="B266" s="17"/>
      <c r="C266" s="44" t="str">
        <f aca="false">IF(B266="","",IFERROR(INDEX(Clients!$C$2:$C$501,MATCH(B266,Clients!$A$2:$A$501,0)),"Client ID not found"))</f>
        <v/>
      </c>
      <c r="D266" s="17"/>
      <c r="E266" s="40"/>
      <c r="F266" s="41"/>
      <c r="G266" s="17"/>
      <c r="H266" s="17"/>
      <c r="I266" s="17"/>
      <c r="J266" s="40"/>
      <c r="K266" s="17"/>
      <c r="L266" s="17"/>
      <c r="M266" s="17"/>
      <c r="N266" s="44" t="str">
        <f aca="true">IF(A266="","",IF(N(K266)&gt;Settings!$S$7,"Over revision limit",IF(AND(D266="Free video",J266="",E266&lt;&gt;"",TODAY()&gt;WORKDAY(E266,Settings!$S$5)),"LATE – free video promised in 5 working days",IF(AND(E266&lt;&gt;"",E266=TODAY()),"Shooting today",""))))</f>
        <v/>
      </c>
    </row>
    <row r="267" customFormat="false" ht="15" hidden="false" customHeight="false" outlineLevel="0" collapsed="false">
      <c r="A267" s="17"/>
      <c r="B267" s="17"/>
      <c r="C267" s="44" t="str">
        <f aca="false">IF(B267="","",IFERROR(INDEX(Clients!$C$2:$C$501,MATCH(B267,Clients!$A$2:$A$501,0)),"Client ID not found"))</f>
        <v/>
      </c>
      <c r="D267" s="17"/>
      <c r="E267" s="40"/>
      <c r="F267" s="41"/>
      <c r="G267" s="17"/>
      <c r="H267" s="17"/>
      <c r="I267" s="17"/>
      <c r="J267" s="40"/>
      <c r="K267" s="17"/>
      <c r="L267" s="17"/>
      <c r="M267" s="17"/>
      <c r="N267" s="44" t="str">
        <f aca="true">IF(A267="","",IF(N(K267)&gt;Settings!$S$7,"Over revision limit",IF(AND(D267="Free video",J267="",E267&lt;&gt;"",TODAY()&gt;WORKDAY(E267,Settings!$S$5)),"LATE – free video promised in 5 working days",IF(AND(E267&lt;&gt;"",E267=TODAY()),"Shooting today",""))))</f>
        <v/>
      </c>
    </row>
    <row r="268" customFormat="false" ht="15" hidden="false" customHeight="false" outlineLevel="0" collapsed="false">
      <c r="A268" s="17"/>
      <c r="B268" s="17"/>
      <c r="C268" s="44" t="str">
        <f aca="false">IF(B268="","",IFERROR(INDEX(Clients!$C$2:$C$501,MATCH(B268,Clients!$A$2:$A$501,0)),"Client ID not found"))</f>
        <v/>
      </c>
      <c r="D268" s="17"/>
      <c r="E268" s="40"/>
      <c r="F268" s="41"/>
      <c r="G268" s="17"/>
      <c r="H268" s="17"/>
      <c r="I268" s="17"/>
      <c r="J268" s="40"/>
      <c r="K268" s="17"/>
      <c r="L268" s="17"/>
      <c r="M268" s="17"/>
      <c r="N268" s="44" t="str">
        <f aca="true">IF(A268="","",IF(N(K268)&gt;Settings!$S$7,"Over revision limit",IF(AND(D268="Free video",J268="",E268&lt;&gt;"",TODAY()&gt;WORKDAY(E268,Settings!$S$5)),"LATE – free video promised in 5 working days",IF(AND(E268&lt;&gt;"",E268=TODAY()),"Shooting today",""))))</f>
        <v/>
      </c>
    </row>
    <row r="269" customFormat="false" ht="15" hidden="false" customHeight="false" outlineLevel="0" collapsed="false">
      <c r="A269" s="17"/>
      <c r="B269" s="17"/>
      <c r="C269" s="44" t="str">
        <f aca="false">IF(B269="","",IFERROR(INDEX(Clients!$C$2:$C$501,MATCH(B269,Clients!$A$2:$A$501,0)),"Client ID not found"))</f>
        <v/>
      </c>
      <c r="D269" s="17"/>
      <c r="E269" s="40"/>
      <c r="F269" s="41"/>
      <c r="G269" s="17"/>
      <c r="H269" s="17"/>
      <c r="I269" s="17"/>
      <c r="J269" s="40"/>
      <c r="K269" s="17"/>
      <c r="L269" s="17"/>
      <c r="M269" s="17"/>
      <c r="N269" s="44" t="str">
        <f aca="true">IF(A269="","",IF(N(K269)&gt;Settings!$S$7,"Over revision limit",IF(AND(D269="Free video",J269="",E269&lt;&gt;"",TODAY()&gt;WORKDAY(E269,Settings!$S$5)),"LATE – free video promised in 5 working days",IF(AND(E269&lt;&gt;"",E269=TODAY()),"Shooting today",""))))</f>
        <v/>
      </c>
    </row>
    <row r="270" customFormat="false" ht="15" hidden="false" customHeight="false" outlineLevel="0" collapsed="false">
      <c r="A270" s="17"/>
      <c r="B270" s="17"/>
      <c r="C270" s="44" t="str">
        <f aca="false">IF(B270="","",IFERROR(INDEX(Clients!$C$2:$C$501,MATCH(B270,Clients!$A$2:$A$501,0)),"Client ID not found"))</f>
        <v/>
      </c>
      <c r="D270" s="17"/>
      <c r="E270" s="40"/>
      <c r="F270" s="41"/>
      <c r="G270" s="17"/>
      <c r="H270" s="17"/>
      <c r="I270" s="17"/>
      <c r="J270" s="40"/>
      <c r="K270" s="17"/>
      <c r="L270" s="17"/>
      <c r="M270" s="17"/>
      <c r="N270" s="44" t="str">
        <f aca="true">IF(A270="","",IF(N(K270)&gt;Settings!$S$7,"Over revision limit",IF(AND(D270="Free video",J270="",E270&lt;&gt;"",TODAY()&gt;WORKDAY(E270,Settings!$S$5)),"LATE – free video promised in 5 working days",IF(AND(E270&lt;&gt;"",E270=TODAY()),"Shooting today",""))))</f>
        <v/>
      </c>
    </row>
    <row r="271" customFormat="false" ht="15" hidden="false" customHeight="false" outlineLevel="0" collapsed="false">
      <c r="A271" s="17"/>
      <c r="B271" s="17"/>
      <c r="C271" s="44" t="str">
        <f aca="false">IF(B271="","",IFERROR(INDEX(Clients!$C$2:$C$501,MATCH(B271,Clients!$A$2:$A$501,0)),"Client ID not found"))</f>
        <v/>
      </c>
      <c r="D271" s="17"/>
      <c r="E271" s="40"/>
      <c r="F271" s="41"/>
      <c r="G271" s="17"/>
      <c r="H271" s="17"/>
      <c r="I271" s="17"/>
      <c r="J271" s="40"/>
      <c r="K271" s="17"/>
      <c r="L271" s="17"/>
      <c r="M271" s="17"/>
      <c r="N271" s="44" t="str">
        <f aca="true">IF(A271="","",IF(N(K271)&gt;Settings!$S$7,"Over revision limit",IF(AND(D271="Free video",J271="",E271&lt;&gt;"",TODAY()&gt;WORKDAY(E271,Settings!$S$5)),"LATE – free video promised in 5 working days",IF(AND(E271&lt;&gt;"",E271=TODAY()),"Shooting today",""))))</f>
        <v/>
      </c>
    </row>
    <row r="272" customFormat="false" ht="15" hidden="false" customHeight="false" outlineLevel="0" collapsed="false">
      <c r="A272" s="17"/>
      <c r="B272" s="17"/>
      <c r="C272" s="44" t="str">
        <f aca="false">IF(B272="","",IFERROR(INDEX(Clients!$C$2:$C$501,MATCH(B272,Clients!$A$2:$A$501,0)),"Client ID not found"))</f>
        <v/>
      </c>
      <c r="D272" s="17"/>
      <c r="E272" s="40"/>
      <c r="F272" s="41"/>
      <c r="G272" s="17"/>
      <c r="H272" s="17"/>
      <c r="I272" s="17"/>
      <c r="J272" s="40"/>
      <c r="K272" s="17"/>
      <c r="L272" s="17"/>
      <c r="M272" s="17"/>
      <c r="N272" s="44" t="str">
        <f aca="true">IF(A272="","",IF(N(K272)&gt;Settings!$S$7,"Over revision limit",IF(AND(D272="Free video",J272="",E272&lt;&gt;"",TODAY()&gt;WORKDAY(E272,Settings!$S$5)),"LATE – free video promised in 5 working days",IF(AND(E272&lt;&gt;"",E272=TODAY()),"Shooting today",""))))</f>
        <v/>
      </c>
    </row>
    <row r="273" customFormat="false" ht="15" hidden="false" customHeight="false" outlineLevel="0" collapsed="false">
      <c r="A273" s="17"/>
      <c r="B273" s="17"/>
      <c r="C273" s="44" t="str">
        <f aca="false">IF(B273="","",IFERROR(INDEX(Clients!$C$2:$C$501,MATCH(B273,Clients!$A$2:$A$501,0)),"Client ID not found"))</f>
        <v/>
      </c>
      <c r="D273" s="17"/>
      <c r="E273" s="40"/>
      <c r="F273" s="41"/>
      <c r="G273" s="17"/>
      <c r="H273" s="17"/>
      <c r="I273" s="17"/>
      <c r="J273" s="40"/>
      <c r="K273" s="17"/>
      <c r="L273" s="17"/>
      <c r="M273" s="17"/>
      <c r="N273" s="44" t="str">
        <f aca="true">IF(A273="","",IF(N(K273)&gt;Settings!$S$7,"Over revision limit",IF(AND(D273="Free video",J273="",E273&lt;&gt;"",TODAY()&gt;WORKDAY(E273,Settings!$S$5)),"LATE – free video promised in 5 working days",IF(AND(E273&lt;&gt;"",E273=TODAY()),"Shooting today",""))))</f>
        <v/>
      </c>
    </row>
    <row r="274" customFormat="false" ht="15" hidden="false" customHeight="false" outlineLevel="0" collapsed="false">
      <c r="A274" s="17"/>
      <c r="B274" s="17"/>
      <c r="C274" s="44" t="str">
        <f aca="false">IF(B274="","",IFERROR(INDEX(Clients!$C$2:$C$501,MATCH(B274,Clients!$A$2:$A$501,0)),"Client ID not found"))</f>
        <v/>
      </c>
      <c r="D274" s="17"/>
      <c r="E274" s="40"/>
      <c r="F274" s="41"/>
      <c r="G274" s="17"/>
      <c r="H274" s="17"/>
      <c r="I274" s="17"/>
      <c r="J274" s="40"/>
      <c r="K274" s="17"/>
      <c r="L274" s="17"/>
      <c r="M274" s="17"/>
      <c r="N274" s="44" t="str">
        <f aca="true">IF(A274="","",IF(N(K274)&gt;Settings!$S$7,"Over revision limit",IF(AND(D274="Free video",J274="",E274&lt;&gt;"",TODAY()&gt;WORKDAY(E274,Settings!$S$5)),"LATE – free video promised in 5 working days",IF(AND(E274&lt;&gt;"",E274=TODAY()),"Shooting today",""))))</f>
        <v/>
      </c>
    </row>
    <row r="275" customFormat="false" ht="15" hidden="false" customHeight="false" outlineLevel="0" collapsed="false">
      <c r="A275" s="17"/>
      <c r="B275" s="17"/>
      <c r="C275" s="44" t="str">
        <f aca="false">IF(B275="","",IFERROR(INDEX(Clients!$C$2:$C$501,MATCH(B275,Clients!$A$2:$A$501,0)),"Client ID not found"))</f>
        <v/>
      </c>
      <c r="D275" s="17"/>
      <c r="E275" s="40"/>
      <c r="F275" s="41"/>
      <c r="G275" s="17"/>
      <c r="H275" s="17"/>
      <c r="I275" s="17"/>
      <c r="J275" s="40"/>
      <c r="K275" s="17"/>
      <c r="L275" s="17"/>
      <c r="M275" s="17"/>
      <c r="N275" s="44" t="str">
        <f aca="true">IF(A275="","",IF(N(K275)&gt;Settings!$S$7,"Over revision limit",IF(AND(D275="Free video",J275="",E275&lt;&gt;"",TODAY()&gt;WORKDAY(E275,Settings!$S$5)),"LATE – free video promised in 5 working days",IF(AND(E275&lt;&gt;"",E275=TODAY()),"Shooting today",""))))</f>
        <v/>
      </c>
    </row>
    <row r="276" customFormat="false" ht="15" hidden="false" customHeight="false" outlineLevel="0" collapsed="false">
      <c r="A276" s="17"/>
      <c r="B276" s="17"/>
      <c r="C276" s="44" t="str">
        <f aca="false">IF(B276="","",IFERROR(INDEX(Clients!$C$2:$C$501,MATCH(B276,Clients!$A$2:$A$501,0)),"Client ID not found"))</f>
        <v/>
      </c>
      <c r="D276" s="17"/>
      <c r="E276" s="40"/>
      <c r="F276" s="41"/>
      <c r="G276" s="17"/>
      <c r="H276" s="17"/>
      <c r="I276" s="17"/>
      <c r="J276" s="40"/>
      <c r="K276" s="17"/>
      <c r="L276" s="17"/>
      <c r="M276" s="17"/>
      <c r="N276" s="44" t="str">
        <f aca="true">IF(A276="","",IF(N(K276)&gt;Settings!$S$7,"Over revision limit",IF(AND(D276="Free video",J276="",E276&lt;&gt;"",TODAY()&gt;WORKDAY(E276,Settings!$S$5)),"LATE – free video promised in 5 working days",IF(AND(E276&lt;&gt;"",E276=TODAY()),"Shooting today",""))))</f>
        <v/>
      </c>
    </row>
    <row r="277" customFormat="false" ht="15" hidden="false" customHeight="false" outlineLevel="0" collapsed="false">
      <c r="A277" s="17"/>
      <c r="B277" s="17"/>
      <c r="C277" s="44" t="str">
        <f aca="false">IF(B277="","",IFERROR(INDEX(Clients!$C$2:$C$501,MATCH(B277,Clients!$A$2:$A$501,0)),"Client ID not found"))</f>
        <v/>
      </c>
      <c r="D277" s="17"/>
      <c r="E277" s="40"/>
      <c r="F277" s="41"/>
      <c r="G277" s="17"/>
      <c r="H277" s="17"/>
      <c r="I277" s="17"/>
      <c r="J277" s="40"/>
      <c r="K277" s="17"/>
      <c r="L277" s="17"/>
      <c r="M277" s="17"/>
      <c r="N277" s="44" t="str">
        <f aca="true">IF(A277="","",IF(N(K277)&gt;Settings!$S$7,"Over revision limit",IF(AND(D277="Free video",J277="",E277&lt;&gt;"",TODAY()&gt;WORKDAY(E277,Settings!$S$5)),"LATE – free video promised in 5 working days",IF(AND(E277&lt;&gt;"",E277=TODAY()),"Shooting today",""))))</f>
        <v/>
      </c>
    </row>
    <row r="278" customFormat="false" ht="15" hidden="false" customHeight="false" outlineLevel="0" collapsed="false">
      <c r="A278" s="17"/>
      <c r="B278" s="17"/>
      <c r="C278" s="44" t="str">
        <f aca="false">IF(B278="","",IFERROR(INDEX(Clients!$C$2:$C$501,MATCH(B278,Clients!$A$2:$A$501,0)),"Client ID not found"))</f>
        <v/>
      </c>
      <c r="D278" s="17"/>
      <c r="E278" s="40"/>
      <c r="F278" s="41"/>
      <c r="G278" s="17"/>
      <c r="H278" s="17"/>
      <c r="I278" s="17"/>
      <c r="J278" s="40"/>
      <c r="K278" s="17"/>
      <c r="L278" s="17"/>
      <c r="M278" s="17"/>
      <c r="N278" s="44" t="str">
        <f aca="true">IF(A278="","",IF(N(K278)&gt;Settings!$S$7,"Over revision limit",IF(AND(D278="Free video",J278="",E278&lt;&gt;"",TODAY()&gt;WORKDAY(E278,Settings!$S$5)),"LATE – free video promised in 5 working days",IF(AND(E278&lt;&gt;"",E278=TODAY()),"Shooting today",""))))</f>
        <v/>
      </c>
    </row>
    <row r="279" customFormat="false" ht="15" hidden="false" customHeight="false" outlineLevel="0" collapsed="false">
      <c r="A279" s="17"/>
      <c r="B279" s="17"/>
      <c r="C279" s="44" t="str">
        <f aca="false">IF(B279="","",IFERROR(INDEX(Clients!$C$2:$C$501,MATCH(B279,Clients!$A$2:$A$501,0)),"Client ID not found"))</f>
        <v/>
      </c>
      <c r="D279" s="17"/>
      <c r="E279" s="40"/>
      <c r="F279" s="41"/>
      <c r="G279" s="17"/>
      <c r="H279" s="17"/>
      <c r="I279" s="17"/>
      <c r="J279" s="40"/>
      <c r="K279" s="17"/>
      <c r="L279" s="17"/>
      <c r="M279" s="17"/>
      <c r="N279" s="44" t="str">
        <f aca="true">IF(A279="","",IF(N(K279)&gt;Settings!$S$7,"Over revision limit",IF(AND(D279="Free video",J279="",E279&lt;&gt;"",TODAY()&gt;WORKDAY(E279,Settings!$S$5)),"LATE – free video promised in 5 working days",IF(AND(E279&lt;&gt;"",E279=TODAY()),"Shooting today",""))))</f>
        <v/>
      </c>
    </row>
    <row r="280" customFormat="false" ht="15" hidden="false" customHeight="false" outlineLevel="0" collapsed="false">
      <c r="A280" s="17"/>
      <c r="B280" s="17"/>
      <c r="C280" s="44" t="str">
        <f aca="false">IF(B280="","",IFERROR(INDEX(Clients!$C$2:$C$501,MATCH(B280,Clients!$A$2:$A$501,0)),"Client ID not found"))</f>
        <v/>
      </c>
      <c r="D280" s="17"/>
      <c r="E280" s="40"/>
      <c r="F280" s="41"/>
      <c r="G280" s="17"/>
      <c r="H280" s="17"/>
      <c r="I280" s="17"/>
      <c r="J280" s="40"/>
      <c r="K280" s="17"/>
      <c r="L280" s="17"/>
      <c r="M280" s="17"/>
      <c r="N280" s="44" t="str">
        <f aca="true">IF(A280="","",IF(N(K280)&gt;Settings!$S$7,"Over revision limit",IF(AND(D280="Free video",J280="",E280&lt;&gt;"",TODAY()&gt;WORKDAY(E280,Settings!$S$5)),"LATE – free video promised in 5 working days",IF(AND(E280&lt;&gt;"",E280=TODAY()),"Shooting today",""))))</f>
        <v/>
      </c>
    </row>
    <row r="281" customFormat="false" ht="15" hidden="false" customHeight="false" outlineLevel="0" collapsed="false">
      <c r="A281" s="17"/>
      <c r="B281" s="17"/>
      <c r="C281" s="44" t="str">
        <f aca="false">IF(B281="","",IFERROR(INDEX(Clients!$C$2:$C$501,MATCH(B281,Clients!$A$2:$A$501,0)),"Client ID not found"))</f>
        <v/>
      </c>
      <c r="D281" s="17"/>
      <c r="E281" s="40"/>
      <c r="F281" s="41"/>
      <c r="G281" s="17"/>
      <c r="H281" s="17"/>
      <c r="I281" s="17"/>
      <c r="J281" s="40"/>
      <c r="K281" s="17"/>
      <c r="L281" s="17"/>
      <c r="M281" s="17"/>
      <c r="N281" s="44" t="str">
        <f aca="true">IF(A281="","",IF(N(K281)&gt;Settings!$S$7,"Over revision limit",IF(AND(D281="Free video",J281="",E281&lt;&gt;"",TODAY()&gt;WORKDAY(E281,Settings!$S$5)),"LATE – free video promised in 5 working days",IF(AND(E281&lt;&gt;"",E281=TODAY()),"Shooting today",""))))</f>
        <v/>
      </c>
    </row>
    <row r="282" customFormat="false" ht="15" hidden="false" customHeight="false" outlineLevel="0" collapsed="false">
      <c r="A282" s="17"/>
      <c r="B282" s="17"/>
      <c r="C282" s="44" t="str">
        <f aca="false">IF(B282="","",IFERROR(INDEX(Clients!$C$2:$C$501,MATCH(B282,Clients!$A$2:$A$501,0)),"Client ID not found"))</f>
        <v/>
      </c>
      <c r="D282" s="17"/>
      <c r="E282" s="40"/>
      <c r="F282" s="41"/>
      <c r="G282" s="17"/>
      <c r="H282" s="17"/>
      <c r="I282" s="17"/>
      <c r="J282" s="40"/>
      <c r="K282" s="17"/>
      <c r="L282" s="17"/>
      <c r="M282" s="17"/>
      <c r="N282" s="44" t="str">
        <f aca="true">IF(A282="","",IF(N(K282)&gt;Settings!$S$7,"Over revision limit",IF(AND(D282="Free video",J282="",E282&lt;&gt;"",TODAY()&gt;WORKDAY(E282,Settings!$S$5)),"LATE – free video promised in 5 working days",IF(AND(E282&lt;&gt;"",E282=TODAY()),"Shooting today",""))))</f>
        <v/>
      </c>
    </row>
    <row r="283" customFormat="false" ht="15" hidden="false" customHeight="false" outlineLevel="0" collapsed="false">
      <c r="A283" s="17"/>
      <c r="B283" s="17"/>
      <c r="C283" s="44" t="str">
        <f aca="false">IF(B283="","",IFERROR(INDEX(Clients!$C$2:$C$501,MATCH(B283,Clients!$A$2:$A$501,0)),"Client ID not found"))</f>
        <v/>
      </c>
      <c r="D283" s="17"/>
      <c r="E283" s="40"/>
      <c r="F283" s="41"/>
      <c r="G283" s="17"/>
      <c r="H283" s="17"/>
      <c r="I283" s="17"/>
      <c r="J283" s="40"/>
      <c r="K283" s="17"/>
      <c r="L283" s="17"/>
      <c r="M283" s="17"/>
      <c r="N283" s="44" t="str">
        <f aca="true">IF(A283="","",IF(N(K283)&gt;Settings!$S$7,"Over revision limit",IF(AND(D283="Free video",J283="",E283&lt;&gt;"",TODAY()&gt;WORKDAY(E283,Settings!$S$5)),"LATE – free video promised in 5 working days",IF(AND(E283&lt;&gt;"",E283=TODAY()),"Shooting today",""))))</f>
        <v/>
      </c>
    </row>
    <row r="284" customFormat="false" ht="15" hidden="false" customHeight="false" outlineLevel="0" collapsed="false">
      <c r="A284" s="17"/>
      <c r="B284" s="17"/>
      <c r="C284" s="44" t="str">
        <f aca="false">IF(B284="","",IFERROR(INDEX(Clients!$C$2:$C$501,MATCH(B284,Clients!$A$2:$A$501,0)),"Client ID not found"))</f>
        <v/>
      </c>
      <c r="D284" s="17"/>
      <c r="E284" s="40"/>
      <c r="F284" s="41"/>
      <c r="G284" s="17"/>
      <c r="H284" s="17"/>
      <c r="I284" s="17"/>
      <c r="J284" s="40"/>
      <c r="K284" s="17"/>
      <c r="L284" s="17"/>
      <c r="M284" s="17"/>
      <c r="N284" s="44" t="str">
        <f aca="true">IF(A284="","",IF(N(K284)&gt;Settings!$S$7,"Over revision limit",IF(AND(D284="Free video",J284="",E284&lt;&gt;"",TODAY()&gt;WORKDAY(E284,Settings!$S$5)),"LATE – free video promised in 5 working days",IF(AND(E284&lt;&gt;"",E284=TODAY()),"Shooting today",""))))</f>
        <v/>
      </c>
    </row>
    <row r="285" customFormat="false" ht="15" hidden="false" customHeight="false" outlineLevel="0" collapsed="false">
      <c r="A285" s="17"/>
      <c r="B285" s="17"/>
      <c r="C285" s="44" t="str">
        <f aca="false">IF(B285="","",IFERROR(INDEX(Clients!$C$2:$C$501,MATCH(B285,Clients!$A$2:$A$501,0)),"Client ID not found"))</f>
        <v/>
      </c>
      <c r="D285" s="17"/>
      <c r="E285" s="40"/>
      <c r="F285" s="41"/>
      <c r="G285" s="17"/>
      <c r="H285" s="17"/>
      <c r="I285" s="17"/>
      <c r="J285" s="40"/>
      <c r="K285" s="17"/>
      <c r="L285" s="17"/>
      <c r="M285" s="17"/>
      <c r="N285" s="44" t="str">
        <f aca="true">IF(A285="","",IF(N(K285)&gt;Settings!$S$7,"Over revision limit",IF(AND(D285="Free video",J285="",E285&lt;&gt;"",TODAY()&gt;WORKDAY(E285,Settings!$S$5)),"LATE – free video promised in 5 working days",IF(AND(E285&lt;&gt;"",E285=TODAY()),"Shooting today",""))))</f>
        <v/>
      </c>
    </row>
    <row r="286" customFormat="false" ht="15" hidden="false" customHeight="false" outlineLevel="0" collapsed="false">
      <c r="A286" s="17"/>
      <c r="B286" s="17"/>
      <c r="C286" s="44" t="str">
        <f aca="false">IF(B286="","",IFERROR(INDEX(Clients!$C$2:$C$501,MATCH(B286,Clients!$A$2:$A$501,0)),"Client ID not found"))</f>
        <v/>
      </c>
      <c r="D286" s="17"/>
      <c r="E286" s="40"/>
      <c r="F286" s="41"/>
      <c r="G286" s="17"/>
      <c r="H286" s="17"/>
      <c r="I286" s="17"/>
      <c r="J286" s="40"/>
      <c r="K286" s="17"/>
      <c r="L286" s="17"/>
      <c r="M286" s="17"/>
      <c r="N286" s="44" t="str">
        <f aca="true">IF(A286="","",IF(N(K286)&gt;Settings!$S$7,"Over revision limit",IF(AND(D286="Free video",J286="",E286&lt;&gt;"",TODAY()&gt;WORKDAY(E286,Settings!$S$5)),"LATE – free video promised in 5 working days",IF(AND(E286&lt;&gt;"",E286=TODAY()),"Shooting today",""))))</f>
        <v/>
      </c>
    </row>
    <row r="287" customFormat="false" ht="15" hidden="false" customHeight="false" outlineLevel="0" collapsed="false">
      <c r="A287" s="17"/>
      <c r="B287" s="17"/>
      <c r="C287" s="44" t="str">
        <f aca="false">IF(B287="","",IFERROR(INDEX(Clients!$C$2:$C$501,MATCH(B287,Clients!$A$2:$A$501,0)),"Client ID not found"))</f>
        <v/>
      </c>
      <c r="D287" s="17"/>
      <c r="E287" s="40"/>
      <c r="F287" s="41"/>
      <c r="G287" s="17"/>
      <c r="H287" s="17"/>
      <c r="I287" s="17"/>
      <c r="J287" s="40"/>
      <c r="K287" s="17"/>
      <c r="L287" s="17"/>
      <c r="M287" s="17"/>
      <c r="N287" s="44" t="str">
        <f aca="true">IF(A287="","",IF(N(K287)&gt;Settings!$S$7,"Over revision limit",IF(AND(D287="Free video",J287="",E287&lt;&gt;"",TODAY()&gt;WORKDAY(E287,Settings!$S$5)),"LATE – free video promised in 5 working days",IF(AND(E287&lt;&gt;"",E287=TODAY()),"Shooting today",""))))</f>
        <v/>
      </c>
    </row>
    <row r="288" customFormat="false" ht="15" hidden="false" customHeight="false" outlineLevel="0" collapsed="false">
      <c r="A288" s="17"/>
      <c r="B288" s="17"/>
      <c r="C288" s="44" t="str">
        <f aca="false">IF(B288="","",IFERROR(INDEX(Clients!$C$2:$C$501,MATCH(B288,Clients!$A$2:$A$501,0)),"Client ID not found"))</f>
        <v/>
      </c>
      <c r="D288" s="17"/>
      <c r="E288" s="40"/>
      <c r="F288" s="41"/>
      <c r="G288" s="17"/>
      <c r="H288" s="17"/>
      <c r="I288" s="17"/>
      <c r="J288" s="40"/>
      <c r="K288" s="17"/>
      <c r="L288" s="17"/>
      <c r="M288" s="17"/>
      <c r="N288" s="44" t="str">
        <f aca="true">IF(A288="","",IF(N(K288)&gt;Settings!$S$7,"Over revision limit",IF(AND(D288="Free video",J288="",E288&lt;&gt;"",TODAY()&gt;WORKDAY(E288,Settings!$S$5)),"LATE – free video promised in 5 working days",IF(AND(E288&lt;&gt;"",E288=TODAY()),"Shooting today",""))))</f>
        <v/>
      </c>
    </row>
    <row r="289" customFormat="false" ht="15" hidden="false" customHeight="false" outlineLevel="0" collapsed="false">
      <c r="A289" s="17"/>
      <c r="B289" s="17"/>
      <c r="C289" s="44" t="str">
        <f aca="false">IF(B289="","",IFERROR(INDEX(Clients!$C$2:$C$501,MATCH(B289,Clients!$A$2:$A$501,0)),"Client ID not found"))</f>
        <v/>
      </c>
      <c r="D289" s="17"/>
      <c r="E289" s="40"/>
      <c r="F289" s="41"/>
      <c r="G289" s="17"/>
      <c r="H289" s="17"/>
      <c r="I289" s="17"/>
      <c r="J289" s="40"/>
      <c r="K289" s="17"/>
      <c r="L289" s="17"/>
      <c r="M289" s="17"/>
      <c r="N289" s="44" t="str">
        <f aca="true">IF(A289="","",IF(N(K289)&gt;Settings!$S$7,"Over revision limit",IF(AND(D289="Free video",J289="",E289&lt;&gt;"",TODAY()&gt;WORKDAY(E289,Settings!$S$5)),"LATE – free video promised in 5 working days",IF(AND(E289&lt;&gt;"",E289=TODAY()),"Shooting today",""))))</f>
        <v/>
      </c>
    </row>
    <row r="290" customFormat="false" ht="15" hidden="false" customHeight="false" outlineLevel="0" collapsed="false">
      <c r="A290" s="17"/>
      <c r="B290" s="17"/>
      <c r="C290" s="44" t="str">
        <f aca="false">IF(B290="","",IFERROR(INDEX(Clients!$C$2:$C$501,MATCH(B290,Clients!$A$2:$A$501,0)),"Client ID not found"))</f>
        <v/>
      </c>
      <c r="D290" s="17"/>
      <c r="E290" s="40"/>
      <c r="F290" s="41"/>
      <c r="G290" s="17"/>
      <c r="H290" s="17"/>
      <c r="I290" s="17"/>
      <c r="J290" s="40"/>
      <c r="K290" s="17"/>
      <c r="L290" s="17"/>
      <c r="M290" s="17"/>
      <c r="N290" s="44" t="str">
        <f aca="true">IF(A290="","",IF(N(K290)&gt;Settings!$S$7,"Over revision limit",IF(AND(D290="Free video",J290="",E290&lt;&gt;"",TODAY()&gt;WORKDAY(E290,Settings!$S$5)),"LATE – free video promised in 5 working days",IF(AND(E290&lt;&gt;"",E290=TODAY()),"Shooting today",""))))</f>
        <v/>
      </c>
    </row>
    <row r="291" customFormat="false" ht="15" hidden="false" customHeight="false" outlineLevel="0" collapsed="false">
      <c r="A291" s="17"/>
      <c r="B291" s="17"/>
      <c r="C291" s="44" t="str">
        <f aca="false">IF(B291="","",IFERROR(INDEX(Clients!$C$2:$C$501,MATCH(B291,Clients!$A$2:$A$501,0)),"Client ID not found"))</f>
        <v/>
      </c>
      <c r="D291" s="17"/>
      <c r="E291" s="40"/>
      <c r="F291" s="41"/>
      <c r="G291" s="17"/>
      <c r="H291" s="17"/>
      <c r="I291" s="17"/>
      <c r="J291" s="40"/>
      <c r="K291" s="17"/>
      <c r="L291" s="17"/>
      <c r="M291" s="17"/>
      <c r="N291" s="44" t="str">
        <f aca="true">IF(A291="","",IF(N(K291)&gt;Settings!$S$7,"Over revision limit",IF(AND(D291="Free video",J291="",E291&lt;&gt;"",TODAY()&gt;WORKDAY(E291,Settings!$S$5)),"LATE – free video promised in 5 working days",IF(AND(E291&lt;&gt;"",E291=TODAY()),"Shooting today",""))))</f>
        <v/>
      </c>
    </row>
    <row r="292" customFormat="false" ht="15" hidden="false" customHeight="false" outlineLevel="0" collapsed="false">
      <c r="A292" s="17"/>
      <c r="B292" s="17"/>
      <c r="C292" s="44" t="str">
        <f aca="false">IF(B292="","",IFERROR(INDEX(Clients!$C$2:$C$501,MATCH(B292,Clients!$A$2:$A$501,0)),"Client ID not found"))</f>
        <v/>
      </c>
      <c r="D292" s="17"/>
      <c r="E292" s="40"/>
      <c r="F292" s="41"/>
      <c r="G292" s="17"/>
      <c r="H292" s="17"/>
      <c r="I292" s="17"/>
      <c r="J292" s="40"/>
      <c r="K292" s="17"/>
      <c r="L292" s="17"/>
      <c r="M292" s="17"/>
      <c r="N292" s="44" t="str">
        <f aca="true">IF(A292="","",IF(N(K292)&gt;Settings!$S$7,"Over revision limit",IF(AND(D292="Free video",J292="",E292&lt;&gt;"",TODAY()&gt;WORKDAY(E292,Settings!$S$5)),"LATE – free video promised in 5 working days",IF(AND(E292&lt;&gt;"",E292=TODAY()),"Shooting today",""))))</f>
        <v/>
      </c>
    </row>
    <row r="293" customFormat="false" ht="15" hidden="false" customHeight="false" outlineLevel="0" collapsed="false">
      <c r="A293" s="17"/>
      <c r="B293" s="17"/>
      <c r="C293" s="44" t="str">
        <f aca="false">IF(B293="","",IFERROR(INDEX(Clients!$C$2:$C$501,MATCH(B293,Clients!$A$2:$A$501,0)),"Client ID not found"))</f>
        <v/>
      </c>
      <c r="D293" s="17"/>
      <c r="E293" s="40"/>
      <c r="F293" s="41"/>
      <c r="G293" s="17"/>
      <c r="H293" s="17"/>
      <c r="I293" s="17"/>
      <c r="J293" s="40"/>
      <c r="K293" s="17"/>
      <c r="L293" s="17"/>
      <c r="M293" s="17"/>
      <c r="N293" s="44" t="str">
        <f aca="true">IF(A293="","",IF(N(K293)&gt;Settings!$S$7,"Over revision limit",IF(AND(D293="Free video",J293="",E293&lt;&gt;"",TODAY()&gt;WORKDAY(E293,Settings!$S$5)),"LATE – free video promised in 5 working days",IF(AND(E293&lt;&gt;"",E293=TODAY()),"Shooting today",""))))</f>
        <v/>
      </c>
    </row>
    <row r="294" customFormat="false" ht="15" hidden="false" customHeight="false" outlineLevel="0" collapsed="false">
      <c r="A294" s="17"/>
      <c r="B294" s="17"/>
      <c r="C294" s="44" t="str">
        <f aca="false">IF(B294="","",IFERROR(INDEX(Clients!$C$2:$C$501,MATCH(B294,Clients!$A$2:$A$501,0)),"Client ID not found"))</f>
        <v/>
      </c>
      <c r="D294" s="17"/>
      <c r="E294" s="40"/>
      <c r="F294" s="41"/>
      <c r="G294" s="17"/>
      <c r="H294" s="17"/>
      <c r="I294" s="17"/>
      <c r="J294" s="40"/>
      <c r="K294" s="17"/>
      <c r="L294" s="17"/>
      <c r="M294" s="17"/>
      <c r="N294" s="44" t="str">
        <f aca="true">IF(A294="","",IF(N(K294)&gt;Settings!$S$7,"Over revision limit",IF(AND(D294="Free video",J294="",E294&lt;&gt;"",TODAY()&gt;WORKDAY(E294,Settings!$S$5)),"LATE – free video promised in 5 working days",IF(AND(E294&lt;&gt;"",E294=TODAY()),"Shooting today",""))))</f>
        <v/>
      </c>
    </row>
    <row r="295" customFormat="false" ht="15" hidden="false" customHeight="false" outlineLevel="0" collapsed="false">
      <c r="A295" s="17"/>
      <c r="B295" s="17"/>
      <c r="C295" s="44" t="str">
        <f aca="false">IF(B295="","",IFERROR(INDEX(Clients!$C$2:$C$501,MATCH(B295,Clients!$A$2:$A$501,0)),"Client ID not found"))</f>
        <v/>
      </c>
      <c r="D295" s="17"/>
      <c r="E295" s="40"/>
      <c r="F295" s="41"/>
      <c r="G295" s="17"/>
      <c r="H295" s="17"/>
      <c r="I295" s="17"/>
      <c r="J295" s="40"/>
      <c r="K295" s="17"/>
      <c r="L295" s="17"/>
      <c r="M295" s="17"/>
      <c r="N295" s="44" t="str">
        <f aca="true">IF(A295="","",IF(N(K295)&gt;Settings!$S$7,"Over revision limit",IF(AND(D295="Free video",J295="",E295&lt;&gt;"",TODAY()&gt;WORKDAY(E295,Settings!$S$5)),"LATE – free video promised in 5 working days",IF(AND(E295&lt;&gt;"",E295=TODAY()),"Shooting today",""))))</f>
        <v/>
      </c>
    </row>
    <row r="296" customFormat="false" ht="15" hidden="false" customHeight="false" outlineLevel="0" collapsed="false">
      <c r="A296" s="17"/>
      <c r="B296" s="17"/>
      <c r="C296" s="44" t="str">
        <f aca="false">IF(B296="","",IFERROR(INDEX(Clients!$C$2:$C$501,MATCH(B296,Clients!$A$2:$A$501,0)),"Client ID not found"))</f>
        <v/>
      </c>
      <c r="D296" s="17"/>
      <c r="E296" s="40"/>
      <c r="F296" s="41"/>
      <c r="G296" s="17"/>
      <c r="H296" s="17"/>
      <c r="I296" s="17"/>
      <c r="J296" s="40"/>
      <c r="K296" s="17"/>
      <c r="L296" s="17"/>
      <c r="M296" s="17"/>
      <c r="N296" s="44" t="str">
        <f aca="true">IF(A296="","",IF(N(K296)&gt;Settings!$S$7,"Over revision limit",IF(AND(D296="Free video",J296="",E296&lt;&gt;"",TODAY()&gt;WORKDAY(E296,Settings!$S$5)),"LATE – free video promised in 5 working days",IF(AND(E296&lt;&gt;"",E296=TODAY()),"Shooting today",""))))</f>
        <v/>
      </c>
    </row>
    <row r="297" customFormat="false" ht="15" hidden="false" customHeight="false" outlineLevel="0" collapsed="false">
      <c r="A297" s="17"/>
      <c r="B297" s="17"/>
      <c r="C297" s="44" t="str">
        <f aca="false">IF(B297="","",IFERROR(INDEX(Clients!$C$2:$C$501,MATCH(B297,Clients!$A$2:$A$501,0)),"Client ID not found"))</f>
        <v/>
      </c>
      <c r="D297" s="17"/>
      <c r="E297" s="40"/>
      <c r="F297" s="41"/>
      <c r="G297" s="17"/>
      <c r="H297" s="17"/>
      <c r="I297" s="17"/>
      <c r="J297" s="40"/>
      <c r="K297" s="17"/>
      <c r="L297" s="17"/>
      <c r="M297" s="17"/>
      <c r="N297" s="44" t="str">
        <f aca="true">IF(A297="","",IF(N(K297)&gt;Settings!$S$7,"Over revision limit",IF(AND(D297="Free video",J297="",E297&lt;&gt;"",TODAY()&gt;WORKDAY(E297,Settings!$S$5)),"LATE – free video promised in 5 working days",IF(AND(E297&lt;&gt;"",E297=TODAY()),"Shooting today",""))))</f>
        <v/>
      </c>
    </row>
    <row r="298" customFormat="false" ht="15" hidden="false" customHeight="false" outlineLevel="0" collapsed="false">
      <c r="A298" s="17"/>
      <c r="B298" s="17"/>
      <c r="C298" s="44" t="str">
        <f aca="false">IF(B298="","",IFERROR(INDEX(Clients!$C$2:$C$501,MATCH(B298,Clients!$A$2:$A$501,0)),"Client ID not found"))</f>
        <v/>
      </c>
      <c r="D298" s="17"/>
      <c r="E298" s="40"/>
      <c r="F298" s="41"/>
      <c r="G298" s="17"/>
      <c r="H298" s="17"/>
      <c r="I298" s="17"/>
      <c r="J298" s="40"/>
      <c r="K298" s="17"/>
      <c r="L298" s="17"/>
      <c r="M298" s="17"/>
      <c r="N298" s="44" t="str">
        <f aca="true">IF(A298="","",IF(N(K298)&gt;Settings!$S$7,"Over revision limit",IF(AND(D298="Free video",J298="",E298&lt;&gt;"",TODAY()&gt;WORKDAY(E298,Settings!$S$5)),"LATE – free video promised in 5 working days",IF(AND(E298&lt;&gt;"",E298=TODAY()),"Shooting today",""))))</f>
        <v/>
      </c>
    </row>
    <row r="299" customFormat="false" ht="15" hidden="false" customHeight="false" outlineLevel="0" collapsed="false">
      <c r="A299" s="17"/>
      <c r="B299" s="17"/>
      <c r="C299" s="44" t="str">
        <f aca="false">IF(B299="","",IFERROR(INDEX(Clients!$C$2:$C$501,MATCH(B299,Clients!$A$2:$A$501,0)),"Client ID not found"))</f>
        <v/>
      </c>
      <c r="D299" s="17"/>
      <c r="E299" s="40"/>
      <c r="F299" s="41"/>
      <c r="G299" s="17"/>
      <c r="H299" s="17"/>
      <c r="I299" s="17"/>
      <c r="J299" s="40"/>
      <c r="K299" s="17"/>
      <c r="L299" s="17"/>
      <c r="M299" s="17"/>
      <c r="N299" s="44" t="str">
        <f aca="true">IF(A299="","",IF(N(K299)&gt;Settings!$S$7,"Over revision limit",IF(AND(D299="Free video",J299="",E299&lt;&gt;"",TODAY()&gt;WORKDAY(E299,Settings!$S$5)),"LATE – free video promised in 5 working days",IF(AND(E299&lt;&gt;"",E299=TODAY()),"Shooting today",""))))</f>
        <v/>
      </c>
    </row>
    <row r="300" customFormat="false" ht="15" hidden="false" customHeight="false" outlineLevel="0" collapsed="false">
      <c r="A300" s="17"/>
      <c r="B300" s="17"/>
      <c r="C300" s="44" t="str">
        <f aca="false">IF(B300="","",IFERROR(INDEX(Clients!$C$2:$C$501,MATCH(B300,Clients!$A$2:$A$501,0)),"Client ID not found"))</f>
        <v/>
      </c>
      <c r="D300" s="17"/>
      <c r="E300" s="40"/>
      <c r="F300" s="41"/>
      <c r="G300" s="17"/>
      <c r="H300" s="17"/>
      <c r="I300" s="17"/>
      <c r="J300" s="40"/>
      <c r="K300" s="17"/>
      <c r="L300" s="17"/>
      <c r="M300" s="17"/>
      <c r="N300" s="44" t="str">
        <f aca="true">IF(A300="","",IF(N(K300)&gt;Settings!$S$7,"Over revision limit",IF(AND(D300="Free video",J300="",E300&lt;&gt;"",TODAY()&gt;WORKDAY(E300,Settings!$S$5)),"LATE – free video promised in 5 working days",IF(AND(E300&lt;&gt;"",E300=TODAY()),"Shooting today",""))))</f>
        <v/>
      </c>
    </row>
    <row r="301" customFormat="false" ht="15" hidden="false" customHeight="false" outlineLevel="0" collapsed="false">
      <c r="A301" s="17"/>
      <c r="B301" s="17"/>
      <c r="C301" s="44" t="str">
        <f aca="false">IF(B301="","",IFERROR(INDEX(Clients!$C$2:$C$501,MATCH(B301,Clients!$A$2:$A$501,0)),"Client ID not found"))</f>
        <v/>
      </c>
      <c r="D301" s="17"/>
      <c r="E301" s="40"/>
      <c r="F301" s="41"/>
      <c r="G301" s="17"/>
      <c r="H301" s="17"/>
      <c r="I301" s="17"/>
      <c r="J301" s="40"/>
      <c r="K301" s="17"/>
      <c r="L301" s="17"/>
      <c r="M301" s="17"/>
      <c r="N301" s="44" t="str">
        <f aca="true">IF(A301="","",IF(N(K301)&gt;Settings!$S$7,"Over revision limit",IF(AND(D301="Free video",J301="",E301&lt;&gt;"",TODAY()&gt;WORKDAY(E301,Settings!$S$5)),"LATE – free video promised in 5 working days",IF(AND(E301&lt;&gt;"",E301=TODAY()),"Shooting today",""))))</f>
        <v/>
      </c>
    </row>
    <row r="302" customFormat="false" ht="15" hidden="false" customHeight="false" outlineLevel="0" collapsed="false">
      <c r="A302" s="17"/>
      <c r="B302" s="17"/>
      <c r="C302" s="44" t="str">
        <f aca="false">IF(B302="","",IFERROR(INDEX(Clients!$C$2:$C$501,MATCH(B302,Clients!$A$2:$A$501,0)),"Client ID not found"))</f>
        <v/>
      </c>
      <c r="D302" s="17"/>
      <c r="E302" s="40"/>
      <c r="F302" s="41"/>
      <c r="G302" s="17"/>
      <c r="H302" s="17"/>
      <c r="I302" s="17"/>
      <c r="J302" s="40"/>
      <c r="K302" s="17"/>
      <c r="L302" s="17"/>
      <c r="M302" s="17"/>
      <c r="N302" s="44" t="str">
        <f aca="true">IF(A302="","",IF(N(K302)&gt;Settings!$S$7,"Over revision limit",IF(AND(D302="Free video",J302="",E302&lt;&gt;"",TODAY()&gt;WORKDAY(E302,Settings!$S$5)),"LATE – free video promised in 5 working days",IF(AND(E302&lt;&gt;"",E302=TODAY()),"Shooting today",""))))</f>
        <v/>
      </c>
    </row>
    <row r="303" customFormat="false" ht="15" hidden="false" customHeight="false" outlineLevel="0" collapsed="false">
      <c r="A303" s="17"/>
      <c r="B303" s="17"/>
      <c r="C303" s="44" t="str">
        <f aca="false">IF(B303="","",IFERROR(INDEX(Clients!$C$2:$C$501,MATCH(B303,Clients!$A$2:$A$501,0)),"Client ID not found"))</f>
        <v/>
      </c>
      <c r="D303" s="17"/>
      <c r="E303" s="40"/>
      <c r="F303" s="41"/>
      <c r="G303" s="17"/>
      <c r="H303" s="17"/>
      <c r="I303" s="17"/>
      <c r="J303" s="40"/>
      <c r="K303" s="17"/>
      <c r="L303" s="17"/>
      <c r="M303" s="17"/>
      <c r="N303" s="44" t="str">
        <f aca="true">IF(A303="","",IF(N(K303)&gt;Settings!$S$7,"Over revision limit",IF(AND(D303="Free video",J303="",E303&lt;&gt;"",TODAY()&gt;WORKDAY(E303,Settings!$S$5)),"LATE – free video promised in 5 working days",IF(AND(E303&lt;&gt;"",E303=TODAY()),"Shooting today",""))))</f>
        <v/>
      </c>
    </row>
    <row r="304" customFormat="false" ht="15" hidden="false" customHeight="false" outlineLevel="0" collapsed="false">
      <c r="A304" s="17"/>
      <c r="B304" s="17"/>
      <c r="C304" s="44" t="str">
        <f aca="false">IF(B304="","",IFERROR(INDEX(Clients!$C$2:$C$501,MATCH(B304,Clients!$A$2:$A$501,0)),"Client ID not found"))</f>
        <v/>
      </c>
      <c r="D304" s="17"/>
      <c r="E304" s="40"/>
      <c r="F304" s="41"/>
      <c r="G304" s="17"/>
      <c r="H304" s="17"/>
      <c r="I304" s="17"/>
      <c r="J304" s="40"/>
      <c r="K304" s="17"/>
      <c r="L304" s="17"/>
      <c r="M304" s="17"/>
      <c r="N304" s="44" t="str">
        <f aca="true">IF(A304="","",IF(N(K304)&gt;Settings!$S$7,"Over revision limit",IF(AND(D304="Free video",J304="",E304&lt;&gt;"",TODAY()&gt;WORKDAY(E304,Settings!$S$5)),"LATE – free video promised in 5 working days",IF(AND(E304&lt;&gt;"",E304=TODAY()),"Shooting today",""))))</f>
        <v/>
      </c>
    </row>
    <row r="305" customFormat="false" ht="15" hidden="false" customHeight="false" outlineLevel="0" collapsed="false">
      <c r="A305" s="17"/>
      <c r="B305" s="17"/>
      <c r="C305" s="44" t="str">
        <f aca="false">IF(B305="","",IFERROR(INDEX(Clients!$C$2:$C$501,MATCH(B305,Clients!$A$2:$A$501,0)),"Client ID not found"))</f>
        <v/>
      </c>
      <c r="D305" s="17"/>
      <c r="E305" s="40"/>
      <c r="F305" s="41"/>
      <c r="G305" s="17"/>
      <c r="H305" s="17"/>
      <c r="I305" s="17"/>
      <c r="J305" s="40"/>
      <c r="K305" s="17"/>
      <c r="L305" s="17"/>
      <c r="M305" s="17"/>
      <c r="N305" s="44" t="str">
        <f aca="true">IF(A305="","",IF(N(K305)&gt;Settings!$S$7,"Over revision limit",IF(AND(D305="Free video",J305="",E305&lt;&gt;"",TODAY()&gt;WORKDAY(E305,Settings!$S$5)),"LATE – free video promised in 5 working days",IF(AND(E305&lt;&gt;"",E305=TODAY()),"Shooting today",""))))</f>
        <v/>
      </c>
    </row>
    <row r="306" customFormat="false" ht="15" hidden="false" customHeight="false" outlineLevel="0" collapsed="false">
      <c r="A306" s="17"/>
      <c r="B306" s="17"/>
      <c r="C306" s="44" t="str">
        <f aca="false">IF(B306="","",IFERROR(INDEX(Clients!$C$2:$C$501,MATCH(B306,Clients!$A$2:$A$501,0)),"Client ID not found"))</f>
        <v/>
      </c>
      <c r="D306" s="17"/>
      <c r="E306" s="40"/>
      <c r="F306" s="41"/>
      <c r="G306" s="17"/>
      <c r="H306" s="17"/>
      <c r="I306" s="17"/>
      <c r="J306" s="40"/>
      <c r="K306" s="17"/>
      <c r="L306" s="17"/>
      <c r="M306" s="17"/>
      <c r="N306" s="44" t="str">
        <f aca="true">IF(A306="","",IF(N(K306)&gt;Settings!$S$7,"Over revision limit",IF(AND(D306="Free video",J306="",E306&lt;&gt;"",TODAY()&gt;WORKDAY(E306,Settings!$S$5)),"LATE – free video promised in 5 working days",IF(AND(E306&lt;&gt;"",E306=TODAY()),"Shooting today",""))))</f>
        <v/>
      </c>
    </row>
    <row r="307" customFormat="false" ht="15" hidden="false" customHeight="false" outlineLevel="0" collapsed="false">
      <c r="A307" s="17"/>
      <c r="B307" s="17"/>
      <c r="C307" s="44" t="str">
        <f aca="false">IF(B307="","",IFERROR(INDEX(Clients!$C$2:$C$501,MATCH(B307,Clients!$A$2:$A$501,0)),"Client ID not found"))</f>
        <v/>
      </c>
      <c r="D307" s="17"/>
      <c r="E307" s="40"/>
      <c r="F307" s="41"/>
      <c r="G307" s="17"/>
      <c r="H307" s="17"/>
      <c r="I307" s="17"/>
      <c r="J307" s="40"/>
      <c r="K307" s="17"/>
      <c r="L307" s="17"/>
      <c r="M307" s="17"/>
      <c r="N307" s="44" t="str">
        <f aca="true">IF(A307="","",IF(N(K307)&gt;Settings!$S$7,"Over revision limit",IF(AND(D307="Free video",J307="",E307&lt;&gt;"",TODAY()&gt;WORKDAY(E307,Settings!$S$5)),"LATE – free video promised in 5 working days",IF(AND(E307&lt;&gt;"",E307=TODAY()),"Shooting today",""))))</f>
        <v/>
      </c>
    </row>
    <row r="308" customFormat="false" ht="15" hidden="false" customHeight="false" outlineLevel="0" collapsed="false">
      <c r="A308" s="17"/>
      <c r="B308" s="17"/>
      <c r="C308" s="44" t="str">
        <f aca="false">IF(B308="","",IFERROR(INDEX(Clients!$C$2:$C$501,MATCH(B308,Clients!$A$2:$A$501,0)),"Client ID not found"))</f>
        <v/>
      </c>
      <c r="D308" s="17"/>
      <c r="E308" s="40"/>
      <c r="F308" s="41"/>
      <c r="G308" s="17"/>
      <c r="H308" s="17"/>
      <c r="I308" s="17"/>
      <c r="J308" s="40"/>
      <c r="K308" s="17"/>
      <c r="L308" s="17"/>
      <c r="M308" s="17"/>
      <c r="N308" s="44" t="str">
        <f aca="true">IF(A308="","",IF(N(K308)&gt;Settings!$S$7,"Over revision limit",IF(AND(D308="Free video",J308="",E308&lt;&gt;"",TODAY()&gt;WORKDAY(E308,Settings!$S$5)),"LATE – free video promised in 5 working days",IF(AND(E308&lt;&gt;"",E308=TODAY()),"Shooting today",""))))</f>
        <v/>
      </c>
    </row>
    <row r="309" customFormat="false" ht="15" hidden="false" customHeight="false" outlineLevel="0" collapsed="false">
      <c r="A309" s="17"/>
      <c r="B309" s="17"/>
      <c r="C309" s="44" t="str">
        <f aca="false">IF(B309="","",IFERROR(INDEX(Clients!$C$2:$C$501,MATCH(B309,Clients!$A$2:$A$501,0)),"Client ID not found"))</f>
        <v/>
      </c>
      <c r="D309" s="17"/>
      <c r="E309" s="40"/>
      <c r="F309" s="41"/>
      <c r="G309" s="17"/>
      <c r="H309" s="17"/>
      <c r="I309" s="17"/>
      <c r="J309" s="40"/>
      <c r="K309" s="17"/>
      <c r="L309" s="17"/>
      <c r="M309" s="17"/>
      <c r="N309" s="44" t="str">
        <f aca="true">IF(A309="","",IF(N(K309)&gt;Settings!$S$7,"Over revision limit",IF(AND(D309="Free video",J309="",E309&lt;&gt;"",TODAY()&gt;WORKDAY(E309,Settings!$S$5)),"LATE – free video promised in 5 working days",IF(AND(E309&lt;&gt;"",E309=TODAY()),"Shooting today",""))))</f>
        <v/>
      </c>
    </row>
    <row r="310" customFormat="false" ht="15" hidden="false" customHeight="false" outlineLevel="0" collapsed="false">
      <c r="A310" s="17"/>
      <c r="B310" s="17"/>
      <c r="C310" s="44" t="str">
        <f aca="false">IF(B310="","",IFERROR(INDEX(Clients!$C$2:$C$501,MATCH(B310,Clients!$A$2:$A$501,0)),"Client ID not found"))</f>
        <v/>
      </c>
      <c r="D310" s="17"/>
      <c r="E310" s="40"/>
      <c r="F310" s="41"/>
      <c r="G310" s="17"/>
      <c r="H310" s="17"/>
      <c r="I310" s="17"/>
      <c r="J310" s="40"/>
      <c r="K310" s="17"/>
      <c r="L310" s="17"/>
      <c r="M310" s="17"/>
      <c r="N310" s="44" t="str">
        <f aca="true">IF(A310="","",IF(N(K310)&gt;Settings!$S$7,"Over revision limit",IF(AND(D310="Free video",J310="",E310&lt;&gt;"",TODAY()&gt;WORKDAY(E310,Settings!$S$5)),"LATE – free video promised in 5 working days",IF(AND(E310&lt;&gt;"",E310=TODAY()),"Shooting today",""))))</f>
        <v/>
      </c>
    </row>
    <row r="311" customFormat="false" ht="15" hidden="false" customHeight="false" outlineLevel="0" collapsed="false">
      <c r="A311" s="17"/>
      <c r="B311" s="17"/>
      <c r="C311" s="44" t="str">
        <f aca="false">IF(B311="","",IFERROR(INDEX(Clients!$C$2:$C$501,MATCH(B311,Clients!$A$2:$A$501,0)),"Client ID not found"))</f>
        <v/>
      </c>
      <c r="D311" s="17"/>
      <c r="E311" s="40"/>
      <c r="F311" s="41"/>
      <c r="G311" s="17"/>
      <c r="H311" s="17"/>
      <c r="I311" s="17"/>
      <c r="J311" s="40"/>
      <c r="K311" s="17"/>
      <c r="L311" s="17"/>
      <c r="M311" s="17"/>
      <c r="N311" s="44" t="str">
        <f aca="true">IF(A311="","",IF(N(K311)&gt;Settings!$S$7,"Over revision limit",IF(AND(D311="Free video",J311="",E311&lt;&gt;"",TODAY()&gt;WORKDAY(E311,Settings!$S$5)),"LATE – free video promised in 5 working days",IF(AND(E311&lt;&gt;"",E311=TODAY()),"Shooting today",""))))</f>
        <v/>
      </c>
    </row>
    <row r="312" customFormat="false" ht="15" hidden="false" customHeight="false" outlineLevel="0" collapsed="false">
      <c r="A312" s="17"/>
      <c r="B312" s="17"/>
      <c r="C312" s="44" t="str">
        <f aca="false">IF(B312="","",IFERROR(INDEX(Clients!$C$2:$C$501,MATCH(B312,Clients!$A$2:$A$501,0)),"Client ID not found"))</f>
        <v/>
      </c>
      <c r="D312" s="17"/>
      <c r="E312" s="40"/>
      <c r="F312" s="41"/>
      <c r="G312" s="17"/>
      <c r="H312" s="17"/>
      <c r="I312" s="17"/>
      <c r="J312" s="40"/>
      <c r="K312" s="17"/>
      <c r="L312" s="17"/>
      <c r="M312" s="17"/>
      <c r="N312" s="44" t="str">
        <f aca="true">IF(A312="","",IF(N(K312)&gt;Settings!$S$7,"Over revision limit",IF(AND(D312="Free video",J312="",E312&lt;&gt;"",TODAY()&gt;WORKDAY(E312,Settings!$S$5)),"LATE – free video promised in 5 working days",IF(AND(E312&lt;&gt;"",E312=TODAY()),"Shooting today",""))))</f>
        <v/>
      </c>
    </row>
    <row r="313" customFormat="false" ht="15" hidden="false" customHeight="false" outlineLevel="0" collapsed="false">
      <c r="A313" s="17"/>
      <c r="B313" s="17"/>
      <c r="C313" s="44" t="str">
        <f aca="false">IF(B313="","",IFERROR(INDEX(Clients!$C$2:$C$501,MATCH(B313,Clients!$A$2:$A$501,0)),"Client ID not found"))</f>
        <v/>
      </c>
      <c r="D313" s="17"/>
      <c r="E313" s="40"/>
      <c r="F313" s="41"/>
      <c r="G313" s="17"/>
      <c r="H313" s="17"/>
      <c r="I313" s="17"/>
      <c r="J313" s="40"/>
      <c r="K313" s="17"/>
      <c r="L313" s="17"/>
      <c r="M313" s="17"/>
      <c r="N313" s="44" t="str">
        <f aca="true">IF(A313="","",IF(N(K313)&gt;Settings!$S$7,"Over revision limit",IF(AND(D313="Free video",J313="",E313&lt;&gt;"",TODAY()&gt;WORKDAY(E313,Settings!$S$5)),"LATE – free video promised in 5 working days",IF(AND(E313&lt;&gt;"",E313=TODAY()),"Shooting today",""))))</f>
        <v/>
      </c>
    </row>
    <row r="314" customFormat="false" ht="15" hidden="false" customHeight="false" outlineLevel="0" collapsed="false">
      <c r="A314" s="17"/>
      <c r="B314" s="17"/>
      <c r="C314" s="44" t="str">
        <f aca="false">IF(B314="","",IFERROR(INDEX(Clients!$C$2:$C$501,MATCH(B314,Clients!$A$2:$A$501,0)),"Client ID not found"))</f>
        <v/>
      </c>
      <c r="D314" s="17"/>
      <c r="E314" s="40"/>
      <c r="F314" s="41"/>
      <c r="G314" s="17"/>
      <c r="H314" s="17"/>
      <c r="I314" s="17"/>
      <c r="J314" s="40"/>
      <c r="K314" s="17"/>
      <c r="L314" s="17"/>
      <c r="M314" s="17"/>
      <c r="N314" s="44" t="str">
        <f aca="true">IF(A314="","",IF(N(K314)&gt;Settings!$S$7,"Over revision limit",IF(AND(D314="Free video",J314="",E314&lt;&gt;"",TODAY()&gt;WORKDAY(E314,Settings!$S$5)),"LATE – free video promised in 5 working days",IF(AND(E314&lt;&gt;"",E314=TODAY()),"Shooting today",""))))</f>
        <v/>
      </c>
    </row>
    <row r="315" customFormat="false" ht="15" hidden="false" customHeight="false" outlineLevel="0" collapsed="false">
      <c r="A315" s="17"/>
      <c r="B315" s="17"/>
      <c r="C315" s="44" t="str">
        <f aca="false">IF(B315="","",IFERROR(INDEX(Clients!$C$2:$C$501,MATCH(B315,Clients!$A$2:$A$501,0)),"Client ID not found"))</f>
        <v/>
      </c>
      <c r="D315" s="17"/>
      <c r="E315" s="40"/>
      <c r="F315" s="41"/>
      <c r="G315" s="17"/>
      <c r="H315" s="17"/>
      <c r="I315" s="17"/>
      <c r="J315" s="40"/>
      <c r="K315" s="17"/>
      <c r="L315" s="17"/>
      <c r="M315" s="17"/>
      <c r="N315" s="44" t="str">
        <f aca="true">IF(A315="","",IF(N(K315)&gt;Settings!$S$7,"Over revision limit",IF(AND(D315="Free video",J315="",E315&lt;&gt;"",TODAY()&gt;WORKDAY(E315,Settings!$S$5)),"LATE – free video promised in 5 working days",IF(AND(E315&lt;&gt;"",E315=TODAY()),"Shooting today",""))))</f>
        <v/>
      </c>
    </row>
    <row r="316" customFormat="false" ht="15" hidden="false" customHeight="false" outlineLevel="0" collapsed="false">
      <c r="A316" s="17"/>
      <c r="B316" s="17"/>
      <c r="C316" s="44" t="str">
        <f aca="false">IF(B316="","",IFERROR(INDEX(Clients!$C$2:$C$501,MATCH(B316,Clients!$A$2:$A$501,0)),"Client ID not found"))</f>
        <v/>
      </c>
      <c r="D316" s="17"/>
      <c r="E316" s="40"/>
      <c r="F316" s="41"/>
      <c r="G316" s="17"/>
      <c r="H316" s="17"/>
      <c r="I316" s="17"/>
      <c r="J316" s="40"/>
      <c r="K316" s="17"/>
      <c r="L316" s="17"/>
      <c r="M316" s="17"/>
      <c r="N316" s="44" t="str">
        <f aca="true">IF(A316="","",IF(N(K316)&gt;Settings!$S$7,"Over revision limit",IF(AND(D316="Free video",J316="",E316&lt;&gt;"",TODAY()&gt;WORKDAY(E316,Settings!$S$5)),"LATE – free video promised in 5 working days",IF(AND(E316&lt;&gt;"",E316=TODAY()),"Shooting today",""))))</f>
        <v/>
      </c>
    </row>
    <row r="317" customFormat="false" ht="15" hidden="false" customHeight="false" outlineLevel="0" collapsed="false">
      <c r="A317" s="17"/>
      <c r="B317" s="17"/>
      <c r="C317" s="44" t="str">
        <f aca="false">IF(B317="","",IFERROR(INDEX(Clients!$C$2:$C$501,MATCH(B317,Clients!$A$2:$A$501,0)),"Client ID not found"))</f>
        <v/>
      </c>
      <c r="D317" s="17"/>
      <c r="E317" s="40"/>
      <c r="F317" s="41"/>
      <c r="G317" s="17"/>
      <c r="H317" s="17"/>
      <c r="I317" s="17"/>
      <c r="J317" s="40"/>
      <c r="K317" s="17"/>
      <c r="L317" s="17"/>
      <c r="M317" s="17"/>
      <c r="N317" s="44" t="str">
        <f aca="true">IF(A317="","",IF(N(K317)&gt;Settings!$S$7,"Over revision limit",IF(AND(D317="Free video",J317="",E317&lt;&gt;"",TODAY()&gt;WORKDAY(E317,Settings!$S$5)),"LATE – free video promised in 5 working days",IF(AND(E317&lt;&gt;"",E317=TODAY()),"Shooting today",""))))</f>
        <v/>
      </c>
    </row>
    <row r="318" customFormat="false" ht="15" hidden="false" customHeight="false" outlineLevel="0" collapsed="false">
      <c r="A318" s="17"/>
      <c r="B318" s="17"/>
      <c r="C318" s="44" t="str">
        <f aca="false">IF(B318="","",IFERROR(INDEX(Clients!$C$2:$C$501,MATCH(B318,Clients!$A$2:$A$501,0)),"Client ID not found"))</f>
        <v/>
      </c>
      <c r="D318" s="17"/>
      <c r="E318" s="40"/>
      <c r="F318" s="41"/>
      <c r="G318" s="17"/>
      <c r="H318" s="17"/>
      <c r="I318" s="17"/>
      <c r="J318" s="40"/>
      <c r="K318" s="17"/>
      <c r="L318" s="17"/>
      <c r="M318" s="17"/>
      <c r="N318" s="44" t="str">
        <f aca="true">IF(A318="","",IF(N(K318)&gt;Settings!$S$7,"Over revision limit",IF(AND(D318="Free video",J318="",E318&lt;&gt;"",TODAY()&gt;WORKDAY(E318,Settings!$S$5)),"LATE – free video promised in 5 working days",IF(AND(E318&lt;&gt;"",E318=TODAY()),"Shooting today",""))))</f>
        <v/>
      </c>
    </row>
    <row r="319" customFormat="false" ht="15" hidden="false" customHeight="false" outlineLevel="0" collapsed="false">
      <c r="A319" s="17"/>
      <c r="B319" s="17"/>
      <c r="C319" s="44" t="str">
        <f aca="false">IF(B319="","",IFERROR(INDEX(Clients!$C$2:$C$501,MATCH(B319,Clients!$A$2:$A$501,0)),"Client ID not found"))</f>
        <v/>
      </c>
      <c r="D319" s="17"/>
      <c r="E319" s="40"/>
      <c r="F319" s="41"/>
      <c r="G319" s="17"/>
      <c r="H319" s="17"/>
      <c r="I319" s="17"/>
      <c r="J319" s="40"/>
      <c r="K319" s="17"/>
      <c r="L319" s="17"/>
      <c r="M319" s="17"/>
      <c r="N319" s="44" t="str">
        <f aca="true">IF(A319="","",IF(N(K319)&gt;Settings!$S$7,"Over revision limit",IF(AND(D319="Free video",J319="",E319&lt;&gt;"",TODAY()&gt;WORKDAY(E319,Settings!$S$5)),"LATE – free video promised in 5 working days",IF(AND(E319&lt;&gt;"",E319=TODAY()),"Shooting today",""))))</f>
        <v/>
      </c>
    </row>
    <row r="320" customFormat="false" ht="15" hidden="false" customHeight="false" outlineLevel="0" collapsed="false">
      <c r="A320" s="17"/>
      <c r="B320" s="17"/>
      <c r="C320" s="44" t="str">
        <f aca="false">IF(B320="","",IFERROR(INDEX(Clients!$C$2:$C$501,MATCH(B320,Clients!$A$2:$A$501,0)),"Client ID not found"))</f>
        <v/>
      </c>
      <c r="D320" s="17"/>
      <c r="E320" s="40"/>
      <c r="F320" s="41"/>
      <c r="G320" s="17"/>
      <c r="H320" s="17"/>
      <c r="I320" s="17"/>
      <c r="J320" s="40"/>
      <c r="K320" s="17"/>
      <c r="L320" s="17"/>
      <c r="M320" s="17"/>
      <c r="N320" s="44" t="str">
        <f aca="true">IF(A320="","",IF(N(K320)&gt;Settings!$S$7,"Over revision limit",IF(AND(D320="Free video",J320="",E320&lt;&gt;"",TODAY()&gt;WORKDAY(E320,Settings!$S$5)),"LATE – free video promised in 5 working days",IF(AND(E320&lt;&gt;"",E320=TODAY()),"Shooting today",""))))</f>
        <v/>
      </c>
    </row>
    <row r="321" customFormat="false" ht="15" hidden="false" customHeight="false" outlineLevel="0" collapsed="false">
      <c r="A321" s="17"/>
      <c r="B321" s="17"/>
      <c r="C321" s="44" t="str">
        <f aca="false">IF(B321="","",IFERROR(INDEX(Clients!$C$2:$C$501,MATCH(B321,Clients!$A$2:$A$501,0)),"Client ID not found"))</f>
        <v/>
      </c>
      <c r="D321" s="17"/>
      <c r="E321" s="40"/>
      <c r="F321" s="41"/>
      <c r="G321" s="17"/>
      <c r="H321" s="17"/>
      <c r="I321" s="17"/>
      <c r="J321" s="40"/>
      <c r="K321" s="17"/>
      <c r="L321" s="17"/>
      <c r="M321" s="17"/>
      <c r="N321" s="44" t="str">
        <f aca="true">IF(A321="","",IF(N(K321)&gt;Settings!$S$7,"Over revision limit",IF(AND(D321="Free video",J321="",E321&lt;&gt;"",TODAY()&gt;WORKDAY(E321,Settings!$S$5)),"LATE – free video promised in 5 working days",IF(AND(E321&lt;&gt;"",E321=TODAY()),"Shooting today",""))))</f>
        <v/>
      </c>
    </row>
    <row r="322" customFormat="false" ht="15" hidden="false" customHeight="false" outlineLevel="0" collapsed="false">
      <c r="A322" s="17"/>
      <c r="B322" s="17"/>
      <c r="C322" s="44" t="str">
        <f aca="false">IF(B322="","",IFERROR(INDEX(Clients!$C$2:$C$501,MATCH(B322,Clients!$A$2:$A$501,0)),"Client ID not found"))</f>
        <v/>
      </c>
      <c r="D322" s="17"/>
      <c r="E322" s="40"/>
      <c r="F322" s="41"/>
      <c r="G322" s="17"/>
      <c r="H322" s="17"/>
      <c r="I322" s="17"/>
      <c r="J322" s="40"/>
      <c r="K322" s="17"/>
      <c r="L322" s="17"/>
      <c r="M322" s="17"/>
      <c r="N322" s="44" t="str">
        <f aca="true">IF(A322="","",IF(N(K322)&gt;Settings!$S$7,"Over revision limit",IF(AND(D322="Free video",J322="",E322&lt;&gt;"",TODAY()&gt;WORKDAY(E322,Settings!$S$5)),"LATE – free video promised in 5 working days",IF(AND(E322&lt;&gt;"",E322=TODAY()),"Shooting today",""))))</f>
        <v/>
      </c>
    </row>
    <row r="323" customFormat="false" ht="15" hidden="false" customHeight="false" outlineLevel="0" collapsed="false">
      <c r="A323" s="17"/>
      <c r="B323" s="17"/>
      <c r="C323" s="44" t="str">
        <f aca="false">IF(B323="","",IFERROR(INDEX(Clients!$C$2:$C$501,MATCH(B323,Clients!$A$2:$A$501,0)),"Client ID not found"))</f>
        <v/>
      </c>
      <c r="D323" s="17"/>
      <c r="E323" s="40"/>
      <c r="F323" s="41"/>
      <c r="G323" s="17"/>
      <c r="H323" s="17"/>
      <c r="I323" s="17"/>
      <c r="J323" s="40"/>
      <c r="K323" s="17"/>
      <c r="L323" s="17"/>
      <c r="M323" s="17"/>
      <c r="N323" s="44" t="str">
        <f aca="true">IF(A323="","",IF(N(K323)&gt;Settings!$S$7,"Over revision limit",IF(AND(D323="Free video",J323="",E323&lt;&gt;"",TODAY()&gt;WORKDAY(E323,Settings!$S$5)),"LATE – free video promised in 5 working days",IF(AND(E323&lt;&gt;"",E323=TODAY()),"Shooting today",""))))</f>
        <v/>
      </c>
    </row>
    <row r="324" customFormat="false" ht="15" hidden="false" customHeight="false" outlineLevel="0" collapsed="false">
      <c r="A324" s="17"/>
      <c r="B324" s="17"/>
      <c r="C324" s="44" t="str">
        <f aca="false">IF(B324="","",IFERROR(INDEX(Clients!$C$2:$C$501,MATCH(B324,Clients!$A$2:$A$501,0)),"Client ID not found"))</f>
        <v/>
      </c>
      <c r="D324" s="17"/>
      <c r="E324" s="40"/>
      <c r="F324" s="41"/>
      <c r="G324" s="17"/>
      <c r="H324" s="17"/>
      <c r="I324" s="17"/>
      <c r="J324" s="40"/>
      <c r="K324" s="17"/>
      <c r="L324" s="17"/>
      <c r="M324" s="17"/>
      <c r="N324" s="44" t="str">
        <f aca="true">IF(A324="","",IF(N(K324)&gt;Settings!$S$7,"Over revision limit",IF(AND(D324="Free video",J324="",E324&lt;&gt;"",TODAY()&gt;WORKDAY(E324,Settings!$S$5)),"LATE – free video promised in 5 working days",IF(AND(E324&lt;&gt;"",E324=TODAY()),"Shooting today",""))))</f>
        <v/>
      </c>
    </row>
    <row r="325" customFormat="false" ht="15" hidden="false" customHeight="false" outlineLevel="0" collapsed="false">
      <c r="A325" s="17"/>
      <c r="B325" s="17"/>
      <c r="C325" s="44" t="str">
        <f aca="false">IF(B325="","",IFERROR(INDEX(Clients!$C$2:$C$501,MATCH(B325,Clients!$A$2:$A$501,0)),"Client ID not found"))</f>
        <v/>
      </c>
      <c r="D325" s="17"/>
      <c r="E325" s="40"/>
      <c r="F325" s="41"/>
      <c r="G325" s="17"/>
      <c r="H325" s="17"/>
      <c r="I325" s="17"/>
      <c r="J325" s="40"/>
      <c r="K325" s="17"/>
      <c r="L325" s="17"/>
      <c r="M325" s="17"/>
      <c r="N325" s="44" t="str">
        <f aca="true">IF(A325="","",IF(N(K325)&gt;Settings!$S$7,"Over revision limit",IF(AND(D325="Free video",J325="",E325&lt;&gt;"",TODAY()&gt;WORKDAY(E325,Settings!$S$5)),"LATE – free video promised in 5 working days",IF(AND(E325&lt;&gt;"",E325=TODAY()),"Shooting today",""))))</f>
        <v/>
      </c>
    </row>
    <row r="326" customFormat="false" ht="15" hidden="false" customHeight="false" outlineLevel="0" collapsed="false">
      <c r="A326" s="17"/>
      <c r="B326" s="17"/>
      <c r="C326" s="44" t="str">
        <f aca="false">IF(B326="","",IFERROR(INDEX(Clients!$C$2:$C$501,MATCH(B326,Clients!$A$2:$A$501,0)),"Client ID not found"))</f>
        <v/>
      </c>
      <c r="D326" s="17"/>
      <c r="E326" s="40"/>
      <c r="F326" s="41"/>
      <c r="G326" s="17"/>
      <c r="H326" s="17"/>
      <c r="I326" s="17"/>
      <c r="J326" s="40"/>
      <c r="K326" s="17"/>
      <c r="L326" s="17"/>
      <c r="M326" s="17"/>
      <c r="N326" s="44" t="str">
        <f aca="true">IF(A326="","",IF(N(K326)&gt;Settings!$S$7,"Over revision limit",IF(AND(D326="Free video",J326="",E326&lt;&gt;"",TODAY()&gt;WORKDAY(E326,Settings!$S$5)),"LATE – free video promised in 5 working days",IF(AND(E326&lt;&gt;"",E326=TODAY()),"Shooting today",""))))</f>
        <v/>
      </c>
    </row>
    <row r="327" customFormat="false" ht="15" hidden="false" customHeight="false" outlineLevel="0" collapsed="false">
      <c r="A327" s="17"/>
      <c r="B327" s="17"/>
      <c r="C327" s="44" t="str">
        <f aca="false">IF(B327="","",IFERROR(INDEX(Clients!$C$2:$C$501,MATCH(B327,Clients!$A$2:$A$501,0)),"Client ID not found"))</f>
        <v/>
      </c>
      <c r="D327" s="17"/>
      <c r="E327" s="40"/>
      <c r="F327" s="41"/>
      <c r="G327" s="17"/>
      <c r="H327" s="17"/>
      <c r="I327" s="17"/>
      <c r="J327" s="40"/>
      <c r="K327" s="17"/>
      <c r="L327" s="17"/>
      <c r="M327" s="17"/>
      <c r="N327" s="44" t="str">
        <f aca="true">IF(A327="","",IF(N(K327)&gt;Settings!$S$7,"Over revision limit",IF(AND(D327="Free video",J327="",E327&lt;&gt;"",TODAY()&gt;WORKDAY(E327,Settings!$S$5)),"LATE – free video promised in 5 working days",IF(AND(E327&lt;&gt;"",E327=TODAY()),"Shooting today",""))))</f>
        <v/>
      </c>
    </row>
    <row r="328" customFormat="false" ht="15" hidden="false" customHeight="false" outlineLevel="0" collapsed="false">
      <c r="A328" s="17"/>
      <c r="B328" s="17"/>
      <c r="C328" s="44" t="str">
        <f aca="false">IF(B328="","",IFERROR(INDEX(Clients!$C$2:$C$501,MATCH(B328,Clients!$A$2:$A$501,0)),"Client ID not found"))</f>
        <v/>
      </c>
      <c r="D328" s="17"/>
      <c r="E328" s="40"/>
      <c r="F328" s="41"/>
      <c r="G328" s="17"/>
      <c r="H328" s="17"/>
      <c r="I328" s="17"/>
      <c r="J328" s="40"/>
      <c r="K328" s="17"/>
      <c r="L328" s="17"/>
      <c r="M328" s="17"/>
      <c r="N328" s="44" t="str">
        <f aca="true">IF(A328="","",IF(N(K328)&gt;Settings!$S$7,"Over revision limit",IF(AND(D328="Free video",J328="",E328&lt;&gt;"",TODAY()&gt;WORKDAY(E328,Settings!$S$5)),"LATE – free video promised in 5 working days",IF(AND(E328&lt;&gt;"",E328=TODAY()),"Shooting today",""))))</f>
        <v/>
      </c>
    </row>
    <row r="329" customFormat="false" ht="15" hidden="false" customHeight="false" outlineLevel="0" collapsed="false">
      <c r="A329" s="17"/>
      <c r="B329" s="17"/>
      <c r="C329" s="44" t="str">
        <f aca="false">IF(B329="","",IFERROR(INDEX(Clients!$C$2:$C$501,MATCH(B329,Clients!$A$2:$A$501,0)),"Client ID not found"))</f>
        <v/>
      </c>
      <c r="D329" s="17"/>
      <c r="E329" s="40"/>
      <c r="F329" s="41"/>
      <c r="G329" s="17"/>
      <c r="H329" s="17"/>
      <c r="I329" s="17"/>
      <c r="J329" s="40"/>
      <c r="K329" s="17"/>
      <c r="L329" s="17"/>
      <c r="M329" s="17"/>
      <c r="N329" s="44" t="str">
        <f aca="true">IF(A329="","",IF(N(K329)&gt;Settings!$S$7,"Over revision limit",IF(AND(D329="Free video",J329="",E329&lt;&gt;"",TODAY()&gt;WORKDAY(E329,Settings!$S$5)),"LATE – free video promised in 5 working days",IF(AND(E329&lt;&gt;"",E329=TODAY()),"Shooting today",""))))</f>
        <v/>
      </c>
    </row>
    <row r="330" customFormat="false" ht="15" hidden="false" customHeight="false" outlineLevel="0" collapsed="false">
      <c r="A330" s="17"/>
      <c r="B330" s="17"/>
      <c r="C330" s="44" t="str">
        <f aca="false">IF(B330="","",IFERROR(INDEX(Clients!$C$2:$C$501,MATCH(B330,Clients!$A$2:$A$501,0)),"Client ID not found"))</f>
        <v/>
      </c>
      <c r="D330" s="17"/>
      <c r="E330" s="40"/>
      <c r="F330" s="41"/>
      <c r="G330" s="17"/>
      <c r="H330" s="17"/>
      <c r="I330" s="17"/>
      <c r="J330" s="40"/>
      <c r="K330" s="17"/>
      <c r="L330" s="17"/>
      <c r="M330" s="17"/>
      <c r="N330" s="44" t="str">
        <f aca="true">IF(A330="","",IF(N(K330)&gt;Settings!$S$7,"Over revision limit",IF(AND(D330="Free video",J330="",E330&lt;&gt;"",TODAY()&gt;WORKDAY(E330,Settings!$S$5)),"LATE – free video promised in 5 working days",IF(AND(E330&lt;&gt;"",E330=TODAY()),"Shooting today",""))))</f>
        <v/>
      </c>
    </row>
    <row r="331" customFormat="false" ht="15" hidden="false" customHeight="false" outlineLevel="0" collapsed="false">
      <c r="A331" s="17"/>
      <c r="B331" s="17"/>
      <c r="C331" s="44" t="str">
        <f aca="false">IF(B331="","",IFERROR(INDEX(Clients!$C$2:$C$501,MATCH(B331,Clients!$A$2:$A$501,0)),"Client ID not found"))</f>
        <v/>
      </c>
      <c r="D331" s="17"/>
      <c r="E331" s="40"/>
      <c r="F331" s="41"/>
      <c r="G331" s="17"/>
      <c r="H331" s="17"/>
      <c r="I331" s="17"/>
      <c r="J331" s="40"/>
      <c r="K331" s="17"/>
      <c r="L331" s="17"/>
      <c r="M331" s="17"/>
      <c r="N331" s="44" t="str">
        <f aca="true">IF(A331="","",IF(N(K331)&gt;Settings!$S$7,"Over revision limit",IF(AND(D331="Free video",J331="",E331&lt;&gt;"",TODAY()&gt;WORKDAY(E331,Settings!$S$5)),"LATE – free video promised in 5 working days",IF(AND(E331&lt;&gt;"",E331=TODAY()),"Shooting today",""))))</f>
        <v/>
      </c>
    </row>
    <row r="332" customFormat="false" ht="15" hidden="false" customHeight="false" outlineLevel="0" collapsed="false">
      <c r="A332" s="17"/>
      <c r="B332" s="17"/>
      <c r="C332" s="44" t="str">
        <f aca="false">IF(B332="","",IFERROR(INDEX(Clients!$C$2:$C$501,MATCH(B332,Clients!$A$2:$A$501,0)),"Client ID not found"))</f>
        <v/>
      </c>
      <c r="D332" s="17"/>
      <c r="E332" s="40"/>
      <c r="F332" s="41"/>
      <c r="G332" s="17"/>
      <c r="H332" s="17"/>
      <c r="I332" s="17"/>
      <c r="J332" s="40"/>
      <c r="K332" s="17"/>
      <c r="L332" s="17"/>
      <c r="M332" s="17"/>
      <c r="N332" s="44" t="str">
        <f aca="true">IF(A332="","",IF(N(K332)&gt;Settings!$S$7,"Over revision limit",IF(AND(D332="Free video",J332="",E332&lt;&gt;"",TODAY()&gt;WORKDAY(E332,Settings!$S$5)),"LATE – free video promised in 5 working days",IF(AND(E332&lt;&gt;"",E332=TODAY()),"Shooting today",""))))</f>
        <v/>
      </c>
    </row>
    <row r="333" customFormat="false" ht="15" hidden="false" customHeight="false" outlineLevel="0" collapsed="false">
      <c r="A333" s="17"/>
      <c r="B333" s="17"/>
      <c r="C333" s="44" t="str">
        <f aca="false">IF(B333="","",IFERROR(INDEX(Clients!$C$2:$C$501,MATCH(B333,Clients!$A$2:$A$501,0)),"Client ID not found"))</f>
        <v/>
      </c>
      <c r="D333" s="17"/>
      <c r="E333" s="40"/>
      <c r="F333" s="41"/>
      <c r="G333" s="17"/>
      <c r="H333" s="17"/>
      <c r="I333" s="17"/>
      <c r="J333" s="40"/>
      <c r="K333" s="17"/>
      <c r="L333" s="17"/>
      <c r="M333" s="17"/>
      <c r="N333" s="44" t="str">
        <f aca="true">IF(A333="","",IF(N(K333)&gt;Settings!$S$7,"Over revision limit",IF(AND(D333="Free video",J333="",E333&lt;&gt;"",TODAY()&gt;WORKDAY(E333,Settings!$S$5)),"LATE – free video promised in 5 working days",IF(AND(E333&lt;&gt;"",E333=TODAY()),"Shooting today",""))))</f>
        <v/>
      </c>
    </row>
    <row r="334" customFormat="false" ht="15" hidden="false" customHeight="false" outlineLevel="0" collapsed="false">
      <c r="A334" s="17"/>
      <c r="B334" s="17"/>
      <c r="C334" s="44" t="str">
        <f aca="false">IF(B334="","",IFERROR(INDEX(Clients!$C$2:$C$501,MATCH(B334,Clients!$A$2:$A$501,0)),"Client ID not found"))</f>
        <v/>
      </c>
      <c r="D334" s="17"/>
      <c r="E334" s="40"/>
      <c r="F334" s="41"/>
      <c r="G334" s="17"/>
      <c r="H334" s="17"/>
      <c r="I334" s="17"/>
      <c r="J334" s="40"/>
      <c r="K334" s="17"/>
      <c r="L334" s="17"/>
      <c r="M334" s="17"/>
      <c r="N334" s="44" t="str">
        <f aca="true">IF(A334="","",IF(N(K334)&gt;Settings!$S$7,"Over revision limit",IF(AND(D334="Free video",J334="",E334&lt;&gt;"",TODAY()&gt;WORKDAY(E334,Settings!$S$5)),"LATE – free video promised in 5 working days",IF(AND(E334&lt;&gt;"",E334=TODAY()),"Shooting today",""))))</f>
        <v/>
      </c>
    </row>
    <row r="335" customFormat="false" ht="15" hidden="false" customHeight="false" outlineLevel="0" collapsed="false">
      <c r="A335" s="17"/>
      <c r="B335" s="17"/>
      <c r="C335" s="44" t="str">
        <f aca="false">IF(B335="","",IFERROR(INDEX(Clients!$C$2:$C$501,MATCH(B335,Clients!$A$2:$A$501,0)),"Client ID not found"))</f>
        <v/>
      </c>
      <c r="D335" s="17"/>
      <c r="E335" s="40"/>
      <c r="F335" s="41"/>
      <c r="G335" s="17"/>
      <c r="H335" s="17"/>
      <c r="I335" s="17"/>
      <c r="J335" s="40"/>
      <c r="K335" s="17"/>
      <c r="L335" s="17"/>
      <c r="M335" s="17"/>
      <c r="N335" s="44" t="str">
        <f aca="true">IF(A335="","",IF(N(K335)&gt;Settings!$S$7,"Over revision limit",IF(AND(D335="Free video",J335="",E335&lt;&gt;"",TODAY()&gt;WORKDAY(E335,Settings!$S$5)),"LATE – free video promised in 5 working days",IF(AND(E335&lt;&gt;"",E335=TODAY()),"Shooting today",""))))</f>
        <v/>
      </c>
    </row>
    <row r="336" customFormat="false" ht="15" hidden="false" customHeight="false" outlineLevel="0" collapsed="false">
      <c r="A336" s="17"/>
      <c r="B336" s="17"/>
      <c r="C336" s="44" t="str">
        <f aca="false">IF(B336="","",IFERROR(INDEX(Clients!$C$2:$C$501,MATCH(B336,Clients!$A$2:$A$501,0)),"Client ID not found"))</f>
        <v/>
      </c>
      <c r="D336" s="17"/>
      <c r="E336" s="40"/>
      <c r="F336" s="41"/>
      <c r="G336" s="17"/>
      <c r="H336" s="17"/>
      <c r="I336" s="17"/>
      <c r="J336" s="40"/>
      <c r="K336" s="17"/>
      <c r="L336" s="17"/>
      <c r="M336" s="17"/>
      <c r="N336" s="44" t="str">
        <f aca="true">IF(A336="","",IF(N(K336)&gt;Settings!$S$7,"Over revision limit",IF(AND(D336="Free video",J336="",E336&lt;&gt;"",TODAY()&gt;WORKDAY(E336,Settings!$S$5)),"LATE – free video promised in 5 working days",IF(AND(E336&lt;&gt;"",E336=TODAY()),"Shooting today",""))))</f>
        <v/>
      </c>
    </row>
    <row r="337" customFormat="false" ht="15" hidden="false" customHeight="false" outlineLevel="0" collapsed="false">
      <c r="A337" s="17"/>
      <c r="B337" s="17"/>
      <c r="C337" s="44" t="str">
        <f aca="false">IF(B337="","",IFERROR(INDEX(Clients!$C$2:$C$501,MATCH(B337,Clients!$A$2:$A$501,0)),"Client ID not found"))</f>
        <v/>
      </c>
      <c r="D337" s="17"/>
      <c r="E337" s="40"/>
      <c r="F337" s="41"/>
      <c r="G337" s="17"/>
      <c r="H337" s="17"/>
      <c r="I337" s="17"/>
      <c r="J337" s="40"/>
      <c r="K337" s="17"/>
      <c r="L337" s="17"/>
      <c r="M337" s="17"/>
      <c r="N337" s="44" t="str">
        <f aca="true">IF(A337="","",IF(N(K337)&gt;Settings!$S$7,"Over revision limit",IF(AND(D337="Free video",J337="",E337&lt;&gt;"",TODAY()&gt;WORKDAY(E337,Settings!$S$5)),"LATE – free video promised in 5 working days",IF(AND(E337&lt;&gt;"",E337=TODAY()),"Shooting today",""))))</f>
        <v/>
      </c>
    </row>
    <row r="338" customFormat="false" ht="15" hidden="false" customHeight="false" outlineLevel="0" collapsed="false">
      <c r="A338" s="17"/>
      <c r="B338" s="17"/>
      <c r="C338" s="44" t="str">
        <f aca="false">IF(B338="","",IFERROR(INDEX(Clients!$C$2:$C$501,MATCH(B338,Clients!$A$2:$A$501,0)),"Client ID not found"))</f>
        <v/>
      </c>
      <c r="D338" s="17"/>
      <c r="E338" s="40"/>
      <c r="F338" s="41"/>
      <c r="G338" s="17"/>
      <c r="H338" s="17"/>
      <c r="I338" s="17"/>
      <c r="J338" s="40"/>
      <c r="K338" s="17"/>
      <c r="L338" s="17"/>
      <c r="M338" s="17"/>
      <c r="N338" s="44" t="str">
        <f aca="true">IF(A338="","",IF(N(K338)&gt;Settings!$S$7,"Over revision limit",IF(AND(D338="Free video",J338="",E338&lt;&gt;"",TODAY()&gt;WORKDAY(E338,Settings!$S$5)),"LATE – free video promised in 5 working days",IF(AND(E338&lt;&gt;"",E338=TODAY()),"Shooting today",""))))</f>
        <v/>
      </c>
    </row>
    <row r="339" customFormat="false" ht="15" hidden="false" customHeight="false" outlineLevel="0" collapsed="false">
      <c r="A339" s="17"/>
      <c r="B339" s="17"/>
      <c r="C339" s="44" t="str">
        <f aca="false">IF(B339="","",IFERROR(INDEX(Clients!$C$2:$C$501,MATCH(B339,Clients!$A$2:$A$501,0)),"Client ID not found"))</f>
        <v/>
      </c>
      <c r="D339" s="17"/>
      <c r="E339" s="40"/>
      <c r="F339" s="41"/>
      <c r="G339" s="17"/>
      <c r="H339" s="17"/>
      <c r="I339" s="17"/>
      <c r="J339" s="40"/>
      <c r="K339" s="17"/>
      <c r="L339" s="17"/>
      <c r="M339" s="17"/>
      <c r="N339" s="44" t="str">
        <f aca="true">IF(A339="","",IF(N(K339)&gt;Settings!$S$7,"Over revision limit",IF(AND(D339="Free video",J339="",E339&lt;&gt;"",TODAY()&gt;WORKDAY(E339,Settings!$S$5)),"LATE – free video promised in 5 working days",IF(AND(E339&lt;&gt;"",E339=TODAY()),"Shooting today",""))))</f>
        <v/>
      </c>
    </row>
    <row r="340" customFormat="false" ht="15" hidden="false" customHeight="false" outlineLevel="0" collapsed="false">
      <c r="A340" s="17"/>
      <c r="B340" s="17"/>
      <c r="C340" s="44" t="str">
        <f aca="false">IF(B340="","",IFERROR(INDEX(Clients!$C$2:$C$501,MATCH(B340,Clients!$A$2:$A$501,0)),"Client ID not found"))</f>
        <v/>
      </c>
      <c r="D340" s="17"/>
      <c r="E340" s="40"/>
      <c r="F340" s="41"/>
      <c r="G340" s="17"/>
      <c r="H340" s="17"/>
      <c r="I340" s="17"/>
      <c r="J340" s="40"/>
      <c r="K340" s="17"/>
      <c r="L340" s="17"/>
      <c r="M340" s="17"/>
      <c r="N340" s="44" t="str">
        <f aca="true">IF(A340="","",IF(N(K340)&gt;Settings!$S$7,"Over revision limit",IF(AND(D340="Free video",J340="",E340&lt;&gt;"",TODAY()&gt;WORKDAY(E340,Settings!$S$5)),"LATE – free video promised in 5 working days",IF(AND(E340&lt;&gt;"",E340=TODAY()),"Shooting today",""))))</f>
        <v/>
      </c>
    </row>
    <row r="341" customFormat="false" ht="15" hidden="false" customHeight="false" outlineLevel="0" collapsed="false">
      <c r="A341" s="17"/>
      <c r="B341" s="17"/>
      <c r="C341" s="44" t="str">
        <f aca="false">IF(B341="","",IFERROR(INDEX(Clients!$C$2:$C$501,MATCH(B341,Clients!$A$2:$A$501,0)),"Client ID not found"))</f>
        <v/>
      </c>
      <c r="D341" s="17"/>
      <c r="E341" s="40"/>
      <c r="F341" s="41"/>
      <c r="G341" s="17"/>
      <c r="H341" s="17"/>
      <c r="I341" s="17"/>
      <c r="J341" s="40"/>
      <c r="K341" s="17"/>
      <c r="L341" s="17"/>
      <c r="M341" s="17"/>
      <c r="N341" s="44" t="str">
        <f aca="true">IF(A341="","",IF(N(K341)&gt;Settings!$S$7,"Over revision limit",IF(AND(D341="Free video",J341="",E341&lt;&gt;"",TODAY()&gt;WORKDAY(E341,Settings!$S$5)),"LATE – free video promised in 5 working days",IF(AND(E341&lt;&gt;"",E341=TODAY()),"Shooting today",""))))</f>
        <v/>
      </c>
    </row>
    <row r="342" customFormat="false" ht="15" hidden="false" customHeight="false" outlineLevel="0" collapsed="false">
      <c r="A342" s="17"/>
      <c r="B342" s="17"/>
      <c r="C342" s="44" t="str">
        <f aca="false">IF(B342="","",IFERROR(INDEX(Clients!$C$2:$C$501,MATCH(B342,Clients!$A$2:$A$501,0)),"Client ID not found"))</f>
        <v/>
      </c>
      <c r="D342" s="17"/>
      <c r="E342" s="40"/>
      <c r="F342" s="41"/>
      <c r="G342" s="17"/>
      <c r="H342" s="17"/>
      <c r="I342" s="17"/>
      <c r="J342" s="40"/>
      <c r="K342" s="17"/>
      <c r="L342" s="17"/>
      <c r="M342" s="17"/>
      <c r="N342" s="44" t="str">
        <f aca="true">IF(A342="","",IF(N(K342)&gt;Settings!$S$7,"Over revision limit",IF(AND(D342="Free video",J342="",E342&lt;&gt;"",TODAY()&gt;WORKDAY(E342,Settings!$S$5)),"LATE – free video promised in 5 working days",IF(AND(E342&lt;&gt;"",E342=TODAY()),"Shooting today",""))))</f>
        <v/>
      </c>
    </row>
    <row r="343" customFormat="false" ht="15" hidden="false" customHeight="false" outlineLevel="0" collapsed="false">
      <c r="A343" s="17"/>
      <c r="B343" s="17"/>
      <c r="C343" s="44" t="str">
        <f aca="false">IF(B343="","",IFERROR(INDEX(Clients!$C$2:$C$501,MATCH(B343,Clients!$A$2:$A$501,0)),"Client ID not found"))</f>
        <v/>
      </c>
      <c r="D343" s="17"/>
      <c r="E343" s="40"/>
      <c r="F343" s="41"/>
      <c r="G343" s="17"/>
      <c r="H343" s="17"/>
      <c r="I343" s="17"/>
      <c r="J343" s="40"/>
      <c r="K343" s="17"/>
      <c r="L343" s="17"/>
      <c r="M343" s="17"/>
      <c r="N343" s="44" t="str">
        <f aca="true">IF(A343="","",IF(N(K343)&gt;Settings!$S$7,"Over revision limit",IF(AND(D343="Free video",J343="",E343&lt;&gt;"",TODAY()&gt;WORKDAY(E343,Settings!$S$5)),"LATE – free video promised in 5 working days",IF(AND(E343&lt;&gt;"",E343=TODAY()),"Shooting today",""))))</f>
        <v/>
      </c>
    </row>
    <row r="344" customFormat="false" ht="15" hidden="false" customHeight="false" outlineLevel="0" collapsed="false">
      <c r="A344" s="17"/>
      <c r="B344" s="17"/>
      <c r="C344" s="44" t="str">
        <f aca="false">IF(B344="","",IFERROR(INDEX(Clients!$C$2:$C$501,MATCH(B344,Clients!$A$2:$A$501,0)),"Client ID not found"))</f>
        <v/>
      </c>
      <c r="D344" s="17"/>
      <c r="E344" s="40"/>
      <c r="F344" s="41"/>
      <c r="G344" s="17"/>
      <c r="H344" s="17"/>
      <c r="I344" s="17"/>
      <c r="J344" s="40"/>
      <c r="K344" s="17"/>
      <c r="L344" s="17"/>
      <c r="M344" s="17"/>
      <c r="N344" s="44" t="str">
        <f aca="true">IF(A344="","",IF(N(K344)&gt;Settings!$S$7,"Over revision limit",IF(AND(D344="Free video",J344="",E344&lt;&gt;"",TODAY()&gt;WORKDAY(E344,Settings!$S$5)),"LATE – free video promised in 5 working days",IF(AND(E344&lt;&gt;"",E344=TODAY()),"Shooting today",""))))</f>
        <v/>
      </c>
    </row>
    <row r="345" customFormat="false" ht="15" hidden="false" customHeight="false" outlineLevel="0" collapsed="false">
      <c r="A345" s="17"/>
      <c r="B345" s="17"/>
      <c r="C345" s="44" t="str">
        <f aca="false">IF(B345="","",IFERROR(INDEX(Clients!$C$2:$C$501,MATCH(B345,Clients!$A$2:$A$501,0)),"Client ID not found"))</f>
        <v/>
      </c>
      <c r="D345" s="17"/>
      <c r="E345" s="40"/>
      <c r="F345" s="41"/>
      <c r="G345" s="17"/>
      <c r="H345" s="17"/>
      <c r="I345" s="17"/>
      <c r="J345" s="40"/>
      <c r="K345" s="17"/>
      <c r="L345" s="17"/>
      <c r="M345" s="17"/>
      <c r="N345" s="44" t="str">
        <f aca="true">IF(A345="","",IF(N(K345)&gt;Settings!$S$7,"Over revision limit",IF(AND(D345="Free video",J345="",E345&lt;&gt;"",TODAY()&gt;WORKDAY(E345,Settings!$S$5)),"LATE – free video promised in 5 working days",IF(AND(E345&lt;&gt;"",E345=TODAY()),"Shooting today",""))))</f>
        <v/>
      </c>
    </row>
    <row r="346" customFormat="false" ht="15" hidden="false" customHeight="false" outlineLevel="0" collapsed="false">
      <c r="A346" s="17"/>
      <c r="B346" s="17"/>
      <c r="C346" s="44" t="str">
        <f aca="false">IF(B346="","",IFERROR(INDEX(Clients!$C$2:$C$501,MATCH(B346,Clients!$A$2:$A$501,0)),"Client ID not found"))</f>
        <v/>
      </c>
      <c r="D346" s="17"/>
      <c r="E346" s="40"/>
      <c r="F346" s="41"/>
      <c r="G346" s="17"/>
      <c r="H346" s="17"/>
      <c r="I346" s="17"/>
      <c r="J346" s="40"/>
      <c r="K346" s="17"/>
      <c r="L346" s="17"/>
      <c r="M346" s="17"/>
      <c r="N346" s="44" t="str">
        <f aca="true">IF(A346="","",IF(N(K346)&gt;Settings!$S$7,"Over revision limit",IF(AND(D346="Free video",J346="",E346&lt;&gt;"",TODAY()&gt;WORKDAY(E346,Settings!$S$5)),"LATE – free video promised in 5 working days",IF(AND(E346&lt;&gt;"",E346=TODAY()),"Shooting today",""))))</f>
        <v/>
      </c>
    </row>
    <row r="347" customFormat="false" ht="15" hidden="false" customHeight="false" outlineLevel="0" collapsed="false">
      <c r="A347" s="17"/>
      <c r="B347" s="17"/>
      <c r="C347" s="44" t="str">
        <f aca="false">IF(B347="","",IFERROR(INDEX(Clients!$C$2:$C$501,MATCH(B347,Clients!$A$2:$A$501,0)),"Client ID not found"))</f>
        <v/>
      </c>
      <c r="D347" s="17"/>
      <c r="E347" s="40"/>
      <c r="F347" s="41"/>
      <c r="G347" s="17"/>
      <c r="H347" s="17"/>
      <c r="I347" s="17"/>
      <c r="J347" s="40"/>
      <c r="K347" s="17"/>
      <c r="L347" s="17"/>
      <c r="M347" s="17"/>
      <c r="N347" s="44" t="str">
        <f aca="true">IF(A347="","",IF(N(K347)&gt;Settings!$S$7,"Over revision limit",IF(AND(D347="Free video",J347="",E347&lt;&gt;"",TODAY()&gt;WORKDAY(E347,Settings!$S$5)),"LATE – free video promised in 5 working days",IF(AND(E347&lt;&gt;"",E347=TODAY()),"Shooting today",""))))</f>
        <v/>
      </c>
    </row>
    <row r="348" customFormat="false" ht="15" hidden="false" customHeight="false" outlineLevel="0" collapsed="false">
      <c r="A348" s="17"/>
      <c r="B348" s="17"/>
      <c r="C348" s="44" t="str">
        <f aca="false">IF(B348="","",IFERROR(INDEX(Clients!$C$2:$C$501,MATCH(B348,Clients!$A$2:$A$501,0)),"Client ID not found"))</f>
        <v/>
      </c>
      <c r="D348" s="17"/>
      <c r="E348" s="40"/>
      <c r="F348" s="41"/>
      <c r="G348" s="17"/>
      <c r="H348" s="17"/>
      <c r="I348" s="17"/>
      <c r="J348" s="40"/>
      <c r="K348" s="17"/>
      <c r="L348" s="17"/>
      <c r="M348" s="17"/>
      <c r="N348" s="44" t="str">
        <f aca="true">IF(A348="","",IF(N(K348)&gt;Settings!$S$7,"Over revision limit",IF(AND(D348="Free video",J348="",E348&lt;&gt;"",TODAY()&gt;WORKDAY(E348,Settings!$S$5)),"LATE – free video promised in 5 working days",IF(AND(E348&lt;&gt;"",E348=TODAY()),"Shooting today",""))))</f>
        <v/>
      </c>
    </row>
    <row r="349" customFormat="false" ht="15" hidden="false" customHeight="false" outlineLevel="0" collapsed="false">
      <c r="A349" s="17"/>
      <c r="B349" s="17"/>
      <c r="C349" s="44" t="str">
        <f aca="false">IF(B349="","",IFERROR(INDEX(Clients!$C$2:$C$501,MATCH(B349,Clients!$A$2:$A$501,0)),"Client ID not found"))</f>
        <v/>
      </c>
      <c r="D349" s="17"/>
      <c r="E349" s="40"/>
      <c r="F349" s="41"/>
      <c r="G349" s="17"/>
      <c r="H349" s="17"/>
      <c r="I349" s="17"/>
      <c r="J349" s="40"/>
      <c r="K349" s="17"/>
      <c r="L349" s="17"/>
      <c r="M349" s="17"/>
      <c r="N349" s="44" t="str">
        <f aca="true">IF(A349="","",IF(N(K349)&gt;Settings!$S$7,"Over revision limit",IF(AND(D349="Free video",J349="",E349&lt;&gt;"",TODAY()&gt;WORKDAY(E349,Settings!$S$5)),"LATE – free video promised in 5 working days",IF(AND(E349&lt;&gt;"",E349=TODAY()),"Shooting today",""))))</f>
        <v/>
      </c>
    </row>
    <row r="350" customFormat="false" ht="15" hidden="false" customHeight="false" outlineLevel="0" collapsed="false">
      <c r="A350" s="17"/>
      <c r="B350" s="17"/>
      <c r="C350" s="44" t="str">
        <f aca="false">IF(B350="","",IFERROR(INDEX(Clients!$C$2:$C$501,MATCH(B350,Clients!$A$2:$A$501,0)),"Client ID not found"))</f>
        <v/>
      </c>
      <c r="D350" s="17"/>
      <c r="E350" s="40"/>
      <c r="F350" s="41"/>
      <c r="G350" s="17"/>
      <c r="H350" s="17"/>
      <c r="I350" s="17"/>
      <c r="J350" s="40"/>
      <c r="K350" s="17"/>
      <c r="L350" s="17"/>
      <c r="M350" s="17"/>
      <c r="N350" s="44" t="str">
        <f aca="true">IF(A350="","",IF(N(K350)&gt;Settings!$S$7,"Over revision limit",IF(AND(D350="Free video",J350="",E350&lt;&gt;"",TODAY()&gt;WORKDAY(E350,Settings!$S$5)),"LATE – free video promised in 5 working days",IF(AND(E350&lt;&gt;"",E350=TODAY()),"Shooting today",""))))</f>
        <v/>
      </c>
    </row>
    <row r="351" customFormat="false" ht="15" hidden="false" customHeight="false" outlineLevel="0" collapsed="false">
      <c r="A351" s="17"/>
      <c r="B351" s="17"/>
      <c r="C351" s="44" t="str">
        <f aca="false">IF(B351="","",IFERROR(INDEX(Clients!$C$2:$C$501,MATCH(B351,Clients!$A$2:$A$501,0)),"Client ID not found"))</f>
        <v/>
      </c>
      <c r="D351" s="17"/>
      <c r="E351" s="40"/>
      <c r="F351" s="41"/>
      <c r="G351" s="17"/>
      <c r="H351" s="17"/>
      <c r="I351" s="17"/>
      <c r="J351" s="40"/>
      <c r="K351" s="17"/>
      <c r="L351" s="17"/>
      <c r="M351" s="17"/>
      <c r="N351" s="44" t="str">
        <f aca="true">IF(A351="","",IF(N(K351)&gt;Settings!$S$7,"Over revision limit",IF(AND(D351="Free video",J351="",E351&lt;&gt;"",TODAY()&gt;WORKDAY(E351,Settings!$S$5)),"LATE – free video promised in 5 working days",IF(AND(E351&lt;&gt;"",E351=TODAY()),"Shooting today",""))))</f>
        <v/>
      </c>
    </row>
    <row r="352" customFormat="false" ht="15" hidden="false" customHeight="false" outlineLevel="0" collapsed="false">
      <c r="A352" s="17"/>
      <c r="B352" s="17"/>
      <c r="C352" s="44" t="str">
        <f aca="false">IF(B352="","",IFERROR(INDEX(Clients!$C$2:$C$501,MATCH(B352,Clients!$A$2:$A$501,0)),"Client ID not found"))</f>
        <v/>
      </c>
      <c r="D352" s="17"/>
      <c r="E352" s="40"/>
      <c r="F352" s="41"/>
      <c r="G352" s="17"/>
      <c r="H352" s="17"/>
      <c r="I352" s="17"/>
      <c r="J352" s="40"/>
      <c r="K352" s="17"/>
      <c r="L352" s="17"/>
      <c r="M352" s="17"/>
      <c r="N352" s="44" t="str">
        <f aca="true">IF(A352="","",IF(N(K352)&gt;Settings!$S$7,"Over revision limit",IF(AND(D352="Free video",J352="",E352&lt;&gt;"",TODAY()&gt;WORKDAY(E352,Settings!$S$5)),"LATE – free video promised in 5 working days",IF(AND(E352&lt;&gt;"",E352=TODAY()),"Shooting today",""))))</f>
        <v/>
      </c>
    </row>
    <row r="353" customFormat="false" ht="15" hidden="false" customHeight="false" outlineLevel="0" collapsed="false">
      <c r="A353" s="17"/>
      <c r="B353" s="17"/>
      <c r="C353" s="44" t="str">
        <f aca="false">IF(B353="","",IFERROR(INDEX(Clients!$C$2:$C$501,MATCH(B353,Clients!$A$2:$A$501,0)),"Client ID not found"))</f>
        <v/>
      </c>
      <c r="D353" s="17"/>
      <c r="E353" s="40"/>
      <c r="F353" s="41"/>
      <c r="G353" s="17"/>
      <c r="H353" s="17"/>
      <c r="I353" s="17"/>
      <c r="J353" s="40"/>
      <c r="K353" s="17"/>
      <c r="L353" s="17"/>
      <c r="M353" s="17"/>
      <c r="N353" s="44" t="str">
        <f aca="true">IF(A353="","",IF(N(K353)&gt;Settings!$S$7,"Over revision limit",IF(AND(D353="Free video",J353="",E353&lt;&gt;"",TODAY()&gt;WORKDAY(E353,Settings!$S$5)),"LATE – free video promised in 5 working days",IF(AND(E353&lt;&gt;"",E353=TODAY()),"Shooting today",""))))</f>
        <v/>
      </c>
    </row>
    <row r="354" customFormat="false" ht="15" hidden="false" customHeight="false" outlineLevel="0" collapsed="false">
      <c r="A354" s="17"/>
      <c r="B354" s="17"/>
      <c r="C354" s="44" t="str">
        <f aca="false">IF(B354="","",IFERROR(INDEX(Clients!$C$2:$C$501,MATCH(B354,Clients!$A$2:$A$501,0)),"Client ID not found"))</f>
        <v/>
      </c>
      <c r="D354" s="17"/>
      <c r="E354" s="40"/>
      <c r="F354" s="41"/>
      <c r="G354" s="17"/>
      <c r="H354" s="17"/>
      <c r="I354" s="17"/>
      <c r="J354" s="40"/>
      <c r="K354" s="17"/>
      <c r="L354" s="17"/>
      <c r="M354" s="17"/>
      <c r="N354" s="44" t="str">
        <f aca="true">IF(A354="","",IF(N(K354)&gt;Settings!$S$7,"Over revision limit",IF(AND(D354="Free video",J354="",E354&lt;&gt;"",TODAY()&gt;WORKDAY(E354,Settings!$S$5)),"LATE – free video promised in 5 working days",IF(AND(E354&lt;&gt;"",E354=TODAY()),"Shooting today",""))))</f>
        <v/>
      </c>
    </row>
    <row r="355" customFormat="false" ht="15" hidden="false" customHeight="false" outlineLevel="0" collapsed="false">
      <c r="A355" s="17"/>
      <c r="B355" s="17"/>
      <c r="C355" s="44" t="str">
        <f aca="false">IF(B355="","",IFERROR(INDEX(Clients!$C$2:$C$501,MATCH(B355,Clients!$A$2:$A$501,0)),"Client ID not found"))</f>
        <v/>
      </c>
      <c r="D355" s="17"/>
      <c r="E355" s="40"/>
      <c r="F355" s="41"/>
      <c r="G355" s="17"/>
      <c r="H355" s="17"/>
      <c r="I355" s="17"/>
      <c r="J355" s="40"/>
      <c r="K355" s="17"/>
      <c r="L355" s="17"/>
      <c r="M355" s="17"/>
      <c r="N355" s="44" t="str">
        <f aca="true">IF(A355="","",IF(N(K355)&gt;Settings!$S$7,"Over revision limit",IF(AND(D355="Free video",J355="",E355&lt;&gt;"",TODAY()&gt;WORKDAY(E355,Settings!$S$5)),"LATE – free video promised in 5 working days",IF(AND(E355&lt;&gt;"",E355=TODAY()),"Shooting today",""))))</f>
        <v/>
      </c>
    </row>
    <row r="356" customFormat="false" ht="15" hidden="false" customHeight="false" outlineLevel="0" collapsed="false">
      <c r="A356" s="17"/>
      <c r="B356" s="17"/>
      <c r="C356" s="44" t="str">
        <f aca="false">IF(B356="","",IFERROR(INDEX(Clients!$C$2:$C$501,MATCH(B356,Clients!$A$2:$A$501,0)),"Client ID not found"))</f>
        <v/>
      </c>
      <c r="D356" s="17"/>
      <c r="E356" s="40"/>
      <c r="F356" s="41"/>
      <c r="G356" s="17"/>
      <c r="H356" s="17"/>
      <c r="I356" s="17"/>
      <c r="J356" s="40"/>
      <c r="K356" s="17"/>
      <c r="L356" s="17"/>
      <c r="M356" s="17"/>
      <c r="N356" s="44" t="str">
        <f aca="true">IF(A356="","",IF(N(K356)&gt;Settings!$S$7,"Over revision limit",IF(AND(D356="Free video",J356="",E356&lt;&gt;"",TODAY()&gt;WORKDAY(E356,Settings!$S$5)),"LATE – free video promised in 5 working days",IF(AND(E356&lt;&gt;"",E356=TODAY()),"Shooting today",""))))</f>
        <v/>
      </c>
    </row>
    <row r="357" customFormat="false" ht="15" hidden="false" customHeight="false" outlineLevel="0" collapsed="false">
      <c r="A357" s="17"/>
      <c r="B357" s="17"/>
      <c r="C357" s="44" t="str">
        <f aca="false">IF(B357="","",IFERROR(INDEX(Clients!$C$2:$C$501,MATCH(B357,Clients!$A$2:$A$501,0)),"Client ID not found"))</f>
        <v/>
      </c>
      <c r="D357" s="17"/>
      <c r="E357" s="40"/>
      <c r="F357" s="41"/>
      <c r="G357" s="17"/>
      <c r="H357" s="17"/>
      <c r="I357" s="17"/>
      <c r="J357" s="40"/>
      <c r="K357" s="17"/>
      <c r="L357" s="17"/>
      <c r="M357" s="17"/>
      <c r="N357" s="44" t="str">
        <f aca="true">IF(A357="","",IF(N(K357)&gt;Settings!$S$7,"Over revision limit",IF(AND(D357="Free video",J357="",E357&lt;&gt;"",TODAY()&gt;WORKDAY(E357,Settings!$S$5)),"LATE – free video promised in 5 working days",IF(AND(E357&lt;&gt;"",E357=TODAY()),"Shooting today",""))))</f>
        <v/>
      </c>
    </row>
    <row r="358" customFormat="false" ht="15" hidden="false" customHeight="false" outlineLevel="0" collapsed="false">
      <c r="A358" s="17"/>
      <c r="B358" s="17"/>
      <c r="C358" s="44" t="str">
        <f aca="false">IF(B358="","",IFERROR(INDEX(Clients!$C$2:$C$501,MATCH(B358,Clients!$A$2:$A$501,0)),"Client ID not found"))</f>
        <v/>
      </c>
      <c r="D358" s="17"/>
      <c r="E358" s="40"/>
      <c r="F358" s="41"/>
      <c r="G358" s="17"/>
      <c r="H358" s="17"/>
      <c r="I358" s="17"/>
      <c r="J358" s="40"/>
      <c r="K358" s="17"/>
      <c r="L358" s="17"/>
      <c r="M358" s="17"/>
      <c r="N358" s="44" t="str">
        <f aca="true">IF(A358="","",IF(N(K358)&gt;Settings!$S$7,"Over revision limit",IF(AND(D358="Free video",J358="",E358&lt;&gt;"",TODAY()&gt;WORKDAY(E358,Settings!$S$5)),"LATE – free video promised in 5 working days",IF(AND(E358&lt;&gt;"",E358=TODAY()),"Shooting today",""))))</f>
        <v/>
      </c>
    </row>
    <row r="359" customFormat="false" ht="15" hidden="false" customHeight="false" outlineLevel="0" collapsed="false">
      <c r="A359" s="17"/>
      <c r="B359" s="17"/>
      <c r="C359" s="44" t="str">
        <f aca="false">IF(B359="","",IFERROR(INDEX(Clients!$C$2:$C$501,MATCH(B359,Clients!$A$2:$A$501,0)),"Client ID not found"))</f>
        <v/>
      </c>
      <c r="D359" s="17"/>
      <c r="E359" s="40"/>
      <c r="F359" s="41"/>
      <c r="G359" s="17"/>
      <c r="H359" s="17"/>
      <c r="I359" s="17"/>
      <c r="J359" s="40"/>
      <c r="K359" s="17"/>
      <c r="L359" s="17"/>
      <c r="M359" s="17"/>
      <c r="N359" s="44" t="str">
        <f aca="true">IF(A359="","",IF(N(K359)&gt;Settings!$S$7,"Over revision limit",IF(AND(D359="Free video",J359="",E359&lt;&gt;"",TODAY()&gt;WORKDAY(E359,Settings!$S$5)),"LATE – free video promised in 5 working days",IF(AND(E359&lt;&gt;"",E359=TODAY()),"Shooting today",""))))</f>
        <v/>
      </c>
    </row>
    <row r="360" customFormat="false" ht="15" hidden="false" customHeight="false" outlineLevel="0" collapsed="false">
      <c r="A360" s="17"/>
      <c r="B360" s="17"/>
      <c r="C360" s="44" t="str">
        <f aca="false">IF(B360="","",IFERROR(INDEX(Clients!$C$2:$C$501,MATCH(B360,Clients!$A$2:$A$501,0)),"Client ID not found"))</f>
        <v/>
      </c>
      <c r="D360" s="17"/>
      <c r="E360" s="40"/>
      <c r="F360" s="41"/>
      <c r="G360" s="17"/>
      <c r="H360" s="17"/>
      <c r="I360" s="17"/>
      <c r="J360" s="40"/>
      <c r="K360" s="17"/>
      <c r="L360" s="17"/>
      <c r="M360" s="17"/>
      <c r="N360" s="44" t="str">
        <f aca="true">IF(A360="","",IF(N(K360)&gt;Settings!$S$7,"Over revision limit",IF(AND(D360="Free video",J360="",E360&lt;&gt;"",TODAY()&gt;WORKDAY(E360,Settings!$S$5)),"LATE – free video promised in 5 working days",IF(AND(E360&lt;&gt;"",E360=TODAY()),"Shooting today",""))))</f>
        <v/>
      </c>
    </row>
    <row r="361" customFormat="false" ht="15" hidden="false" customHeight="false" outlineLevel="0" collapsed="false">
      <c r="A361" s="17"/>
      <c r="B361" s="17"/>
      <c r="C361" s="44" t="str">
        <f aca="false">IF(B361="","",IFERROR(INDEX(Clients!$C$2:$C$501,MATCH(B361,Clients!$A$2:$A$501,0)),"Client ID not found"))</f>
        <v/>
      </c>
      <c r="D361" s="17"/>
      <c r="E361" s="40"/>
      <c r="F361" s="41"/>
      <c r="G361" s="17"/>
      <c r="H361" s="17"/>
      <c r="I361" s="17"/>
      <c r="J361" s="40"/>
      <c r="K361" s="17"/>
      <c r="L361" s="17"/>
      <c r="M361" s="17"/>
      <c r="N361" s="44" t="str">
        <f aca="true">IF(A361="","",IF(N(K361)&gt;Settings!$S$7,"Over revision limit",IF(AND(D361="Free video",J361="",E361&lt;&gt;"",TODAY()&gt;WORKDAY(E361,Settings!$S$5)),"LATE – free video promised in 5 working days",IF(AND(E361&lt;&gt;"",E361=TODAY()),"Shooting today",""))))</f>
        <v/>
      </c>
    </row>
    <row r="362" customFormat="false" ht="15" hidden="false" customHeight="false" outlineLevel="0" collapsed="false">
      <c r="A362" s="17"/>
      <c r="B362" s="17"/>
      <c r="C362" s="44" t="str">
        <f aca="false">IF(B362="","",IFERROR(INDEX(Clients!$C$2:$C$501,MATCH(B362,Clients!$A$2:$A$501,0)),"Client ID not found"))</f>
        <v/>
      </c>
      <c r="D362" s="17"/>
      <c r="E362" s="40"/>
      <c r="F362" s="41"/>
      <c r="G362" s="17"/>
      <c r="H362" s="17"/>
      <c r="I362" s="17"/>
      <c r="J362" s="40"/>
      <c r="K362" s="17"/>
      <c r="L362" s="17"/>
      <c r="M362" s="17"/>
      <c r="N362" s="44" t="str">
        <f aca="true">IF(A362="","",IF(N(K362)&gt;Settings!$S$7,"Over revision limit",IF(AND(D362="Free video",J362="",E362&lt;&gt;"",TODAY()&gt;WORKDAY(E362,Settings!$S$5)),"LATE – free video promised in 5 working days",IF(AND(E362&lt;&gt;"",E362=TODAY()),"Shooting today",""))))</f>
        <v/>
      </c>
    </row>
    <row r="363" customFormat="false" ht="15" hidden="false" customHeight="false" outlineLevel="0" collapsed="false">
      <c r="A363" s="17"/>
      <c r="B363" s="17"/>
      <c r="C363" s="44" t="str">
        <f aca="false">IF(B363="","",IFERROR(INDEX(Clients!$C$2:$C$501,MATCH(B363,Clients!$A$2:$A$501,0)),"Client ID not found"))</f>
        <v/>
      </c>
      <c r="D363" s="17"/>
      <c r="E363" s="40"/>
      <c r="F363" s="41"/>
      <c r="G363" s="17"/>
      <c r="H363" s="17"/>
      <c r="I363" s="17"/>
      <c r="J363" s="40"/>
      <c r="K363" s="17"/>
      <c r="L363" s="17"/>
      <c r="M363" s="17"/>
      <c r="N363" s="44" t="str">
        <f aca="true">IF(A363="","",IF(N(K363)&gt;Settings!$S$7,"Over revision limit",IF(AND(D363="Free video",J363="",E363&lt;&gt;"",TODAY()&gt;WORKDAY(E363,Settings!$S$5)),"LATE – free video promised in 5 working days",IF(AND(E363&lt;&gt;"",E363=TODAY()),"Shooting today",""))))</f>
        <v/>
      </c>
    </row>
    <row r="364" customFormat="false" ht="15" hidden="false" customHeight="false" outlineLevel="0" collapsed="false">
      <c r="A364" s="17"/>
      <c r="B364" s="17"/>
      <c r="C364" s="44" t="str">
        <f aca="false">IF(B364="","",IFERROR(INDEX(Clients!$C$2:$C$501,MATCH(B364,Clients!$A$2:$A$501,0)),"Client ID not found"))</f>
        <v/>
      </c>
      <c r="D364" s="17"/>
      <c r="E364" s="40"/>
      <c r="F364" s="41"/>
      <c r="G364" s="17"/>
      <c r="H364" s="17"/>
      <c r="I364" s="17"/>
      <c r="J364" s="40"/>
      <c r="K364" s="17"/>
      <c r="L364" s="17"/>
      <c r="M364" s="17"/>
      <c r="N364" s="44" t="str">
        <f aca="true">IF(A364="","",IF(N(K364)&gt;Settings!$S$7,"Over revision limit",IF(AND(D364="Free video",J364="",E364&lt;&gt;"",TODAY()&gt;WORKDAY(E364,Settings!$S$5)),"LATE – free video promised in 5 working days",IF(AND(E364&lt;&gt;"",E364=TODAY()),"Shooting today",""))))</f>
        <v/>
      </c>
    </row>
    <row r="365" customFormat="false" ht="15" hidden="false" customHeight="false" outlineLevel="0" collapsed="false">
      <c r="A365" s="17"/>
      <c r="B365" s="17"/>
      <c r="C365" s="44" t="str">
        <f aca="false">IF(B365="","",IFERROR(INDEX(Clients!$C$2:$C$501,MATCH(B365,Clients!$A$2:$A$501,0)),"Client ID not found"))</f>
        <v/>
      </c>
      <c r="D365" s="17"/>
      <c r="E365" s="40"/>
      <c r="F365" s="41"/>
      <c r="G365" s="17"/>
      <c r="H365" s="17"/>
      <c r="I365" s="17"/>
      <c r="J365" s="40"/>
      <c r="K365" s="17"/>
      <c r="L365" s="17"/>
      <c r="M365" s="17"/>
      <c r="N365" s="44" t="str">
        <f aca="true">IF(A365="","",IF(N(K365)&gt;Settings!$S$7,"Over revision limit",IF(AND(D365="Free video",J365="",E365&lt;&gt;"",TODAY()&gt;WORKDAY(E365,Settings!$S$5)),"LATE – free video promised in 5 working days",IF(AND(E365&lt;&gt;"",E365=TODAY()),"Shooting today",""))))</f>
        <v/>
      </c>
    </row>
    <row r="366" customFormat="false" ht="15" hidden="false" customHeight="false" outlineLevel="0" collapsed="false">
      <c r="A366" s="17"/>
      <c r="B366" s="17"/>
      <c r="C366" s="44" t="str">
        <f aca="false">IF(B366="","",IFERROR(INDEX(Clients!$C$2:$C$501,MATCH(B366,Clients!$A$2:$A$501,0)),"Client ID not found"))</f>
        <v/>
      </c>
      <c r="D366" s="17"/>
      <c r="E366" s="40"/>
      <c r="F366" s="41"/>
      <c r="G366" s="17"/>
      <c r="H366" s="17"/>
      <c r="I366" s="17"/>
      <c r="J366" s="40"/>
      <c r="K366" s="17"/>
      <c r="L366" s="17"/>
      <c r="M366" s="17"/>
      <c r="N366" s="44" t="str">
        <f aca="true">IF(A366="","",IF(N(K366)&gt;Settings!$S$7,"Over revision limit",IF(AND(D366="Free video",J366="",E366&lt;&gt;"",TODAY()&gt;WORKDAY(E366,Settings!$S$5)),"LATE – free video promised in 5 working days",IF(AND(E366&lt;&gt;"",E366=TODAY()),"Shooting today",""))))</f>
        <v/>
      </c>
    </row>
    <row r="367" customFormat="false" ht="15" hidden="false" customHeight="false" outlineLevel="0" collapsed="false">
      <c r="A367" s="17"/>
      <c r="B367" s="17"/>
      <c r="C367" s="44" t="str">
        <f aca="false">IF(B367="","",IFERROR(INDEX(Clients!$C$2:$C$501,MATCH(B367,Clients!$A$2:$A$501,0)),"Client ID not found"))</f>
        <v/>
      </c>
      <c r="D367" s="17"/>
      <c r="E367" s="40"/>
      <c r="F367" s="41"/>
      <c r="G367" s="17"/>
      <c r="H367" s="17"/>
      <c r="I367" s="17"/>
      <c r="J367" s="40"/>
      <c r="K367" s="17"/>
      <c r="L367" s="17"/>
      <c r="M367" s="17"/>
      <c r="N367" s="44" t="str">
        <f aca="true">IF(A367="","",IF(N(K367)&gt;Settings!$S$7,"Over revision limit",IF(AND(D367="Free video",J367="",E367&lt;&gt;"",TODAY()&gt;WORKDAY(E367,Settings!$S$5)),"LATE – free video promised in 5 working days",IF(AND(E367&lt;&gt;"",E367=TODAY()),"Shooting today",""))))</f>
        <v/>
      </c>
    </row>
    <row r="368" customFormat="false" ht="15" hidden="false" customHeight="false" outlineLevel="0" collapsed="false">
      <c r="A368" s="17"/>
      <c r="B368" s="17"/>
      <c r="C368" s="44" t="str">
        <f aca="false">IF(B368="","",IFERROR(INDEX(Clients!$C$2:$C$501,MATCH(B368,Clients!$A$2:$A$501,0)),"Client ID not found"))</f>
        <v/>
      </c>
      <c r="D368" s="17"/>
      <c r="E368" s="40"/>
      <c r="F368" s="41"/>
      <c r="G368" s="17"/>
      <c r="H368" s="17"/>
      <c r="I368" s="17"/>
      <c r="J368" s="40"/>
      <c r="K368" s="17"/>
      <c r="L368" s="17"/>
      <c r="M368" s="17"/>
      <c r="N368" s="44" t="str">
        <f aca="true">IF(A368="","",IF(N(K368)&gt;Settings!$S$7,"Over revision limit",IF(AND(D368="Free video",J368="",E368&lt;&gt;"",TODAY()&gt;WORKDAY(E368,Settings!$S$5)),"LATE – free video promised in 5 working days",IF(AND(E368&lt;&gt;"",E368=TODAY()),"Shooting today",""))))</f>
        <v/>
      </c>
    </row>
    <row r="369" customFormat="false" ht="15" hidden="false" customHeight="false" outlineLevel="0" collapsed="false">
      <c r="A369" s="17"/>
      <c r="B369" s="17"/>
      <c r="C369" s="44" t="str">
        <f aca="false">IF(B369="","",IFERROR(INDEX(Clients!$C$2:$C$501,MATCH(B369,Clients!$A$2:$A$501,0)),"Client ID not found"))</f>
        <v/>
      </c>
      <c r="D369" s="17"/>
      <c r="E369" s="40"/>
      <c r="F369" s="41"/>
      <c r="G369" s="17"/>
      <c r="H369" s="17"/>
      <c r="I369" s="17"/>
      <c r="J369" s="40"/>
      <c r="K369" s="17"/>
      <c r="L369" s="17"/>
      <c r="M369" s="17"/>
      <c r="N369" s="44" t="str">
        <f aca="true">IF(A369="","",IF(N(K369)&gt;Settings!$S$7,"Over revision limit",IF(AND(D369="Free video",J369="",E369&lt;&gt;"",TODAY()&gt;WORKDAY(E369,Settings!$S$5)),"LATE – free video promised in 5 working days",IF(AND(E369&lt;&gt;"",E369=TODAY()),"Shooting today",""))))</f>
        <v/>
      </c>
    </row>
    <row r="370" customFormat="false" ht="15" hidden="false" customHeight="false" outlineLevel="0" collapsed="false">
      <c r="A370" s="17"/>
      <c r="B370" s="17"/>
      <c r="C370" s="44" t="str">
        <f aca="false">IF(B370="","",IFERROR(INDEX(Clients!$C$2:$C$501,MATCH(B370,Clients!$A$2:$A$501,0)),"Client ID not found"))</f>
        <v/>
      </c>
      <c r="D370" s="17"/>
      <c r="E370" s="40"/>
      <c r="F370" s="41"/>
      <c r="G370" s="17"/>
      <c r="H370" s="17"/>
      <c r="I370" s="17"/>
      <c r="J370" s="40"/>
      <c r="K370" s="17"/>
      <c r="L370" s="17"/>
      <c r="M370" s="17"/>
      <c r="N370" s="44" t="str">
        <f aca="true">IF(A370="","",IF(N(K370)&gt;Settings!$S$7,"Over revision limit",IF(AND(D370="Free video",J370="",E370&lt;&gt;"",TODAY()&gt;WORKDAY(E370,Settings!$S$5)),"LATE – free video promised in 5 working days",IF(AND(E370&lt;&gt;"",E370=TODAY()),"Shooting today",""))))</f>
        <v/>
      </c>
    </row>
    <row r="371" customFormat="false" ht="15" hidden="false" customHeight="false" outlineLevel="0" collapsed="false">
      <c r="A371" s="17"/>
      <c r="B371" s="17"/>
      <c r="C371" s="44" t="str">
        <f aca="false">IF(B371="","",IFERROR(INDEX(Clients!$C$2:$C$501,MATCH(B371,Clients!$A$2:$A$501,0)),"Client ID not found"))</f>
        <v/>
      </c>
      <c r="D371" s="17"/>
      <c r="E371" s="40"/>
      <c r="F371" s="41"/>
      <c r="G371" s="17"/>
      <c r="H371" s="17"/>
      <c r="I371" s="17"/>
      <c r="J371" s="40"/>
      <c r="K371" s="17"/>
      <c r="L371" s="17"/>
      <c r="M371" s="17"/>
      <c r="N371" s="44" t="str">
        <f aca="true">IF(A371="","",IF(N(K371)&gt;Settings!$S$7,"Over revision limit",IF(AND(D371="Free video",J371="",E371&lt;&gt;"",TODAY()&gt;WORKDAY(E371,Settings!$S$5)),"LATE – free video promised in 5 working days",IF(AND(E371&lt;&gt;"",E371=TODAY()),"Shooting today",""))))</f>
        <v/>
      </c>
    </row>
    <row r="372" customFormat="false" ht="15" hidden="false" customHeight="false" outlineLevel="0" collapsed="false">
      <c r="A372" s="17"/>
      <c r="B372" s="17"/>
      <c r="C372" s="44" t="str">
        <f aca="false">IF(B372="","",IFERROR(INDEX(Clients!$C$2:$C$501,MATCH(B372,Clients!$A$2:$A$501,0)),"Client ID not found"))</f>
        <v/>
      </c>
      <c r="D372" s="17"/>
      <c r="E372" s="40"/>
      <c r="F372" s="41"/>
      <c r="G372" s="17"/>
      <c r="H372" s="17"/>
      <c r="I372" s="17"/>
      <c r="J372" s="40"/>
      <c r="K372" s="17"/>
      <c r="L372" s="17"/>
      <c r="M372" s="17"/>
      <c r="N372" s="44" t="str">
        <f aca="true">IF(A372="","",IF(N(K372)&gt;Settings!$S$7,"Over revision limit",IF(AND(D372="Free video",J372="",E372&lt;&gt;"",TODAY()&gt;WORKDAY(E372,Settings!$S$5)),"LATE – free video promised in 5 working days",IF(AND(E372&lt;&gt;"",E372=TODAY()),"Shooting today",""))))</f>
        <v/>
      </c>
    </row>
    <row r="373" customFormat="false" ht="15" hidden="false" customHeight="false" outlineLevel="0" collapsed="false">
      <c r="A373" s="17"/>
      <c r="B373" s="17"/>
      <c r="C373" s="44" t="str">
        <f aca="false">IF(B373="","",IFERROR(INDEX(Clients!$C$2:$C$501,MATCH(B373,Clients!$A$2:$A$501,0)),"Client ID not found"))</f>
        <v/>
      </c>
      <c r="D373" s="17"/>
      <c r="E373" s="40"/>
      <c r="F373" s="41"/>
      <c r="G373" s="17"/>
      <c r="H373" s="17"/>
      <c r="I373" s="17"/>
      <c r="J373" s="40"/>
      <c r="K373" s="17"/>
      <c r="L373" s="17"/>
      <c r="M373" s="17"/>
      <c r="N373" s="44" t="str">
        <f aca="true">IF(A373="","",IF(N(K373)&gt;Settings!$S$7,"Over revision limit",IF(AND(D373="Free video",J373="",E373&lt;&gt;"",TODAY()&gt;WORKDAY(E373,Settings!$S$5)),"LATE – free video promised in 5 working days",IF(AND(E373&lt;&gt;"",E373=TODAY()),"Shooting today",""))))</f>
        <v/>
      </c>
    </row>
    <row r="374" customFormat="false" ht="15" hidden="false" customHeight="false" outlineLevel="0" collapsed="false">
      <c r="A374" s="17"/>
      <c r="B374" s="17"/>
      <c r="C374" s="44" t="str">
        <f aca="false">IF(B374="","",IFERROR(INDEX(Clients!$C$2:$C$501,MATCH(B374,Clients!$A$2:$A$501,0)),"Client ID not found"))</f>
        <v/>
      </c>
      <c r="D374" s="17"/>
      <c r="E374" s="40"/>
      <c r="F374" s="41"/>
      <c r="G374" s="17"/>
      <c r="H374" s="17"/>
      <c r="I374" s="17"/>
      <c r="J374" s="40"/>
      <c r="K374" s="17"/>
      <c r="L374" s="17"/>
      <c r="M374" s="17"/>
      <c r="N374" s="44" t="str">
        <f aca="true">IF(A374="","",IF(N(K374)&gt;Settings!$S$7,"Over revision limit",IF(AND(D374="Free video",J374="",E374&lt;&gt;"",TODAY()&gt;WORKDAY(E374,Settings!$S$5)),"LATE – free video promised in 5 working days",IF(AND(E374&lt;&gt;"",E374=TODAY()),"Shooting today",""))))</f>
        <v/>
      </c>
    </row>
    <row r="375" customFormat="false" ht="15" hidden="false" customHeight="false" outlineLevel="0" collapsed="false">
      <c r="A375" s="17"/>
      <c r="B375" s="17"/>
      <c r="C375" s="44" t="str">
        <f aca="false">IF(B375="","",IFERROR(INDEX(Clients!$C$2:$C$501,MATCH(B375,Clients!$A$2:$A$501,0)),"Client ID not found"))</f>
        <v/>
      </c>
      <c r="D375" s="17"/>
      <c r="E375" s="40"/>
      <c r="F375" s="41"/>
      <c r="G375" s="17"/>
      <c r="H375" s="17"/>
      <c r="I375" s="17"/>
      <c r="J375" s="40"/>
      <c r="K375" s="17"/>
      <c r="L375" s="17"/>
      <c r="M375" s="17"/>
      <c r="N375" s="44" t="str">
        <f aca="true">IF(A375="","",IF(N(K375)&gt;Settings!$S$7,"Over revision limit",IF(AND(D375="Free video",J375="",E375&lt;&gt;"",TODAY()&gt;WORKDAY(E375,Settings!$S$5)),"LATE – free video promised in 5 working days",IF(AND(E375&lt;&gt;"",E375=TODAY()),"Shooting today",""))))</f>
        <v/>
      </c>
    </row>
    <row r="376" customFormat="false" ht="15" hidden="false" customHeight="false" outlineLevel="0" collapsed="false">
      <c r="A376" s="17"/>
      <c r="B376" s="17"/>
      <c r="C376" s="44" t="str">
        <f aca="false">IF(B376="","",IFERROR(INDEX(Clients!$C$2:$C$501,MATCH(B376,Clients!$A$2:$A$501,0)),"Client ID not found"))</f>
        <v/>
      </c>
      <c r="D376" s="17"/>
      <c r="E376" s="40"/>
      <c r="F376" s="41"/>
      <c r="G376" s="17"/>
      <c r="H376" s="17"/>
      <c r="I376" s="17"/>
      <c r="J376" s="40"/>
      <c r="K376" s="17"/>
      <c r="L376" s="17"/>
      <c r="M376" s="17"/>
      <c r="N376" s="44" t="str">
        <f aca="true">IF(A376="","",IF(N(K376)&gt;Settings!$S$7,"Over revision limit",IF(AND(D376="Free video",J376="",E376&lt;&gt;"",TODAY()&gt;WORKDAY(E376,Settings!$S$5)),"LATE – free video promised in 5 working days",IF(AND(E376&lt;&gt;"",E376=TODAY()),"Shooting today",""))))</f>
        <v/>
      </c>
    </row>
    <row r="377" customFormat="false" ht="15" hidden="false" customHeight="false" outlineLevel="0" collapsed="false">
      <c r="A377" s="17"/>
      <c r="B377" s="17"/>
      <c r="C377" s="44" t="str">
        <f aca="false">IF(B377="","",IFERROR(INDEX(Clients!$C$2:$C$501,MATCH(B377,Clients!$A$2:$A$501,0)),"Client ID not found"))</f>
        <v/>
      </c>
      <c r="D377" s="17"/>
      <c r="E377" s="40"/>
      <c r="F377" s="41"/>
      <c r="G377" s="17"/>
      <c r="H377" s="17"/>
      <c r="I377" s="17"/>
      <c r="J377" s="40"/>
      <c r="K377" s="17"/>
      <c r="L377" s="17"/>
      <c r="M377" s="17"/>
      <c r="N377" s="44" t="str">
        <f aca="true">IF(A377="","",IF(N(K377)&gt;Settings!$S$7,"Over revision limit",IF(AND(D377="Free video",J377="",E377&lt;&gt;"",TODAY()&gt;WORKDAY(E377,Settings!$S$5)),"LATE – free video promised in 5 working days",IF(AND(E377&lt;&gt;"",E377=TODAY()),"Shooting today",""))))</f>
        <v/>
      </c>
    </row>
    <row r="378" customFormat="false" ht="15" hidden="false" customHeight="false" outlineLevel="0" collapsed="false">
      <c r="A378" s="17"/>
      <c r="B378" s="17"/>
      <c r="C378" s="44" t="str">
        <f aca="false">IF(B378="","",IFERROR(INDEX(Clients!$C$2:$C$501,MATCH(B378,Clients!$A$2:$A$501,0)),"Client ID not found"))</f>
        <v/>
      </c>
      <c r="D378" s="17"/>
      <c r="E378" s="40"/>
      <c r="F378" s="41"/>
      <c r="G378" s="17"/>
      <c r="H378" s="17"/>
      <c r="I378" s="17"/>
      <c r="J378" s="40"/>
      <c r="K378" s="17"/>
      <c r="L378" s="17"/>
      <c r="M378" s="17"/>
      <c r="N378" s="44" t="str">
        <f aca="true">IF(A378="","",IF(N(K378)&gt;Settings!$S$7,"Over revision limit",IF(AND(D378="Free video",J378="",E378&lt;&gt;"",TODAY()&gt;WORKDAY(E378,Settings!$S$5)),"LATE – free video promised in 5 working days",IF(AND(E378&lt;&gt;"",E378=TODAY()),"Shooting today",""))))</f>
        <v/>
      </c>
    </row>
    <row r="379" customFormat="false" ht="15" hidden="false" customHeight="false" outlineLevel="0" collapsed="false">
      <c r="A379" s="17"/>
      <c r="B379" s="17"/>
      <c r="C379" s="44" t="str">
        <f aca="false">IF(B379="","",IFERROR(INDEX(Clients!$C$2:$C$501,MATCH(B379,Clients!$A$2:$A$501,0)),"Client ID not found"))</f>
        <v/>
      </c>
      <c r="D379" s="17"/>
      <c r="E379" s="40"/>
      <c r="F379" s="41"/>
      <c r="G379" s="17"/>
      <c r="H379" s="17"/>
      <c r="I379" s="17"/>
      <c r="J379" s="40"/>
      <c r="K379" s="17"/>
      <c r="L379" s="17"/>
      <c r="M379" s="17"/>
      <c r="N379" s="44" t="str">
        <f aca="true">IF(A379="","",IF(N(K379)&gt;Settings!$S$7,"Over revision limit",IF(AND(D379="Free video",J379="",E379&lt;&gt;"",TODAY()&gt;WORKDAY(E379,Settings!$S$5)),"LATE – free video promised in 5 working days",IF(AND(E379&lt;&gt;"",E379=TODAY()),"Shooting today",""))))</f>
        <v/>
      </c>
    </row>
    <row r="380" customFormat="false" ht="15" hidden="false" customHeight="false" outlineLevel="0" collapsed="false">
      <c r="A380" s="17"/>
      <c r="B380" s="17"/>
      <c r="C380" s="44" t="str">
        <f aca="false">IF(B380="","",IFERROR(INDEX(Clients!$C$2:$C$501,MATCH(B380,Clients!$A$2:$A$501,0)),"Client ID not found"))</f>
        <v/>
      </c>
      <c r="D380" s="17"/>
      <c r="E380" s="40"/>
      <c r="F380" s="41"/>
      <c r="G380" s="17"/>
      <c r="H380" s="17"/>
      <c r="I380" s="17"/>
      <c r="J380" s="40"/>
      <c r="K380" s="17"/>
      <c r="L380" s="17"/>
      <c r="M380" s="17"/>
      <c r="N380" s="44" t="str">
        <f aca="true">IF(A380="","",IF(N(K380)&gt;Settings!$S$7,"Over revision limit",IF(AND(D380="Free video",J380="",E380&lt;&gt;"",TODAY()&gt;WORKDAY(E380,Settings!$S$5)),"LATE – free video promised in 5 working days",IF(AND(E380&lt;&gt;"",E380=TODAY()),"Shooting today",""))))</f>
        <v/>
      </c>
    </row>
    <row r="381" customFormat="false" ht="15" hidden="false" customHeight="false" outlineLevel="0" collapsed="false">
      <c r="A381" s="17"/>
      <c r="B381" s="17"/>
      <c r="C381" s="44" t="str">
        <f aca="false">IF(B381="","",IFERROR(INDEX(Clients!$C$2:$C$501,MATCH(B381,Clients!$A$2:$A$501,0)),"Client ID not found"))</f>
        <v/>
      </c>
      <c r="D381" s="17"/>
      <c r="E381" s="40"/>
      <c r="F381" s="41"/>
      <c r="G381" s="17"/>
      <c r="H381" s="17"/>
      <c r="I381" s="17"/>
      <c r="J381" s="40"/>
      <c r="K381" s="17"/>
      <c r="L381" s="17"/>
      <c r="M381" s="17"/>
      <c r="N381" s="44" t="str">
        <f aca="true">IF(A381="","",IF(N(K381)&gt;Settings!$S$7,"Over revision limit",IF(AND(D381="Free video",J381="",E381&lt;&gt;"",TODAY()&gt;WORKDAY(E381,Settings!$S$5)),"LATE – free video promised in 5 working days",IF(AND(E381&lt;&gt;"",E381=TODAY()),"Shooting today",""))))</f>
        <v/>
      </c>
    </row>
    <row r="382" customFormat="false" ht="15" hidden="false" customHeight="false" outlineLevel="0" collapsed="false">
      <c r="A382" s="17"/>
      <c r="B382" s="17"/>
      <c r="C382" s="44" t="str">
        <f aca="false">IF(B382="","",IFERROR(INDEX(Clients!$C$2:$C$501,MATCH(B382,Clients!$A$2:$A$501,0)),"Client ID not found"))</f>
        <v/>
      </c>
      <c r="D382" s="17"/>
      <c r="E382" s="40"/>
      <c r="F382" s="41"/>
      <c r="G382" s="17"/>
      <c r="H382" s="17"/>
      <c r="I382" s="17"/>
      <c r="J382" s="40"/>
      <c r="K382" s="17"/>
      <c r="L382" s="17"/>
      <c r="M382" s="17"/>
      <c r="N382" s="44" t="str">
        <f aca="true">IF(A382="","",IF(N(K382)&gt;Settings!$S$7,"Over revision limit",IF(AND(D382="Free video",J382="",E382&lt;&gt;"",TODAY()&gt;WORKDAY(E382,Settings!$S$5)),"LATE – free video promised in 5 working days",IF(AND(E382&lt;&gt;"",E382=TODAY()),"Shooting today",""))))</f>
        <v/>
      </c>
    </row>
    <row r="383" customFormat="false" ht="15" hidden="false" customHeight="false" outlineLevel="0" collapsed="false">
      <c r="A383" s="17"/>
      <c r="B383" s="17"/>
      <c r="C383" s="44" t="str">
        <f aca="false">IF(B383="","",IFERROR(INDEX(Clients!$C$2:$C$501,MATCH(B383,Clients!$A$2:$A$501,0)),"Client ID not found"))</f>
        <v/>
      </c>
      <c r="D383" s="17"/>
      <c r="E383" s="40"/>
      <c r="F383" s="41"/>
      <c r="G383" s="17"/>
      <c r="H383" s="17"/>
      <c r="I383" s="17"/>
      <c r="J383" s="40"/>
      <c r="K383" s="17"/>
      <c r="L383" s="17"/>
      <c r="M383" s="17"/>
      <c r="N383" s="44" t="str">
        <f aca="true">IF(A383="","",IF(N(K383)&gt;Settings!$S$7,"Over revision limit",IF(AND(D383="Free video",J383="",E383&lt;&gt;"",TODAY()&gt;WORKDAY(E383,Settings!$S$5)),"LATE – free video promised in 5 working days",IF(AND(E383&lt;&gt;"",E383=TODAY()),"Shooting today",""))))</f>
        <v/>
      </c>
    </row>
    <row r="384" customFormat="false" ht="15" hidden="false" customHeight="false" outlineLevel="0" collapsed="false">
      <c r="A384" s="17"/>
      <c r="B384" s="17"/>
      <c r="C384" s="44" t="str">
        <f aca="false">IF(B384="","",IFERROR(INDEX(Clients!$C$2:$C$501,MATCH(B384,Clients!$A$2:$A$501,0)),"Client ID not found"))</f>
        <v/>
      </c>
      <c r="D384" s="17"/>
      <c r="E384" s="40"/>
      <c r="F384" s="41"/>
      <c r="G384" s="17"/>
      <c r="H384" s="17"/>
      <c r="I384" s="17"/>
      <c r="J384" s="40"/>
      <c r="K384" s="17"/>
      <c r="L384" s="17"/>
      <c r="M384" s="17"/>
      <c r="N384" s="44" t="str">
        <f aca="true">IF(A384="","",IF(N(K384)&gt;Settings!$S$7,"Over revision limit",IF(AND(D384="Free video",J384="",E384&lt;&gt;"",TODAY()&gt;WORKDAY(E384,Settings!$S$5)),"LATE – free video promised in 5 working days",IF(AND(E384&lt;&gt;"",E384=TODAY()),"Shooting today",""))))</f>
        <v/>
      </c>
    </row>
    <row r="385" customFormat="false" ht="15" hidden="false" customHeight="false" outlineLevel="0" collapsed="false">
      <c r="A385" s="17"/>
      <c r="B385" s="17"/>
      <c r="C385" s="44" t="str">
        <f aca="false">IF(B385="","",IFERROR(INDEX(Clients!$C$2:$C$501,MATCH(B385,Clients!$A$2:$A$501,0)),"Client ID not found"))</f>
        <v/>
      </c>
      <c r="D385" s="17"/>
      <c r="E385" s="40"/>
      <c r="F385" s="41"/>
      <c r="G385" s="17"/>
      <c r="H385" s="17"/>
      <c r="I385" s="17"/>
      <c r="J385" s="40"/>
      <c r="K385" s="17"/>
      <c r="L385" s="17"/>
      <c r="M385" s="17"/>
      <c r="N385" s="44" t="str">
        <f aca="true">IF(A385="","",IF(N(K385)&gt;Settings!$S$7,"Over revision limit",IF(AND(D385="Free video",J385="",E385&lt;&gt;"",TODAY()&gt;WORKDAY(E385,Settings!$S$5)),"LATE – free video promised in 5 working days",IF(AND(E385&lt;&gt;"",E385=TODAY()),"Shooting today",""))))</f>
        <v/>
      </c>
    </row>
    <row r="386" customFormat="false" ht="15" hidden="false" customHeight="false" outlineLevel="0" collapsed="false">
      <c r="A386" s="17"/>
      <c r="B386" s="17"/>
      <c r="C386" s="44" t="str">
        <f aca="false">IF(B386="","",IFERROR(INDEX(Clients!$C$2:$C$501,MATCH(B386,Clients!$A$2:$A$501,0)),"Client ID not found"))</f>
        <v/>
      </c>
      <c r="D386" s="17"/>
      <c r="E386" s="40"/>
      <c r="F386" s="41"/>
      <c r="G386" s="17"/>
      <c r="H386" s="17"/>
      <c r="I386" s="17"/>
      <c r="J386" s="40"/>
      <c r="K386" s="17"/>
      <c r="L386" s="17"/>
      <c r="M386" s="17"/>
      <c r="N386" s="44" t="str">
        <f aca="true">IF(A386="","",IF(N(K386)&gt;Settings!$S$7,"Over revision limit",IF(AND(D386="Free video",J386="",E386&lt;&gt;"",TODAY()&gt;WORKDAY(E386,Settings!$S$5)),"LATE – free video promised in 5 working days",IF(AND(E386&lt;&gt;"",E386=TODAY()),"Shooting today",""))))</f>
        <v/>
      </c>
    </row>
    <row r="387" customFormat="false" ht="15" hidden="false" customHeight="false" outlineLevel="0" collapsed="false">
      <c r="A387" s="17"/>
      <c r="B387" s="17"/>
      <c r="C387" s="44" t="str">
        <f aca="false">IF(B387="","",IFERROR(INDEX(Clients!$C$2:$C$501,MATCH(B387,Clients!$A$2:$A$501,0)),"Client ID not found"))</f>
        <v/>
      </c>
      <c r="D387" s="17"/>
      <c r="E387" s="40"/>
      <c r="F387" s="41"/>
      <c r="G387" s="17"/>
      <c r="H387" s="17"/>
      <c r="I387" s="17"/>
      <c r="J387" s="40"/>
      <c r="K387" s="17"/>
      <c r="L387" s="17"/>
      <c r="M387" s="17"/>
      <c r="N387" s="44" t="str">
        <f aca="true">IF(A387="","",IF(N(K387)&gt;Settings!$S$7,"Over revision limit",IF(AND(D387="Free video",J387="",E387&lt;&gt;"",TODAY()&gt;WORKDAY(E387,Settings!$S$5)),"LATE – free video promised in 5 working days",IF(AND(E387&lt;&gt;"",E387=TODAY()),"Shooting today",""))))</f>
        <v/>
      </c>
    </row>
    <row r="388" customFormat="false" ht="15" hidden="false" customHeight="false" outlineLevel="0" collapsed="false">
      <c r="A388" s="17"/>
      <c r="B388" s="17"/>
      <c r="C388" s="44" t="str">
        <f aca="false">IF(B388="","",IFERROR(INDEX(Clients!$C$2:$C$501,MATCH(B388,Clients!$A$2:$A$501,0)),"Client ID not found"))</f>
        <v/>
      </c>
      <c r="D388" s="17"/>
      <c r="E388" s="40"/>
      <c r="F388" s="41"/>
      <c r="G388" s="17"/>
      <c r="H388" s="17"/>
      <c r="I388" s="17"/>
      <c r="J388" s="40"/>
      <c r="K388" s="17"/>
      <c r="L388" s="17"/>
      <c r="M388" s="17"/>
      <c r="N388" s="44" t="str">
        <f aca="true">IF(A388="","",IF(N(K388)&gt;Settings!$S$7,"Over revision limit",IF(AND(D388="Free video",J388="",E388&lt;&gt;"",TODAY()&gt;WORKDAY(E388,Settings!$S$5)),"LATE – free video promised in 5 working days",IF(AND(E388&lt;&gt;"",E388=TODAY()),"Shooting today",""))))</f>
        <v/>
      </c>
    </row>
    <row r="389" customFormat="false" ht="15" hidden="false" customHeight="false" outlineLevel="0" collapsed="false">
      <c r="A389" s="17"/>
      <c r="B389" s="17"/>
      <c r="C389" s="44" t="str">
        <f aca="false">IF(B389="","",IFERROR(INDEX(Clients!$C$2:$C$501,MATCH(B389,Clients!$A$2:$A$501,0)),"Client ID not found"))</f>
        <v/>
      </c>
      <c r="D389" s="17"/>
      <c r="E389" s="40"/>
      <c r="F389" s="41"/>
      <c r="G389" s="17"/>
      <c r="H389" s="17"/>
      <c r="I389" s="17"/>
      <c r="J389" s="40"/>
      <c r="K389" s="17"/>
      <c r="L389" s="17"/>
      <c r="M389" s="17"/>
      <c r="N389" s="44" t="str">
        <f aca="true">IF(A389="","",IF(N(K389)&gt;Settings!$S$7,"Over revision limit",IF(AND(D389="Free video",J389="",E389&lt;&gt;"",TODAY()&gt;WORKDAY(E389,Settings!$S$5)),"LATE – free video promised in 5 working days",IF(AND(E389&lt;&gt;"",E389=TODAY()),"Shooting today",""))))</f>
        <v/>
      </c>
    </row>
    <row r="390" customFormat="false" ht="15" hidden="false" customHeight="false" outlineLevel="0" collapsed="false">
      <c r="A390" s="17"/>
      <c r="B390" s="17"/>
      <c r="C390" s="44" t="str">
        <f aca="false">IF(B390="","",IFERROR(INDEX(Clients!$C$2:$C$501,MATCH(B390,Clients!$A$2:$A$501,0)),"Client ID not found"))</f>
        <v/>
      </c>
      <c r="D390" s="17"/>
      <c r="E390" s="40"/>
      <c r="F390" s="41"/>
      <c r="G390" s="17"/>
      <c r="H390" s="17"/>
      <c r="I390" s="17"/>
      <c r="J390" s="40"/>
      <c r="K390" s="17"/>
      <c r="L390" s="17"/>
      <c r="M390" s="17"/>
      <c r="N390" s="44" t="str">
        <f aca="true">IF(A390="","",IF(N(K390)&gt;Settings!$S$7,"Over revision limit",IF(AND(D390="Free video",J390="",E390&lt;&gt;"",TODAY()&gt;WORKDAY(E390,Settings!$S$5)),"LATE – free video promised in 5 working days",IF(AND(E390&lt;&gt;"",E390=TODAY()),"Shooting today",""))))</f>
        <v/>
      </c>
    </row>
    <row r="391" customFormat="false" ht="15" hidden="false" customHeight="false" outlineLevel="0" collapsed="false">
      <c r="A391" s="17"/>
      <c r="B391" s="17"/>
      <c r="C391" s="44" t="str">
        <f aca="false">IF(B391="","",IFERROR(INDEX(Clients!$C$2:$C$501,MATCH(B391,Clients!$A$2:$A$501,0)),"Client ID not found"))</f>
        <v/>
      </c>
      <c r="D391" s="17"/>
      <c r="E391" s="40"/>
      <c r="F391" s="41"/>
      <c r="G391" s="17"/>
      <c r="H391" s="17"/>
      <c r="I391" s="17"/>
      <c r="J391" s="40"/>
      <c r="K391" s="17"/>
      <c r="L391" s="17"/>
      <c r="M391" s="17"/>
      <c r="N391" s="44" t="str">
        <f aca="true">IF(A391="","",IF(N(K391)&gt;Settings!$S$7,"Over revision limit",IF(AND(D391="Free video",J391="",E391&lt;&gt;"",TODAY()&gt;WORKDAY(E391,Settings!$S$5)),"LATE – free video promised in 5 working days",IF(AND(E391&lt;&gt;"",E391=TODAY()),"Shooting today",""))))</f>
        <v/>
      </c>
    </row>
    <row r="392" customFormat="false" ht="15" hidden="false" customHeight="false" outlineLevel="0" collapsed="false">
      <c r="A392" s="17"/>
      <c r="B392" s="17"/>
      <c r="C392" s="44" t="str">
        <f aca="false">IF(B392="","",IFERROR(INDEX(Clients!$C$2:$C$501,MATCH(B392,Clients!$A$2:$A$501,0)),"Client ID not found"))</f>
        <v/>
      </c>
      <c r="D392" s="17"/>
      <c r="E392" s="40"/>
      <c r="F392" s="41"/>
      <c r="G392" s="17"/>
      <c r="H392" s="17"/>
      <c r="I392" s="17"/>
      <c r="J392" s="40"/>
      <c r="K392" s="17"/>
      <c r="L392" s="17"/>
      <c r="M392" s="17"/>
      <c r="N392" s="44" t="str">
        <f aca="true">IF(A392="","",IF(N(K392)&gt;Settings!$S$7,"Over revision limit",IF(AND(D392="Free video",J392="",E392&lt;&gt;"",TODAY()&gt;WORKDAY(E392,Settings!$S$5)),"LATE – free video promised in 5 working days",IF(AND(E392&lt;&gt;"",E392=TODAY()),"Shooting today",""))))</f>
        <v/>
      </c>
    </row>
    <row r="393" customFormat="false" ht="15" hidden="false" customHeight="false" outlineLevel="0" collapsed="false">
      <c r="A393" s="17"/>
      <c r="B393" s="17"/>
      <c r="C393" s="44" t="str">
        <f aca="false">IF(B393="","",IFERROR(INDEX(Clients!$C$2:$C$501,MATCH(B393,Clients!$A$2:$A$501,0)),"Client ID not found"))</f>
        <v/>
      </c>
      <c r="D393" s="17"/>
      <c r="E393" s="40"/>
      <c r="F393" s="41"/>
      <c r="G393" s="17"/>
      <c r="H393" s="17"/>
      <c r="I393" s="17"/>
      <c r="J393" s="40"/>
      <c r="K393" s="17"/>
      <c r="L393" s="17"/>
      <c r="M393" s="17"/>
      <c r="N393" s="44" t="str">
        <f aca="true">IF(A393="","",IF(N(K393)&gt;Settings!$S$7,"Over revision limit",IF(AND(D393="Free video",J393="",E393&lt;&gt;"",TODAY()&gt;WORKDAY(E393,Settings!$S$5)),"LATE – free video promised in 5 working days",IF(AND(E393&lt;&gt;"",E393=TODAY()),"Shooting today",""))))</f>
        <v/>
      </c>
    </row>
    <row r="394" customFormat="false" ht="15" hidden="false" customHeight="false" outlineLevel="0" collapsed="false">
      <c r="A394" s="17"/>
      <c r="B394" s="17"/>
      <c r="C394" s="44" t="str">
        <f aca="false">IF(B394="","",IFERROR(INDEX(Clients!$C$2:$C$501,MATCH(B394,Clients!$A$2:$A$501,0)),"Client ID not found"))</f>
        <v/>
      </c>
      <c r="D394" s="17"/>
      <c r="E394" s="40"/>
      <c r="F394" s="41"/>
      <c r="G394" s="17"/>
      <c r="H394" s="17"/>
      <c r="I394" s="17"/>
      <c r="J394" s="40"/>
      <c r="K394" s="17"/>
      <c r="L394" s="17"/>
      <c r="M394" s="17"/>
      <c r="N394" s="44" t="str">
        <f aca="true">IF(A394="","",IF(N(K394)&gt;Settings!$S$7,"Over revision limit",IF(AND(D394="Free video",J394="",E394&lt;&gt;"",TODAY()&gt;WORKDAY(E394,Settings!$S$5)),"LATE – free video promised in 5 working days",IF(AND(E394&lt;&gt;"",E394=TODAY()),"Shooting today",""))))</f>
        <v/>
      </c>
    </row>
    <row r="395" customFormat="false" ht="15" hidden="false" customHeight="false" outlineLevel="0" collapsed="false">
      <c r="A395" s="17"/>
      <c r="B395" s="17"/>
      <c r="C395" s="44" t="str">
        <f aca="false">IF(B395="","",IFERROR(INDEX(Clients!$C$2:$C$501,MATCH(B395,Clients!$A$2:$A$501,0)),"Client ID not found"))</f>
        <v/>
      </c>
      <c r="D395" s="17"/>
      <c r="E395" s="40"/>
      <c r="F395" s="41"/>
      <c r="G395" s="17"/>
      <c r="H395" s="17"/>
      <c r="I395" s="17"/>
      <c r="J395" s="40"/>
      <c r="K395" s="17"/>
      <c r="L395" s="17"/>
      <c r="M395" s="17"/>
      <c r="N395" s="44" t="str">
        <f aca="true">IF(A395="","",IF(N(K395)&gt;Settings!$S$7,"Over revision limit",IF(AND(D395="Free video",J395="",E395&lt;&gt;"",TODAY()&gt;WORKDAY(E395,Settings!$S$5)),"LATE – free video promised in 5 working days",IF(AND(E395&lt;&gt;"",E395=TODAY()),"Shooting today",""))))</f>
        <v/>
      </c>
    </row>
    <row r="396" customFormat="false" ht="15" hidden="false" customHeight="false" outlineLevel="0" collapsed="false">
      <c r="A396" s="17"/>
      <c r="B396" s="17"/>
      <c r="C396" s="44" t="str">
        <f aca="false">IF(B396="","",IFERROR(INDEX(Clients!$C$2:$C$501,MATCH(B396,Clients!$A$2:$A$501,0)),"Client ID not found"))</f>
        <v/>
      </c>
      <c r="D396" s="17"/>
      <c r="E396" s="40"/>
      <c r="F396" s="41"/>
      <c r="G396" s="17"/>
      <c r="H396" s="17"/>
      <c r="I396" s="17"/>
      <c r="J396" s="40"/>
      <c r="K396" s="17"/>
      <c r="L396" s="17"/>
      <c r="M396" s="17"/>
      <c r="N396" s="44" t="str">
        <f aca="true">IF(A396="","",IF(N(K396)&gt;Settings!$S$7,"Over revision limit",IF(AND(D396="Free video",J396="",E396&lt;&gt;"",TODAY()&gt;WORKDAY(E396,Settings!$S$5)),"LATE – free video promised in 5 working days",IF(AND(E396&lt;&gt;"",E396=TODAY()),"Shooting today",""))))</f>
        <v/>
      </c>
    </row>
    <row r="397" customFormat="false" ht="15" hidden="false" customHeight="false" outlineLevel="0" collapsed="false">
      <c r="A397" s="17"/>
      <c r="B397" s="17"/>
      <c r="C397" s="44" t="str">
        <f aca="false">IF(B397="","",IFERROR(INDEX(Clients!$C$2:$C$501,MATCH(B397,Clients!$A$2:$A$501,0)),"Client ID not found"))</f>
        <v/>
      </c>
      <c r="D397" s="17"/>
      <c r="E397" s="40"/>
      <c r="F397" s="41"/>
      <c r="G397" s="17"/>
      <c r="H397" s="17"/>
      <c r="I397" s="17"/>
      <c r="J397" s="40"/>
      <c r="K397" s="17"/>
      <c r="L397" s="17"/>
      <c r="M397" s="17"/>
      <c r="N397" s="44" t="str">
        <f aca="true">IF(A397="","",IF(N(K397)&gt;Settings!$S$7,"Over revision limit",IF(AND(D397="Free video",J397="",E397&lt;&gt;"",TODAY()&gt;WORKDAY(E397,Settings!$S$5)),"LATE – free video promised in 5 working days",IF(AND(E397&lt;&gt;"",E397=TODAY()),"Shooting today",""))))</f>
        <v/>
      </c>
    </row>
    <row r="398" customFormat="false" ht="15" hidden="false" customHeight="false" outlineLevel="0" collapsed="false">
      <c r="A398" s="17"/>
      <c r="B398" s="17"/>
      <c r="C398" s="44" t="str">
        <f aca="false">IF(B398="","",IFERROR(INDEX(Clients!$C$2:$C$501,MATCH(B398,Clients!$A$2:$A$501,0)),"Client ID not found"))</f>
        <v/>
      </c>
      <c r="D398" s="17"/>
      <c r="E398" s="40"/>
      <c r="F398" s="41"/>
      <c r="G398" s="17"/>
      <c r="H398" s="17"/>
      <c r="I398" s="17"/>
      <c r="J398" s="40"/>
      <c r="K398" s="17"/>
      <c r="L398" s="17"/>
      <c r="M398" s="17"/>
      <c r="N398" s="44" t="str">
        <f aca="true">IF(A398="","",IF(N(K398)&gt;Settings!$S$7,"Over revision limit",IF(AND(D398="Free video",J398="",E398&lt;&gt;"",TODAY()&gt;WORKDAY(E398,Settings!$S$5)),"LATE – free video promised in 5 working days",IF(AND(E398&lt;&gt;"",E398=TODAY()),"Shooting today",""))))</f>
        <v/>
      </c>
    </row>
    <row r="399" customFormat="false" ht="15" hidden="false" customHeight="false" outlineLevel="0" collapsed="false">
      <c r="A399" s="17"/>
      <c r="B399" s="17"/>
      <c r="C399" s="44" t="str">
        <f aca="false">IF(B399="","",IFERROR(INDEX(Clients!$C$2:$C$501,MATCH(B399,Clients!$A$2:$A$501,0)),"Client ID not found"))</f>
        <v/>
      </c>
      <c r="D399" s="17"/>
      <c r="E399" s="40"/>
      <c r="F399" s="41"/>
      <c r="G399" s="17"/>
      <c r="H399" s="17"/>
      <c r="I399" s="17"/>
      <c r="J399" s="40"/>
      <c r="K399" s="17"/>
      <c r="L399" s="17"/>
      <c r="M399" s="17"/>
      <c r="N399" s="44" t="str">
        <f aca="true">IF(A399="","",IF(N(K399)&gt;Settings!$S$7,"Over revision limit",IF(AND(D399="Free video",J399="",E399&lt;&gt;"",TODAY()&gt;WORKDAY(E399,Settings!$S$5)),"LATE – free video promised in 5 working days",IF(AND(E399&lt;&gt;"",E399=TODAY()),"Shooting today",""))))</f>
        <v/>
      </c>
    </row>
    <row r="400" customFormat="false" ht="15" hidden="false" customHeight="false" outlineLevel="0" collapsed="false">
      <c r="A400" s="17"/>
      <c r="B400" s="17"/>
      <c r="C400" s="44" t="str">
        <f aca="false">IF(B400="","",IFERROR(INDEX(Clients!$C$2:$C$501,MATCH(B400,Clients!$A$2:$A$501,0)),"Client ID not found"))</f>
        <v/>
      </c>
      <c r="D400" s="17"/>
      <c r="E400" s="40"/>
      <c r="F400" s="41"/>
      <c r="G400" s="17"/>
      <c r="H400" s="17"/>
      <c r="I400" s="17"/>
      <c r="J400" s="40"/>
      <c r="K400" s="17"/>
      <c r="L400" s="17"/>
      <c r="M400" s="17"/>
      <c r="N400" s="44" t="str">
        <f aca="true">IF(A400="","",IF(N(K400)&gt;Settings!$S$7,"Over revision limit",IF(AND(D400="Free video",J400="",E400&lt;&gt;"",TODAY()&gt;WORKDAY(E400,Settings!$S$5)),"LATE – free video promised in 5 working days",IF(AND(E400&lt;&gt;"",E400=TODAY()),"Shooting today",""))))</f>
        <v/>
      </c>
    </row>
    <row r="401" customFormat="false" ht="15" hidden="false" customHeight="false" outlineLevel="0" collapsed="false">
      <c r="A401" s="17"/>
      <c r="B401" s="17"/>
      <c r="C401" s="44" t="str">
        <f aca="false">IF(B401="","",IFERROR(INDEX(Clients!$C$2:$C$501,MATCH(B401,Clients!$A$2:$A$501,0)),"Client ID not found"))</f>
        <v/>
      </c>
      <c r="D401" s="17"/>
      <c r="E401" s="40"/>
      <c r="F401" s="41"/>
      <c r="G401" s="17"/>
      <c r="H401" s="17"/>
      <c r="I401" s="17"/>
      <c r="J401" s="40"/>
      <c r="K401" s="17"/>
      <c r="L401" s="17"/>
      <c r="M401" s="17"/>
      <c r="N401" s="44" t="str">
        <f aca="true">IF(A401="","",IF(N(K401)&gt;Settings!$S$7,"Over revision limit",IF(AND(D401="Free video",J401="",E401&lt;&gt;"",TODAY()&gt;WORKDAY(E401,Settings!$S$5)),"LATE – free video promised in 5 working days",IF(AND(E401&lt;&gt;"",E401=TODAY()),"Shooting today",""))))</f>
        <v/>
      </c>
    </row>
    <row r="402" customFormat="false" ht="15" hidden="false" customHeight="false" outlineLevel="0" collapsed="false">
      <c r="A402" s="17"/>
      <c r="B402" s="17"/>
      <c r="C402" s="44" t="str">
        <f aca="false">IF(B402="","",IFERROR(INDEX(Clients!$C$2:$C$501,MATCH(B402,Clients!$A$2:$A$501,0)),"Client ID not found"))</f>
        <v/>
      </c>
      <c r="D402" s="17"/>
      <c r="E402" s="40"/>
      <c r="F402" s="41"/>
      <c r="G402" s="17"/>
      <c r="H402" s="17"/>
      <c r="I402" s="17"/>
      <c r="J402" s="40"/>
      <c r="K402" s="17"/>
      <c r="L402" s="17"/>
      <c r="M402" s="17"/>
      <c r="N402" s="44" t="str">
        <f aca="true">IF(A402="","",IF(N(K402)&gt;Settings!$S$7,"Over revision limit",IF(AND(D402="Free video",J402="",E402&lt;&gt;"",TODAY()&gt;WORKDAY(E402,Settings!$S$5)),"LATE – free video promised in 5 working days",IF(AND(E402&lt;&gt;"",E402=TODAY()),"Shooting today",""))))</f>
        <v/>
      </c>
    </row>
    <row r="403" customFormat="false" ht="15" hidden="false" customHeight="false" outlineLevel="0" collapsed="false">
      <c r="A403" s="17"/>
      <c r="B403" s="17"/>
      <c r="C403" s="44" t="str">
        <f aca="false">IF(B403="","",IFERROR(INDEX(Clients!$C$2:$C$501,MATCH(B403,Clients!$A$2:$A$501,0)),"Client ID not found"))</f>
        <v/>
      </c>
      <c r="D403" s="17"/>
      <c r="E403" s="40"/>
      <c r="F403" s="41"/>
      <c r="G403" s="17"/>
      <c r="H403" s="17"/>
      <c r="I403" s="17"/>
      <c r="J403" s="40"/>
      <c r="K403" s="17"/>
      <c r="L403" s="17"/>
      <c r="M403" s="17"/>
      <c r="N403" s="44" t="str">
        <f aca="true">IF(A403="","",IF(N(K403)&gt;Settings!$S$7,"Over revision limit",IF(AND(D403="Free video",J403="",E403&lt;&gt;"",TODAY()&gt;WORKDAY(E403,Settings!$S$5)),"LATE – free video promised in 5 working days",IF(AND(E403&lt;&gt;"",E403=TODAY()),"Shooting today",""))))</f>
        <v/>
      </c>
    </row>
    <row r="404" customFormat="false" ht="15" hidden="false" customHeight="false" outlineLevel="0" collapsed="false">
      <c r="A404" s="17"/>
      <c r="B404" s="17"/>
      <c r="C404" s="44" t="str">
        <f aca="false">IF(B404="","",IFERROR(INDEX(Clients!$C$2:$C$501,MATCH(B404,Clients!$A$2:$A$501,0)),"Client ID not found"))</f>
        <v/>
      </c>
      <c r="D404" s="17"/>
      <c r="E404" s="40"/>
      <c r="F404" s="41"/>
      <c r="G404" s="17"/>
      <c r="H404" s="17"/>
      <c r="I404" s="17"/>
      <c r="J404" s="40"/>
      <c r="K404" s="17"/>
      <c r="L404" s="17"/>
      <c r="M404" s="17"/>
      <c r="N404" s="44" t="str">
        <f aca="true">IF(A404="","",IF(N(K404)&gt;Settings!$S$7,"Over revision limit",IF(AND(D404="Free video",J404="",E404&lt;&gt;"",TODAY()&gt;WORKDAY(E404,Settings!$S$5)),"LATE – free video promised in 5 working days",IF(AND(E404&lt;&gt;"",E404=TODAY()),"Shooting today",""))))</f>
        <v/>
      </c>
    </row>
    <row r="405" customFormat="false" ht="15" hidden="false" customHeight="false" outlineLevel="0" collapsed="false">
      <c r="A405" s="17"/>
      <c r="B405" s="17"/>
      <c r="C405" s="44" t="str">
        <f aca="false">IF(B405="","",IFERROR(INDEX(Clients!$C$2:$C$501,MATCH(B405,Clients!$A$2:$A$501,0)),"Client ID not found"))</f>
        <v/>
      </c>
      <c r="D405" s="17"/>
      <c r="E405" s="40"/>
      <c r="F405" s="41"/>
      <c r="G405" s="17"/>
      <c r="H405" s="17"/>
      <c r="I405" s="17"/>
      <c r="J405" s="40"/>
      <c r="K405" s="17"/>
      <c r="L405" s="17"/>
      <c r="M405" s="17"/>
      <c r="N405" s="44" t="str">
        <f aca="true">IF(A405="","",IF(N(K405)&gt;Settings!$S$7,"Over revision limit",IF(AND(D405="Free video",J405="",E405&lt;&gt;"",TODAY()&gt;WORKDAY(E405,Settings!$S$5)),"LATE – free video promised in 5 working days",IF(AND(E405&lt;&gt;"",E405=TODAY()),"Shooting today",""))))</f>
        <v/>
      </c>
    </row>
    <row r="406" customFormat="false" ht="15" hidden="false" customHeight="false" outlineLevel="0" collapsed="false">
      <c r="A406" s="17"/>
      <c r="B406" s="17"/>
      <c r="C406" s="44" t="str">
        <f aca="false">IF(B406="","",IFERROR(INDEX(Clients!$C$2:$C$501,MATCH(B406,Clients!$A$2:$A$501,0)),"Client ID not found"))</f>
        <v/>
      </c>
      <c r="D406" s="17"/>
      <c r="E406" s="40"/>
      <c r="F406" s="41"/>
      <c r="G406" s="17"/>
      <c r="H406" s="17"/>
      <c r="I406" s="17"/>
      <c r="J406" s="40"/>
      <c r="K406" s="17"/>
      <c r="L406" s="17"/>
      <c r="M406" s="17"/>
      <c r="N406" s="44" t="str">
        <f aca="true">IF(A406="","",IF(N(K406)&gt;Settings!$S$7,"Over revision limit",IF(AND(D406="Free video",J406="",E406&lt;&gt;"",TODAY()&gt;WORKDAY(E406,Settings!$S$5)),"LATE – free video promised in 5 working days",IF(AND(E406&lt;&gt;"",E406=TODAY()),"Shooting today",""))))</f>
        <v/>
      </c>
    </row>
    <row r="407" customFormat="false" ht="15" hidden="false" customHeight="false" outlineLevel="0" collapsed="false">
      <c r="A407" s="17"/>
      <c r="B407" s="17"/>
      <c r="C407" s="44" t="str">
        <f aca="false">IF(B407="","",IFERROR(INDEX(Clients!$C$2:$C$501,MATCH(B407,Clients!$A$2:$A$501,0)),"Client ID not found"))</f>
        <v/>
      </c>
      <c r="D407" s="17"/>
      <c r="E407" s="40"/>
      <c r="F407" s="41"/>
      <c r="G407" s="17"/>
      <c r="H407" s="17"/>
      <c r="I407" s="17"/>
      <c r="J407" s="40"/>
      <c r="K407" s="17"/>
      <c r="L407" s="17"/>
      <c r="M407" s="17"/>
      <c r="N407" s="44" t="str">
        <f aca="true">IF(A407="","",IF(N(K407)&gt;Settings!$S$7,"Over revision limit",IF(AND(D407="Free video",J407="",E407&lt;&gt;"",TODAY()&gt;WORKDAY(E407,Settings!$S$5)),"LATE – free video promised in 5 working days",IF(AND(E407&lt;&gt;"",E407=TODAY()),"Shooting today",""))))</f>
        <v/>
      </c>
    </row>
    <row r="408" customFormat="false" ht="15" hidden="false" customHeight="false" outlineLevel="0" collapsed="false">
      <c r="A408" s="17"/>
      <c r="B408" s="17"/>
      <c r="C408" s="44" t="str">
        <f aca="false">IF(B408="","",IFERROR(INDEX(Clients!$C$2:$C$501,MATCH(B408,Clients!$A$2:$A$501,0)),"Client ID not found"))</f>
        <v/>
      </c>
      <c r="D408" s="17"/>
      <c r="E408" s="40"/>
      <c r="F408" s="41"/>
      <c r="G408" s="17"/>
      <c r="H408" s="17"/>
      <c r="I408" s="17"/>
      <c r="J408" s="40"/>
      <c r="K408" s="17"/>
      <c r="L408" s="17"/>
      <c r="M408" s="17"/>
      <c r="N408" s="44" t="str">
        <f aca="true">IF(A408="","",IF(N(K408)&gt;Settings!$S$7,"Over revision limit",IF(AND(D408="Free video",J408="",E408&lt;&gt;"",TODAY()&gt;WORKDAY(E408,Settings!$S$5)),"LATE – free video promised in 5 working days",IF(AND(E408&lt;&gt;"",E408=TODAY()),"Shooting today",""))))</f>
        <v/>
      </c>
    </row>
    <row r="409" customFormat="false" ht="15" hidden="false" customHeight="false" outlineLevel="0" collapsed="false">
      <c r="A409" s="17"/>
      <c r="B409" s="17"/>
      <c r="C409" s="44" t="str">
        <f aca="false">IF(B409="","",IFERROR(INDEX(Clients!$C$2:$C$501,MATCH(B409,Clients!$A$2:$A$501,0)),"Client ID not found"))</f>
        <v/>
      </c>
      <c r="D409" s="17"/>
      <c r="E409" s="40"/>
      <c r="F409" s="41"/>
      <c r="G409" s="17"/>
      <c r="H409" s="17"/>
      <c r="I409" s="17"/>
      <c r="J409" s="40"/>
      <c r="K409" s="17"/>
      <c r="L409" s="17"/>
      <c r="M409" s="17"/>
      <c r="N409" s="44" t="str">
        <f aca="true">IF(A409="","",IF(N(K409)&gt;Settings!$S$7,"Over revision limit",IF(AND(D409="Free video",J409="",E409&lt;&gt;"",TODAY()&gt;WORKDAY(E409,Settings!$S$5)),"LATE – free video promised in 5 working days",IF(AND(E409&lt;&gt;"",E409=TODAY()),"Shooting today",""))))</f>
        <v/>
      </c>
    </row>
    <row r="410" customFormat="false" ht="15" hidden="false" customHeight="false" outlineLevel="0" collapsed="false">
      <c r="A410" s="17"/>
      <c r="B410" s="17"/>
      <c r="C410" s="44" t="str">
        <f aca="false">IF(B410="","",IFERROR(INDEX(Clients!$C$2:$C$501,MATCH(B410,Clients!$A$2:$A$501,0)),"Client ID not found"))</f>
        <v/>
      </c>
      <c r="D410" s="17"/>
      <c r="E410" s="40"/>
      <c r="F410" s="41"/>
      <c r="G410" s="17"/>
      <c r="H410" s="17"/>
      <c r="I410" s="17"/>
      <c r="J410" s="40"/>
      <c r="K410" s="17"/>
      <c r="L410" s="17"/>
      <c r="M410" s="17"/>
      <c r="N410" s="44" t="str">
        <f aca="true">IF(A410="","",IF(N(K410)&gt;Settings!$S$7,"Over revision limit",IF(AND(D410="Free video",J410="",E410&lt;&gt;"",TODAY()&gt;WORKDAY(E410,Settings!$S$5)),"LATE – free video promised in 5 working days",IF(AND(E410&lt;&gt;"",E410=TODAY()),"Shooting today",""))))</f>
        <v/>
      </c>
    </row>
    <row r="411" customFormat="false" ht="15" hidden="false" customHeight="false" outlineLevel="0" collapsed="false">
      <c r="A411" s="17"/>
      <c r="B411" s="17"/>
      <c r="C411" s="44" t="str">
        <f aca="false">IF(B411="","",IFERROR(INDEX(Clients!$C$2:$C$501,MATCH(B411,Clients!$A$2:$A$501,0)),"Client ID not found"))</f>
        <v/>
      </c>
      <c r="D411" s="17"/>
      <c r="E411" s="40"/>
      <c r="F411" s="41"/>
      <c r="G411" s="17"/>
      <c r="H411" s="17"/>
      <c r="I411" s="17"/>
      <c r="J411" s="40"/>
      <c r="K411" s="17"/>
      <c r="L411" s="17"/>
      <c r="M411" s="17"/>
      <c r="N411" s="44" t="str">
        <f aca="true">IF(A411="","",IF(N(K411)&gt;Settings!$S$7,"Over revision limit",IF(AND(D411="Free video",J411="",E411&lt;&gt;"",TODAY()&gt;WORKDAY(E411,Settings!$S$5)),"LATE – free video promised in 5 working days",IF(AND(E411&lt;&gt;"",E411=TODAY()),"Shooting today",""))))</f>
        <v/>
      </c>
    </row>
    <row r="412" customFormat="false" ht="15" hidden="false" customHeight="false" outlineLevel="0" collapsed="false">
      <c r="A412" s="17"/>
      <c r="B412" s="17"/>
      <c r="C412" s="44" t="str">
        <f aca="false">IF(B412="","",IFERROR(INDEX(Clients!$C$2:$C$501,MATCH(B412,Clients!$A$2:$A$501,0)),"Client ID not found"))</f>
        <v/>
      </c>
      <c r="D412" s="17"/>
      <c r="E412" s="40"/>
      <c r="F412" s="41"/>
      <c r="G412" s="17"/>
      <c r="H412" s="17"/>
      <c r="I412" s="17"/>
      <c r="J412" s="40"/>
      <c r="K412" s="17"/>
      <c r="L412" s="17"/>
      <c r="M412" s="17"/>
      <c r="N412" s="44" t="str">
        <f aca="true">IF(A412="","",IF(N(K412)&gt;Settings!$S$7,"Over revision limit",IF(AND(D412="Free video",J412="",E412&lt;&gt;"",TODAY()&gt;WORKDAY(E412,Settings!$S$5)),"LATE – free video promised in 5 working days",IF(AND(E412&lt;&gt;"",E412=TODAY()),"Shooting today",""))))</f>
        <v/>
      </c>
    </row>
    <row r="413" customFormat="false" ht="15" hidden="false" customHeight="false" outlineLevel="0" collapsed="false">
      <c r="A413" s="17"/>
      <c r="B413" s="17"/>
      <c r="C413" s="44" t="str">
        <f aca="false">IF(B413="","",IFERROR(INDEX(Clients!$C$2:$C$501,MATCH(B413,Clients!$A$2:$A$501,0)),"Client ID not found"))</f>
        <v/>
      </c>
      <c r="D413" s="17"/>
      <c r="E413" s="40"/>
      <c r="F413" s="41"/>
      <c r="G413" s="17"/>
      <c r="H413" s="17"/>
      <c r="I413" s="17"/>
      <c r="J413" s="40"/>
      <c r="K413" s="17"/>
      <c r="L413" s="17"/>
      <c r="M413" s="17"/>
      <c r="N413" s="44" t="str">
        <f aca="true">IF(A413="","",IF(N(K413)&gt;Settings!$S$7,"Over revision limit",IF(AND(D413="Free video",J413="",E413&lt;&gt;"",TODAY()&gt;WORKDAY(E413,Settings!$S$5)),"LATE – free video promised in 5 working days",IF(AND(E413&lt;&gt;"",E413=TODAY()),"Shooting today",""))))</f>
        <v/>
      </c>
    </row>
    <row r="414" customFormat="false" ht="15" hidden="false" customHeight="false" outlineLevel="0" collapsed="false">
      <c r="A414" s="17"/>
      <c r="B414" s="17"/>
      <c r="C414" s="44" t="str">
        <f aca="false">IF(B414="","",IFERROR(INDEX(Clients!$C$2:$C$501,MATCH(B414,Clients!$A$2:$A$501,0)),"Client ID not found"))</f>
        <v/>
      </c>
      <c r="D414" s="17"/>
      <c r="E414" s="40"/>
      <c r="F414" s="41"/>
      <c r="G414" s="17"/>
      <c r="H414" s="17"/>
      <c r="I414" s="17"/>
      <c r="J414" s="40"/>
      <c r="K414" s="17"/>
      <c r="L414" s="17"/>
      <c r="M414" s="17"/>
      <c r="N414" s="44" t="str">
        <f aca="true">IF(A414="","",IF(N(K414)&gt;Settings!$S$7,"Over revision limit",IF(AND(D414="Free video",J414="",E414&lt;&gt;"",TODAY()&gt;WORKDAY(E414,Settings!$S$5)),"LATE – free video promised in 5 working days",IF(AND(E414&lt;&gt;"",E414=TODAY()),"Shooting today",""))))</f>
        <v/>
      </c>
    </row>
    <row r="415" customFormat="false" ht="15" hidden="false" customHeight="false" outlineLevel="0" collapsed="false">
      <c r="A415" s="17"/>
      <c r="B415" s="17"/>
      <c r="C415" s="44" t="str">
        <f aca="false">IF(B415="","",IFERROR(INDEX(Clients!$C$2:$C$501,MATCH(B415,Clients!$A$2:$A$501,0)),"Client ID not found"))</f>
        <v/>
      </c>
      <c r="D415" s="17"/>
      <c r="E415" s="40"/>
      <c r="F415" s="41"/>
      <c r="G415" s="17"/>
      <c r="H415" s="17"/>
      <c r="I415" s="17"/>
      <c r="J415" s="40"/>
      <c r="K415" s="17"/>
      <c r="L415" s="17"/>
      <c r="M415" s="17"/>
      <c r="N415" s="44" t="str">
        <f aca="true">IF(A415="","",IF(N(K415)&gt;Settings!$S$7,"Over revision limit",IF(AND(D415="Free video",J415="",E415&lt;&gt;"",TODAY()&gt;WORKDAY(E415,Settings!$S$5)),"LATE – free video promised in 5 working days",IF(AND(E415&lt;&gt;"",E415=TODAY()),"Shooting today",""))))</f>
        <v/>
      </c>
    </row>
    <row r="416" customFormat="false" ht="15" hidden="false" customHeight="false" outlineLevel="0" collapsed="false">
      <c r="A416" s="17"/>
      <c r="B416" s="17"/>
      <c r="C416" s="44" t="str">
        <f aca="false">IF(B416="","",IFERROR(INDEX(Clients!$C$2:$C$501,MATCH(B416,Clients!$A$2:$A$501,0)),"Client ID not found"))</f>
        <v/>
      </c>
      <c r="D416" s="17"/>
      <c r="E416" s="40"/>
      <c r="F416" s="41"/>
      <c r="G416" s="17"/>
      <c r="H416" s="17"/>
      <c r="I416" s="17"/>
      <c r="J416" s="40"/>
      <c r="K416" s="17"/>
      <c r="L416" s="17"/>
      <c r="M416" s="17"/>
      <c r="N416" s="44" t="str">
        <f aca="true">IF(A416="","",IF(N(K416)&gt;Settings!$S$7,"Over revision limit",IF(AND(D416="Free video",J416="",E416&lt;&gt;"",TODAY()&gt;WORKDAY(E416,Settings!$S$5)),"LATE – free video promised in 5 working days",IF(AND(E416&lt;&gt;"",E416=TODAY()),"Shooting today",""))))</f>
        <v/>
      </c>
    </row>
    <row r="417" customFormat="false" ht="15" hidden="false" customHeight="false" outlineLevel="0" collapsed="false">
      <c r="A417" s="17"/>
      <c r="B417" s="17"/>
      <c r="C417" s="44" t="str">
        <f aca="false">IF(B417="","",IFERROR(INDEX(Clients!$C$2:$C$501,MATCH(B417,Clients!$A$2:$A$501,0)),"Client ID not found"))</f>
        <v/>
      </c>
      <c r="D417" s="17"/>
      <c r="E417" s="40"/>
      <c r="F417" s="41"/>
      <c r="G417" s="17"/>
      <c r="H417" s="17"/>
      <c r="I417" s="17"/>
      <c r="J417" s="40"/>
      <c r="K417" s="17"/>
      <c r="L417" s="17"/>
      <c r="M417" s="17"/>
      <c r="N417" s="44" t="str">
        <f aca="true">IF(A417="","",IF(N(K417)&gt;Settings!$S$7,"Over revision limit",IF(AND(D417="Free video",J417="",E417&lt;&gt;"",TODAY()&gt;WORKDAY(E417,Settings!$S$5)),"LATE – free video promised in 5 working days",IF(AND(E417&lt;&gt;"",E417=TODAY()),"Shooting today",""))))</f>
        <v/>
      </c>
    </row>
    <row r="418" customFormat="false" ht="15" hidden="false" customHeight="false" outlineLevel="0" collapsed="false">
      <c r="A418" s="17"/>
      <c r="B418" s="17"/>
      <c r="C418" s="44" t="str">
        <f aca="false">IF(B418="","",IFERROR(INDEX(Clients!$C$2:$C$501,MATCH(B418,Clients!$A$2:$A$501,0)),"Client ID not found"))</f>
        <v/>
      </c>
      <c r="D418" s="17"/>
      <c r="E418" s="40"/>
      <c r="F418" s="41"/>
      <c r="G418" s="17"/>
      <c r="H418" s="17"/>
      <c r="I418" s="17"/>
      <c r="J418" s="40"/>
      <c r="K418" s="17"/>
      <c r="L418" s="17"/>
      <c r="M418" s="17"/>
      <c r="N418" s="44" t="str">
        <f aca="true">IF(A418="","",IF(N(K418)&gt;Settings!$S$7,"Over revision limit",IF(AND(D418="Free video",J418="",E418&lt;&gt;"",TODAY()&gt;WORKDAY(E418,Settings!$S$5)),"LATE – free video promised in 5 working days",IF(AND(E418&lt;&gt;"",E418=TODAY()),"Shooting today",""))))</f>
        <v/>
      </c>
    </row>
    <row r="419" customFormat="false" ht="15" hidden="false" customHeight="false" outlineLevel="0" collapsed="false">
      <c r="A419" s="17"/>
      <c r="B419" s="17"/>
      <c r="C419" s="44" t="str">
        <f aca="false">IF(B419="","",IFERROR(INDEX(Clients!$C$2:$C$501,MATCH(B419,Clients!$A$2:$A$501,0)),"Client ID not found"))</f>
        <v/>
      </c>
      <c r="D419" s="17"/>
      <c r="E419" s="40"/>
      <c r="F419" s="41"/>
      <c r="G419" s="17"/>
      <c r="H419" s="17"/>
      <c r="I419" s="17"/>
      <c r="J419" s="40"/>
      <c r="K419" s="17"/>
      <c r="L419" s="17"/>
      <c r="M419" s="17"/>
      <c r="N419" s="44" t="str">
        <f aca="true">IF(A419="","",IF(N(K419)&gt;Settings!$S$7,"Over revision limit",IF(AND(D419="Free video",J419="",E419&lt;&gt;"",TODAY()&gt;WORKDAY(E419,Settings!$S$5)),"LATE – free video promised in 5 working days",IF(AND(E419&lt;&gt;"",E419=TODAY()),"Shooting today",""))))</f>
        <v/>
      </c>
    </row>
    <row r="420" customFormat="false" ht="15" hidden="false" customHeight="false" outlineLevel="0" collapsed="false">
      <c r="A420" s="17"/>
      <c r="B420" s="17"/>
      <c r="C420" s="44" t="str">
        <f aca="false">IF(B420="","",IFERROR(INDEX(Clients!$C$2:$C$501,MATCH(B420,Clients!$A$2:$A$501,0)),"Client ID not found"))</f>
        <v/>
      </c>
      <c r="D420" s="17"/>
      <c r="E420" s="40"/>
      <c r="F420" s="41"/>
      <c r="G420" s="17"/>
      <c r="H420" s="17"/>
      <c r="I420" s="17"/>
      <c r="J420" s="40"/>
      <c r="K420" s="17"/>
      <c r="L420" s="17"/>
      <c r="M420" s="17"/>
      <c r="N420" s="44" t="str">
        <f aca="true">IF(A420="","",IF(N(K420)&gt;Settings!$S$7,"Over revision limit",IF(AND(D420="Free video",J420="",E420&lt;&gt;"",TODAY()&gt;WORKDAY(E420,Settings!$S$5)),"LATE – free video promised in 5 working days",IF(AND(E420&lt;&gt;"",E420=TODAY()),"Shooting today",""))))</f>
        <v/>
      </c>
    </row>
    <row r="421" customFormat="false" ht="15" hidden="false" customHeight="false" outlineLevel="0" collapsed="false">
      <c r="A421" s="17"/>
      <c r="B421" s="17"/>
      <c r="C421" s="44" t="str">
        <f aca="false">IF(B421="","",IFERROR(INDEX(Clients!$C$2:$C$501,MATCH(B421,Clients!$A$2:$A$501,0)),"Client ID not found"))</f>
        <v/>
      </c>
      <c r="D421" s="17"/>
      <c r="E421" s="40"/>
      <c r="F421" s="41"/>
      <c r="G421" s="17"/>
      <c r="H421" s="17"/>
      <c r="I421" s="17"/>
      <c r="J421" s="40"/>
      <c r="K421" s="17"/>
      <c r="L421" s="17"/>
      <c r="M421" s="17"/>
      <c r="N421" s="44" t="str">
        <f aca="true">IF(A421="","",IF(N(K421)&gt;Settings!$S$7,"Over revision limit",IF(AND(D421="Free video",J421="",E421&lt;&gt;"",TODAY()&gt;WORKDAY(E421,Settings!$S$5)),"LATE – free video promised in 5 working days",IF(AND(E421&lt;&gt;"",E421=TODAY()),"Shooting today",""))))</f>
        <v/>
      </c>
    </row>
    <row r="422" customFormat="false" ht="15" hidden="false" customHeight="false" outlineLevel="0" collapsed="false">
      <c r="A422" s="17"/>
      <c r="B422" s="17"/>
      <c r="C422" s="44" t="str">
        <f aca="false">IF(B422="","",IFERROR(INDEX(Clients!$C$2:$C$501,MATCH(B422,Clients!$A$2:$A$501,0)),"Client ID not found"))</f>
        <v/>
      </c>
      <c r="D422" s="17"/>
      <c r="E422" s="40"/>
      <c r="F422" s="41"/>
      <c r="G422" s="17"/>
      <c r="H422" s="17"/>
      <c r="I422" s="17"/>
      <c r="J422" s="40"/>
      <c r="K422" s="17"/>
      <c r="L422" s="17"/>
      <c r="M422" s="17"/>
      <c r="N422" s="44" t="str">
        <f aca="true">IF(A422="","",IF(N(K422)&gt;Settings!$S$7,"Over revision limit",IF(AND(D422="Free video",J422="",E422&lt;&gt;"",TODAY()&gt;WORKDAY(E422,Settings!$S$5)),"LATE – free video promised in 5 working days",IF(AND(E422&lt;&gt;"",E422=TODAY()),"Shooting today",""))))</f>
        <v/>
      </c>
    </row>
    <row r="423" customFormat="false" ht="15" hidden="false" customHeight="false" outlineLevel="0" collapsed="false">
      <c r="A423" s="17"/>
      <c r="B423" s="17"/>
      <c r="C423" s="44" t="str">
        <f aca="false">IF(B423="","",IFERROR(INDEX(Clients!$C$2:$C$501,MATCH(B423,Clients!$A$2:$A$501,0)),"Client ID not found"))</f>
        <v/>
      </c>
      <c r="D423" s="17"/>
      <c r="E423" s="40"/>
      <c r="F423" s="41"/>
      <c r="G423" s="17"/>
      <c r="H423" s="17"/>
      <c r="I423" s="17"/>
      <c r="J423" s="40"/>
      <c r="K423" s="17"/>
      <c r="L423" s="17"/>
      <c r="M423" s="17"/>
      <c r="N423" s="44" t="str">
        <f aca="true">IF(A423="","",IF(N(K423)&gt;Settings!$S$7,"Over revision limit",IF(AND(D423="Free video",J423="",E423&lt;&gt;"",TODAY()&gt;WORKDAY(E423,Settings!$S$5)),"LATE – free video promised in 5 working days",IF(AND(E423&lt;&gt;"",E423=TODAY()),"Shooting today",""))))</f>
        <v/>
      </c>
    </row>
    <row r="424" customFormat="false" ht="15" hidden="false" customHeight="false" outlineLevel="0" collapsed="false">
      <c r="A424" s="17"/>
      <c r="B424" s="17"/>
      <c r="C424" s="44" t="str">
        <f aca="false">IF(B424="","",IFERROR(INDEX(Clients!$C$2:$C$501,MATCH(B424,Clients!$A$2:$A$501,0)),"Client ID not found"))</f>
        <v/>
      </c>
      <c r="D424" s="17"/>
      <c r="E424" s="40"/>
      <c r="F424" s="41"/>
      <c r="G424" s="17"/>
      <c r="H424" s="17"/>
      <c r="I424" s="17"/>
      <c r="J424" s="40"/>
      <c r="K424" s="17"/>
      <c r="L424" s="17"/>
      <c r="M424" s="17"/>
      <c r="N424" s="44" t="str">
        <f aca="true">IF(A424="","",IF(N(K424)&gt;Settings!$S$7,"Over revision limit",IF(AND(D424="Free video",J424="",E424&lt;&gt;"",TODAY()&gt;WORKDAY(E424,Settings!$S$5)),"LATE – free video promised in 5 working days",IF(AND(E424&lt;&gt;"",E424=TODAY()),"Shooting today",""))))</f>
        <v/>
      </c>
    </row>
    <row r="425" customFormat="false" ht="15" hidden="false" customHeight="false" outlineLevel="0" collapsed="false">
      <c r="A425" s="17"/>
      <c r="B425" s="17"/>
      <c r="C425" s="44" t="str">
        <f aca="false">IF(B425="","",IFERROR(INDEX(Clients!$C$2:$C$501,MATCH(B425,Clients!$A$2:$A$501,0)),"Client ID not found"))</f>
        <v/>
      </c>
      <c r="D425" s="17"/>
      <c r="E425" s="40"/>
      <c r="F425" s="41"/>
      <c r="G425" s="17"/>
      <c r="H425" s="17"/>
      <c r="I425" s="17"/>
      <c r="J425" s="40"/>
      <c r="K425" s="17"/>
      <c r="L425" s="17"/>
      <c r="M425" s="17"/>
      <c r="N425" s="44" t="str">
        <f aca="true">IF(A425="","",IF(N(K425)&gt;Settings!$S$7,"Over revision limit",IF(AND(D425="Free video",J425="",E425&lt;&gt;"",TODAY()&gt;WORKDAY(E425,Settings!$S$5)),"LATE – free video promised in 5 working days",IF(AND(E425&lt;&gt;"",E425=TODAY()),"Shooting today",""))))</f>
        <v/>
      </c>
    </row>
    <row r="426" customFormat="false" ht="15" hidden="false" customHeight="false" outlineLevel="0" collapsed="false">
      <c r="A426" s="17"/>
      <c r="B426" s="17"/>
      <c r="C426" s="44" t="str">
        <f aca="false">IF(B426="","",IFERROR(INDEX(Clients!$C$2:$C$501,MATCH(B426,Clients!$A$2:$A$501,0)),"Client ID not found"))</f>
        <v/>
      </c>
      <c r="D426" s="17"/>
      <c r="E426" s="40"/>
      <c r="F426" s="41"/>
      <c r="G426" s="17"/>
      <c r="H426" s="17"/>
      <c r="I426" s="17"/>
      <c r="J426" s="40"/>
      <c r="K426" s="17"/>
      <c r="L426" s="17"/>
      <c r="M426" s="17"/>
      <c r="N426" s="44" t="str">
        <f aca="true">IF(A426="","",IF(N(K426)&gt;Settings!$S$7,"Over revision limit",IF(AND(D426="Free video",J426="",E426&lt;&gt;"",TODAY()&gt;WORKDAY(E426,Settings!$S$5)),"LATE – free video promised in 5 working days",IF(AND(E426&lt;&gt;"",E426=TODAY()),"Shooting today",""))))</f>
        <v/>
      </c>
    </row>
    <row r="427" customFormat="false" ht="15" hidden="false" customHeight="false" outlineLevel="0" collapsed="false">
      <c r="A427" s="17"/>
      <c r="B427" s="17"/>
      <c r="C427" s="44" t="str">
        <f aca="false">IF(B427="","",IFERROR(INDEX(Clients!$C$2:$C$501,MATCH(B427,Clients!$A$2:$A$501,0)),"Client ID not found"))</f>
        <v/>
      </c>
      <c r="D427" s="17"/>
      <c r="E427" s="40"/>
      <c r="F427" s="41"/>
      <c r="G427" s="17"/>
      <c r="H427" s="17"/>
      <c r="I427" s="17"/>
      <c r="J427" s="40"/>
      <c r="K427" s="17"/>
      <c r="L427" s="17"/>
      <c r="M427" s="17"/>
      <c r="N427" s="44" t="str">
        <f aca="true">IF(A427="","",IF(N(K427)&gt;Settings!$S$7,"Over revision limit",IF(AND(D427="Free video",J427="",E427&lt;&gt;"",TODAY()&gt;WORKDAY(E427,Settings!$S$5)),"LATE – free video promised in 5 working days",IF(AND(E427&lt;&gt;"",E427=TODAY()),"Shooting today",""))))</f>
        <v/>
      </c>
    </row>
    <row r="428" customFormat="false" ht="15" hidden="false" customHeight="false" outlineLevel="0" collapsed="false">
      <c r="A428" s="17"/>
      <c r="B428" s="17"/>
      <c r="C428" s="44" t="str">
        <f aca="false">IF(B428="","",IFERROR(INDEX(Clients!$C$2:$C$501,MATCH(B428,Clients!$A$2:$A$501,0)),"Client ID not found"))</f>
        <v/>
      </c>
      <c r="D428" s="17"/>
      <c r="E428" s="40"/>
      <c r="F428" s="41"/>
      <c r="G428" s="17"/>
      <c r="H428" s="17"/>
      <c r="I428" s="17"/>
      <c r="J428" s="40"/>
      <c r="K428" s="17"/>
      <c r="L428" s="17"/>
      <c r="M428" s="17"/>
      <c r="N428" s="44" t="str">
        <f aca="true">IF(A428="","",IF(N(K428)&gt;Settings!$S$7,"Over revision limit",IF(AND(D428="Free video",J428="",E428&lt;&gt;"",TODAY()&gt;WORKDAY(E428,Settings!$S$5)),"LATE – free video promised in 5 working days",IF(AND(E428&lt;&gt;"",E428=TODAY()),"Shooting today",""))))</f>
        <v/>
      </c>
    </row>
    <row r="429" customFormat="false" ht="15" hidden="false" customHeight="false" outlineLevel="0" collapsed="false">
      <c r="A429" s="17"/>
      <c r="B429" s="17"/>
      <c r="C429" s="44" t="str">
        <f aca="false">IF(B429="","",IFERROR(INDEX(Clients!$C$2:$C$501,MATCH(B429,Clients!$A$2:$A$501,0)),"Client ID not found"))</f>
        <v/>
      </c>
      <c r="D429" s="17"/>
      <c r="E429" s="40"/>
      <c r="F429" s="41"/>
      <c r="G429" s="17"/>
      <c r="H429" s="17"/>
      <c r="I429" s="17"/>
      <c r="J429" s="40"/>
      <c r="K429" s="17"/>
      <c r="L429" s="17"/>
      <c r="M429" s="17"/>
      <c r="N429" s="44" t="str">
        <f aca="true">IF(A429="","",IF(N(K429)&gt;Settings!$S$7,"Over revision limit",IF(AND(D429="Free video",J429="",E429&lt;&gt;"",TODAY()&gt;WORKDAY(E429,Settings!$S$5)),"LATE – free video promised in 5 working days",IF(AND(E429&lt;&gt;"",E429=TODAY()),"Shooting today",""))))</f>
        <v/>
      </c>
    </row>
    <row r="430" customFormat="false" ht="15" hidden="false" customHeight="false" outlineLevel="0" collapsed="false">
      <c r="A430" s="17"/>
      <c r="B430" s="17"/>
      <c r="C430" s="44" t="str">
        <f aca="false">IF(B430="","",IFERROR(INDEX(Clients!$C$2:$C$501,MATCH(B430,Clients!$A$2:$A$501,0)),"Client ID not found"))</f>
        <v/>
      </c>
      <c r="D430" s="17"/>
      <c r="E430" s="40"/>
      <c r="F430" s="41"/>
      <c r="G430" s="17"/>
      <c r="H430" s="17"/>
      <c r="I430" s="17"/>
      <c r="J430" s="40"/>
      <c r="K430" s="17"/>
      <c r="L430" s="17"/>
      <c r="M430" s="17"/>
      <c r="N430" s="44" t="str">
        <f aca="true">IF(A430="","",IF(N(K430)&gt;Settings!$S$7,"Over revision limit",IF(AND(D430="Free video",J430="",E430&lt;&gt;"",TODAY()&gt;WORKDAY(E430,Settings!$S$5)),"LATE – free video promised in 5 working days",IF(AND(E430&lt;&gt;"",E430=TODAY()),"Shooting today",""))))</f>
        <v/>
      </c>
    </row>
    <row r="431" customFormat="false" ht="15" hidden="false" customHeight="false" outlineLevel="0" collapsed="false">
      <c r="A431" s="17"/>
      <c r="B431" s="17"/>
      <c r="C431" s="44" t="str">
        <f aca="false">IF(B431="","",IFERROR(INDEX(Clients!$C$2:$C$501,MATCH(B431,Clients!$A$2:$A$501,0)),"Client ID not found"))</f>
        <v/>
      </c>
      <c r="D431" s="17"/>
      <c r="E431" s="40"/>
      <c r="F431" s="41"/>
      <c r="G431" s="17"/>
      <c r="H431" s="17"/>
      <c r="I431" s="17"/>
      <c r="J431" s="40"/>
      <c r="K431" s="17"/>
      <c r="L431" s="17"/>
      <c r="M431" s="17"/>
      <c r="N431" s="44" t="str">
        <f aca="true">IF(A431="","",IF(N(K431)&gt;Settings!$S$7,"Over revision limit",IF(AND(D431="Free video",J431="",E431&lt;&gt;"",TODAY()&gt;WORKDAY(E431,Settings!$S$5)),"LATE – free video promised in 5 working days",IF(AND(E431&lt;&gt;"",E431=TODAY()),"Shooting today",""))))</f>
        <v/>
      </c>
    </row>
    <row r="432" customFormat="false" ht="15" hidden="false" customHeight="false" outlineLevel="0" collapsed="false">
      <c r="A432" s="17"/>
      <c r="B432" s="17"/>
      <c r="C432" s="44" t="str">
        <f aca="false">IF(B432="","",IFERROR(INDEX(Clients!$C$2:$C$501,MATCH(B432,Clients!$A$2:$A$501,0)),"Client ID not found"))</f>
        <v/>
      </c>
      <c r="D432" s="17"/>
      <c r="E432" s="40"/>
      <c r="F432" s="41"/>
      <c r="G432" s="17"/>
      <c r="H432" s="17"/>
      <c r="I432" s="17"/>
      <c r="J432" s="40"/>
      <c r="K432" s="17"/>
      <c r="L432" s="17"/>
      <c r="M432" s="17"/>
      <c r="N432" s="44" t="str">
        <f aca="true">IF(A432="","",IF(N(K432)&gt;Settings!$S$7,"Over revision limit",IF(AND(D432="Free video",J432="",E432&lt;&gt;"",TODAY()&gt;WORKDAY(E432,Settings!$S$5)),"LATE – free video promised in 5 working days",IF(AND(E432&lt;&gt;"",E432=TODAY()),"Shooting today",""))))</f>
        <v/>
      </c>
    </row>
    <row r="433" customFormat="false" ht="15" hidden="false" customHeight="false" outlineLevel="0" collapsed="false">
      <c r="A433" s="17"/>
      <c r="B433" s="17"/>
      <c r="C433" s="44" t="str">
        <f aca="false">IF(B433="","",IFERROR(INDEX(Clients!$C$2:$C$501,MATCH(B433,Clients!$A$2:$A$501,0)),"Client ID not found"))</f>
        <v/>
      </c>
      <c r="D433" s="17"/>
      <c r="E433" s="40"/>
      <c r="F433" s="41"/>
      <c r="G433" s="17"/>
      <c r="H433" s="17"/>
      <c r="I433" s="17"/>
      <c r="J433" s="40"/>
      <c r="K433" s="17"/>
      <c r="L433" s="17"/>
      <c r="M433" s="17"/>
      <c r="N433" s="44" t="str">
        <f aca="true">IF(A433="","",IF(N(K433)&gt;Settings!$S$7,"Over revision limit",IF(AND(D433="Free video",J433="",E433&lt;&gt;"",TODAY()&gt;WORKDAY(E433,Settings!$S$5)),"LATE – free video promised in 5 working days",IF(AND(E433&lt;&gt;"",E433=TODAY()),"Shooting today",""))))</f>
        <v/>
      </c>
    </row>
    <row r="434" customFormat="false" ht="15" hidden="false" customHeight="false" outlineLevel="0" collapsed="false">
      <c r="A434" s="17"/>
      <c r="B434" s="17"/>
      <c r="C434" s="44" t="str">
        <f aca="false">IF(B434="","",IFERROR(INDEX(Clients!$C$2:$C$501,MATCH(B434,Clients!$A$2:$A$501,0)),"Client ID not found"))</f>
        <v/>
      </c>
      <c r="D434" s="17"/>
      <c r="E434" s="40"/>
      <c r="F434" s="41"/>
      <c r="G434" s="17"/>
      <c r="H434" s="17"/>
      <c r="I434" s="17"/>
      <c r="J434" s="40"/>
      <c r="K434" s="17"/>
      <c r="L434" s="17"/>
      <c r="M434" s="17"/>
      <c r="N434" s="44" t="str">
        <f aca="true">IF(A434="","",IF(N(K434)&gt;Settings!$S$7,"Over revision limit",IF(AND(D434="Free video",J434="",E434&lt;&gt;"",TODAY()&gt;WORKDAY(E434,Settings!$S$5)),"LATE – free video promised in 5 working days",IF(AND(E434&lt;&gt;"",E434=TODAY()),"Shooting today",""))))</f>
        <v/>
      </c>
    </row>
    <row r="435" customFormat="false" ht="15" hidden="false" customHeight="false" outlineLevel="0" collapsed="false">
      <c r="A435" s="17"/>
      <c r="B435" s="17"/>
      <c r="C435" s="44" t="str">
        <f aca="false">IF(B435="","",IFERROR(INDEX(Clients!$C$2:$C$501,MATCH(B435,Clients!$A$2:$A$501,0)),"Client ID not found"))</f>
        <v/>
      </c>
      <c r="D435" s="17"/>
      <c r="E435" s="40"/>
      <c r="F435" s="41"/>
      <c r="G435" s="17"/>
      <c r="H435" s="17"/>
      <c r="I435" s="17"/>
      <c r="J435" s="40"/>
      <c r="K435" s="17"/>
      <c r="L435" s="17"/>
      <c r="M435" s="17"/>
      <c r="N435" s="44" t="str">
        <f aca="true">IF(A435="","",IF(N(K435)&gt;Settings!$S$7,"Over revision limit",IF(AND(D435="Free video",J435="",E435&lt;&gt;"",TODAY()&gt;WORKDAY(E435,Settings!$S$5)),"LATE – free video promised in 5 working days",IF(AND(E435&lt;&gt;"",E435=TODAY()),"Shooting today",""))))</f>
        <v/>
      </c>
    </row>
    <row r="436" customFormat="false" ht="15" hidden="false" customHeight="false" outlineLevel="0" collapsed="false">
      <c r="A436" s="17"/>
      <c r="B436" s="17"/>
      <c r="C436" s="44" t="str">
        <f aca="false">IF(B436="","",IFERROR(INDEX(Clients!$C$2:$C$501,MATCH(B436,Clients!$A$2:$A$501,0)),"Client ID not found"))</f>
        <v/>
      </c>
      <c r="D436" s="17"/>
      <c r="E436" s="40"/>
      <c r="F436" s="41"/>
      <c r="G436" s="17"/>
      <c r="H436" s="17"/>
      <c r="I436" s="17"/>
      <c r="J436" s="40"/>
      <c r="K436" s="17"/>
      <c r="L436" s="17"/>
      <c r="M436" s="17"/>
      <c r="N436" s="44" t="str">
        <f aca="true">IF(A436="","",IF(N(K436)&gt;Settings!$S$7,"Over revision limit",IF(AND(D436="Free video",J436="",E436&lt;&gt;"",TODAY()&gt;WORKDAY(E436,Settings!$S$5)),"LATE – free video promised in 5 working days",IF(AND(E436&lt;&gt;"",E436=TODAY()),"Shooting today",""))))</f>
        <v/>
      </c>
    </row>
    <row r="437" customFormat="false" ht="15" hidden="false" customHeight="false" outlineLevel="0" collapsed="false">
      <c r="A437" s="17"/>
      <c r="B437" s="17"/>
      <c r="C437" s="44" t="str">
        <f aca="false">IF(B437="","",IFERROR(INDEX(Clients!$C$2:$C$501,MATCH(B437,Clients!$A$2:$A$501,0)),"Client ID not found"))</f>
        <v/>
      </c>
      <c r="D437" s="17"/>
      <c r="E437" s="40"/>
      <c r="F437" s="41"/>
      <c r="G437" s="17"/>
      <c r="H437" s="17"/>
      <c r="I437" s="17"/>
      <c r="J437" s="40"/>
      <c r="K437" s="17"/>
      <c r="L437" s="17"/>
      <c r="M437" s="17"/>
      <c r="N437" s="44" t="str">
        <f aca="true">IF(A437="","",IF(N(K437)&gt;Settings!$S$7,"Over revision limit",IF(AND(D437="Free video",J437="",E437&lt;&gt;"",TODAY()&gt;WORKDAY(E437,Settings!$S$5)),"LATE – free video promised in 5 working days",IF(AND(E437&lt;&gt;"",E437=TODAY()),"Shooting today",""))))</f>
        <v/>
      </c>
    </row>
    <row r="438" customFormat="false" ht="15" hidden="false" customHeight="false" outlineLevel="0" collapsed="false">
      <c r="A438" s="17"/>
      <c r="B438" s="17"/>
      <c r="C438" s="44" t="str">
        <f aca="false">IF(B438="","",IFERROR(INDEX(Clients!$C$2:$C$501,MATCH(B438,Clients!$A$2:$A$501,0)),"Client ID not found"))</f>
        <v/>
      </c>
      <c r="D438" s="17"/>
      <c r="E438" s="40"/>
      <c r="F438" s="41"/>
      <c r="G438" s="17"/>
      <c r="H438" s="17"/>
      <c r="I438" s="17"/>
      <c r="J438" s="40"/>
      <c r="K438" s="17"/>
      <c r="L438" s="17"/>
      <c r="M438" s="17"/>
      <c r="N438" s="44" t="str">
        <f aca="true">IF(A438="","",IF(N(K438)&gt;Settings!$S$7,"Over revision limit",IF(AND(D438="Free video",J438="",E438&lt;&gt;"",TODAY()&gt;WORKDAY(E438,Settings!$S$5)),"LATE – free video promised in 5 working days",IF(AND(E438&lt;&gt;"",E438=TODAY()),"Shooting today",""))))</f>
        <v/>
      </c>
    </row>
    <row r="439" customFormat="false" ht="15" hidden="false" customHeight="false" outlineLevel="0" collapsed="false">
      <c r="A439" s="17"/>
      <c r="B439" s="17"/>
      <c r="C439" s="44" t="str">
        <f aca="false">IF(B439="","",IFERROR(INDEX(Clients!$C$2:$C$501,MATCH(B439,Clients!$A$2:$A$501,0)),"Client ID not found"))</f>
        <v/>
      </c>
      <c r="D439" s="17"/>
      <c r="E439" s="40"/>
      <c r="F439" s="41"/>
      <c r="G439" s="17"/>
      <c r="H439" s="17"/>
      <c r="I439" s="17"/>
      <c r="J439" s="40"/>
      <c r="K439" s="17"/>
      <c r="L439" s="17"/>
      <c r="M439" s="17"/>
      <c r="N439" s="44" t="str">
        <f aca="true">IF(A439="","",IF(N(K439)&gt;Settings!$S$7,"Over revision limit",IF(AND(D439="Free video",J439="",E439&lt;&gt;"",TODAY()&gt;WORKDAY(E439,Settings!$S$5)),"LATE – free video promised in 5 working days",IF(AND(E439&lt;&gt;"",E439=TODAY()),"Shooting today",""))))</f>
        <v/>
      </c>
    </row>
    <row r="440" customFormat="false" ht="15" hidden="false" customHeight="false" outlineLevel="0" collapsed="false">
      <c r="A440" s="17"/>
      <c r="B440" s="17"/>
      <c r="C440" s="44" t="str">
        <f aca="false">IF(B440="","",IFERROR(INDEX(Clients!$C$2:$C$501,MATCH(B440,Clients!$A$2:$A$501,0)),"Client ID not found"))</f>
        <v/>
      </c>
      <c r="D440" s="17"/>
      <c r="E440" s="40"/>
      <c r="F440" s="41"/>
      <c r="G440" s="17"/>
      <c r="H440" s="17"/>
      <c r="I440" s="17"/>
      <c r="J440" s="40"/>
      <c r="K440" s="17"/>
      <c r="L440" s="17"/>
      <c r="M440" s="17"/>
      <c r="N440" s="44" t="str">
        <f aca="true">IF(A440="","",IF(N(K440)&gt;Settings!$S$7,"Over revision limit",IF(AND(D440="Free video",J440="",E440&lt;&gt;"",TODAY()&gt;WORKDAY(E440,Settings!$S$5)),"LATE – free video promised in 5 working days",IF(AND(E440&lt;&gt;"",E440=TODAY()),"Shooting today",""))))</f>
        <v/>
      </c>
    </row>
    <row r="441" customFormat="false" ht="15" hidden="false" customHeight="false" outlineLevel="0" collapsed="false">
      <c r="A441" s="17"/>
      <c r="B441" s="17"/>
      <c r="C441" s="44" t="str">
        <f aca="false">IF(B441="","",IFERROR(INDEX(Clients!$C$2:$C$501,MATCH(B441,Clients!$A$2:$A$501,0)),"Client ID not found"))</f>
        <v/>
      </c>
      <c r="D441" s="17"/>
      <c r="E441" s="40"/>
      <c r="F441" s="41"/>
      <c r="G441" s="17"/>
      <c r="H441" s="17"/>
      <c r="I441" s="17"/>
      <c r="J441" s="40"/>
      <c r="K441" s="17"/>
      <c r="L441" s="17"/>
      <c r="M441" s="17"/>
      <c r="N441" s="44" t="str">
        <f aca="true">IF(A441="","",IF(N(K441)&gt;Settings!$S$7,"Over revision limit",IF(AND(D441="Free video",J441="",E441&lt;&gt;"",TODAY()&gt;WORKDAY(E441,Settings!$S$5)),"LATE – free video promised in 5 working days",IF(AND(E441&lt;&gt;"",E441=TODAY()),"Shooting today",""))))</f>
        <v/>
      </c>
    </row>
    <row r="442" customFormat="false" ht="15" hidden="false" customHeight="false" outlineLevel="0" collapsed="false">
      <c r="A442" s="17"/>
      <c r="B442" s="17"/>
      <c r="C442" s="44" t="str">
        <f aca="false">IF(B442="","",IFERROR(INDEX(Clients!$C$2:$C$501,MATCH(B442,Clients!$A$2:$A$501,0)),"Client ID not found"))</f>
        <v/>
      </c>
      <c r="D442" s="17"/>
      <c r="E442" s="40"/>
      <c r="F442" s="41"/>
      <c r="G442" s="17"/>
      <c r="H442" s="17"/>
      <c r="I442" s="17"/>
      <c r="J442" s="40"/>
      <c r="K442" s="17"/>
      <c r="L442" s="17"/>
      <c r="M442" s="17"/>
      <c r="N442" s="44" t="str">
        <f aca="true">IF(A442="","",IF(N(K442)&gt;Settings!$S$7,"Over revision limit",IF(AND(D442="Free video",J442="",E442&lt;&gt;"",TODAY()&gt;WORKDAY(E442,Settings!$S$5)),"LATE – free video promised in 5 working days",IF(AND(E442&lt;&gt;"",E442=TODAY()),"Shooting today",""))))</f>
        <v/>
      </c>
    </row>
    <row r="443" customFormat="false" ht="15" hidden="false" customHeight="false" outlineLevel="0" collapsed="false">
      <c r="A443" s="17"/>
      <c r="B443" s="17"/>
      <c r="C443" s="44" t="str">
        <f aca="false">IF(B443="","",IFERROR(INDEX(Clients!$C$2:$C$501,MATCH(B443,Clients!$A$2:$A$501,0)),"Client ID not found"))</f>
        <v/>
      </c>
      <c r="D443" s="17"/>
      <c r="E443" s="40"/>
      <c r="F443" s="41"/>
      <c r="G443" s="17"/>
      <c r="H443" s="17"/>
      <c r="I443" s="17"/>
      <c r="J443" s="40"/>
      <c r="K443" s="17"/>
      <c r="L443" s="17"/>
      <c r="M443" s="17"/>
      <c r="N443" s="44" t="str">
        <f aca="true">IF(A443="","",IF(N(K443)&gt;Settings!$S$7,"Over revision limit",IF(AND(D443="Free video",J443="",E443&lt;&gt;"",TODAY()&gt;WORKDAY(E443,Settings!$S$5)),"LATE – free video promised in 5 working days",IF(AND(E443&lt;&gt;"",E443=TODAY()),"Shooting today",""))))</f>
        <v/>
      </c>
    </row>
    <row r="444" customFormat="false" ht="15" hidden="false" customHeight="false" outlineLevel="0" collapsed="false">
      <c r="A444" s="17"/>
      <c r="B444" s="17"/>
      <c r="C444" s="44" t="str">
        <f aca="false">IF(B444="","",IFERROR(INDEX(Clients!$C$2:$C$501,MATCH(B444,Clients!$A$2:$A$501,0)),"Client ID not found"))</f>
        <v/>
      </c>
      <c r="D444" s="17"/>
      <c r="E444" s="40"/>
      <c r="F444" s="41"/>
      <c r="G444" s="17"/>
      <c r="H444" s="17"/>
      <c r="I444" s="17"/>
      <c r="J444" s="40"/>
      <c r="K444" s="17"/>
      <c r="L444" s="17"/>
      <c r="M444" s="17"/>
      <c r="N444" s="44" t="str">
        <f aca="true">IF(A444="","",IF(N(K444)&gt;Settings!$S$7,"Over revision limit",IF(AND(D444="Free video",J444="",E444&lt;&gt;"",TODAY()&gt;WORKDAY(E444,Settings!$S$5)),"LATE – free video promised in 5 working days",IF(AND(E444&lt;&gt;"",E444=TODAY()),"Shooting today",""))))</f>
        <v/>
      </c>
    </row>
    <row r="445" customFormat="false" ht="15" hidden="false" customHeight="false" outlineLevel="0" collapsed="false">
      <c r="A445" s="17"/>
      <c r="B445" s="17"/>
      <c r="C445" s="44" t="str">
        <f aca="false">IF(B445="","",IFERROR(INDEX(Clients!$C$2:$C$501,MATCH(B445,Clients!$A$2:$A$501,0)),"Client ID not found"))</f>
        <v/>
      </c>
      <c r="D445" s="17"/>
      <c r="E445" s="40"/>
      <c r="F445" s="41"/>
      <c r="G445" s="17"/>
      <c r="H445" s="17"/>
      <c r="I445" s="17"/>
      <c r="J445" s="40"/>
      <c r="K445" s="17"/>
      <c r="L445" s="17"/>
      <c r="M445" s="17"/>
      <c r="N445" s="44" t="str">
        <f aca="true">IF(A445="","",IF(N(K445)&gt;Settings!$S$7,"Over revision limit",IF(AND(D445="Free video",J445="",E445&lt;&gt;"",TODAY()&gt;WORKDAY(E445,Settings!$S$5)),"LATE – free video promised in 5 working days",IF(AND(E445&lt;&gt;"",E445=TODAY()),"Shooting today",""))))</f>
        <v/>
      </c>
    </row>
    <row r="446" customFormat="false" ht="15" hidden="false" customHeight="false" outlineLevel="0" collapsed="false">
      <c r="A446" s="17"/>
      <c r="B446" s="17"/>
      <c r="C446" s="44" t="str">
        <f aca="false">IF(B446="","",IFERROR(INDEX(Clients!$C$2:$C$501,MATCH(B446,Clients!$A$2:$A$501,0)),"Client ID not found"))</f>
        <v/>
      </c>
      <c r="D446" s="17"/>
      <c r="E446" s="40"/>
      <c r="F446" s="41"/>
      <c r="G446" s="17"/>
      <c r="H446" s="17"/>
      <c r="I446" s="17"/>
      <c r="J446" s="40"/>
      <c r="K446" s="17"/>
      <c r="L446" s="17"/>
      <c r="M446" s="17"/>
      <c r="N446" s="44" t="str">
        <f aca="true">IF(A446="","",IF(N(K446)&gt;Settings!$S$7,"Over revision limit",IF(AND(D446="Free video",J446="",E446&lt;&gt;"",TODAY()&gt;WORKDAY(E446,Settings!$S$5)),"LATE – free video promised in 5 working days",IF(AND(E446&lt;&gt;"",E446=TODAY()),"Shooting today",""))))</f>
        <v/>
      </c>
    </row>
    <row r="447" customFormat="false" ht="15" hidden="false" customHeight="false" outlineLevel="0" collapsed="false">
      <c r="A447" s="17"/>
      <c r="B447" s="17"/>
      <c r="C447" s="44" t="str">
        <f aca="false">IF(B447="","",IFERROR(INDEX(Clients!$C$2:$C$501,MATCH(B447,Clients!$A$2:$A$501,0)),"Client ID not found"))</f>
        <v/>
      </c>
      <c r="D447" s="17"/>
      <c r="E447" s="40"/>
      <c r="F447" s="41"/>
      <c r="G447" s="17"/>
      <c r="H447" s="17"/>
      <c r="I447" s="17"/>
      <c r="J447" s="40"/>
      <c r="K447" s="17"/>
      <c r="L447" s="17"/>
      <c r="M447" s="17"/>
      <c r="N447" s="44" t="str">
        <f aca="true">IF(A447="","",IF(N(K447)&gt;Settings!$S$7,"Over revision limit",IF(AND(D447="Free video",J447="",E447&lt;&gt;"",TODAY()&gt;WORKDAY(E447,Settings!$S$5)),"LATE – free video promised in 5 working days",IF(AND(E447&lt;&gt;"",E447=TODAY()),"Shooting today",""))))</f>
        <v/>
      </c>
    </row>
    <row r="448" customFormat="false" ht="15" hidden="false" customHeight="false" outlineLevel="0" collapsed="false">
      <c r="A448" s="17"/>
      <c r="B448" s="17"/>
      <c r="C448" s="44" t="str">
        <f aca="false">IF(B448="","",IFERROR(INDEX(Clients!$C$2:$C$501,MATCH(B448,Clients!$A$2:$A$501,0)),"Client ID not found"))</f>
        <v/>
      </c>
      <c r="D448" s="17"/>
      <c r="E448" s="40"/>
      <c r="F448" s="41"/>
      <c r="G448" s="17"/>
      <c r="H448" s="17"/>
      <c r="I448" s="17"/>
      <c r="J448" s="40"/>
      <c r="K448" s="17"/>
      <c r="L448" s="17"/>
      <c r="M448" s="17"/>
      <c r="N448" s="44" t="str">
        <f aca="true">IF(A448="","",IF(N(K448)&gt;Settings!$S$7,"Over revision limit",IF(AND(D448="Free video",J448="",E448&lt;&gt;"",TODAY()&gt;WORKDAY(E448,Settings!$S$5)),"LATE – free video promised in 5 working days",IF(AND(E448&lt;&gt;"",E448=TODAY()),"Shooting today",""))))</f>
        <v/>
      </c>
    </row>
    <row r="449" customFormat="false" ht="15" hidden="false" customHeight="false" outlineLevel="0" collapsed="false">
      <c r="A449" s="17"/>
      <c r="B449" s="17"/>
      <c r="C449" s="44" t="str">
        <f aca="false">IF(B449="","",IFERROR(INDEX(Clients!$C$2:$C$501,MATCH(B449,Clients!$A$2:$A$501,0)),"Client ID not found"))</f>
        <v/>
      </c>
      <c r="D449" s="17"/>
      <c r="E449" s="40"/>
      <c r="F449" s="41"/>
      <c r="G449" s="17"/>
      <c r="H449" s="17"/>
      <c r="I449" s="17"/>
      <c r="J449" s="40"/>
      <c r="K449" s="17"/>
      <c r="L449" s="17"/>
      <c r="M449" s="17"/>
      <c r="N449" s="44" t="str">
        <f aca="true">IF(A449="","",IF(N(K449)&gt;Settings!$S$7,"Over revision limit",IF(AND(D449="Free video",J449="",E449&lt;&gt;"",TODAY()&gt;WORKDAY(E449,Settings!$S$5)),"LATE – free video promised in 5 working days",IF(AND(E449&lt;&gt;"",E449=TODAY()),"Shooting today",""))))</f>
        <v/>
      </c>
    </row>
    <row r="450" customFormat="false" ht="15" hidden="false" customHeight="false" outlineLevel="0" collapsed="false">
      <c r="A450" s="17"/>
      <c r="B450" s="17"/>
      <c r="C450" s="44" t="str">
        <f aca="false">IF(B450="","",IFERROR(INDEX(Clients!$C$2:$C$501,MATCH(B450,Clients!$A$2:$A$501,0)),"Client ID not found"))</f>
        <v/>
      </c>
      <c r="D450" s="17"/>
      <c r="E450" s="40"/>
      <c r="F450" s="41"/>
      <c r="G450" s="17"/>
      <c r="H450" s="17"/>
      <c r="I450" s="17"/>
      <c r="J450" s="40"/>
      <c r="K450" s="17"/>
      <c r="L450" s="17"/>
      <c r="M450" s="17"/>
      <c r="N450" s="44" t="str">
        <f aca="true">IF(A450="","",IF(N(K450)&gt;Settings!$S$7,"Over revision limit",IF(AND(D450="Free video",J450="",E450&lt;&gt;"",TODAY()&gt;WORKDAY(E450,Settings!$S$5)),"LATE – free video promised in 5 working days",IF(AND(E450&lt;&gt;"",E450=TODAY()),"Shooting today",""))))</f>
        <v/>
      </c>
    </row>
    <row r="451" customFormat="false" ht="15" hidden="false" customHeight="false" outlineLevel="0" collapsed="false">
      <c r="A451" s="17"/>
      <c r="B451" s="17"/>
      <c r="C451" s="44" t="str">
        <f aca="false">IF(B451="","",IFERROR(INDEX(Clients!$C$2:$C$501,MATCH(B451,Clients!$A$2:$A$501,0)),"Client ID not found"))</f>
        <v/>
      </c>
      <c r="D451" s="17"/>
      <c r="E451" s="40"/>
      <c r="F451" s="41"/>
      <c r="G451" s="17"/>
      <c r="H451" s="17"/>
      <c r="I451" s="17"/>
      <c r="J451" s="40"/>
      <c r="K451" s="17"/>
      <c r="L451" s="17"/>
      <c r="M451" s="17"/>
      <c r="N451" s="44" t="str">
        <f aca="true">IF(A451="","",IF(N(K451)&gt;Settings!$S$7,"Over revision limit",IF(AND(D451="Free video",J451="",E451&lt;&gt;"",TODAY()&gt;WORKDAY(E451,Settings!$S$5)),"LATE – free video promised in 5 working days",IF(AND(E451&lt;&gt;"",E451=TODAY()),"Shooting today",""))))</f>
        <v/>
      </c>
    </row>
    <row r="452" customFormat="false" ht="15" hidden="false" customHeight="false" outlineLevel="0" collapsed="false">
      <c r="A452" s="17"/>
      <c r="B452" s="17"/>
      <c r="C452" s="44" t="str">
        <f aca="false">IF(B452="","",IFERROR(INDEX(Clients!$C$2:$C$501,MATCH(B452,Clients!$A$2:$A$501,0)),"Client ID not found"))</f>
        <v/>
      </c>
      <c r="D452" s="17"/>
      <c r="E452" s="40"/>
      <c r="F452" s="41"/>
      <c r="G452" s="17"/>
      <c r="H452" s="17"/>
      <c r="I452" s="17"/>
      <c r="J452" s="40"/>
      <c r="K452" s="17"/>
      <c r="L452" s="17"/>
      <c r="M452" s="17"/>
      <c r="N452" s="44" t="str">
        <f aca="true">IF(A452="","",IF(N(K452)&gt;Settings!$S$7,"Over revision limit",IF(AND(D452="Free video",J452="",E452&lt;&gt;"",TODAY()&gt;WORKDAY(E452,Settings!$S$5)),"LATE – free video promised in 5 working days",IF(AND(E452&lt;&gt;"",E452=TODAY()),"Shooting today",""))))</f>
        <v/>
      </c>
    </row>
    <row r="453" customFormat="false" ht="15" hidden="false" customHeight="false" outlineLevel="0" collapsed="false">
      <c r="A453" s="17"/>
      <c r="B453" s="17"/>
      <c r="C453" s="44" t="str">
        <f aca="false">IF(B453="","",IFERROR(INDEX(Clients!$C$2:$C$501,MATCH(B453,Clients!$A$2:$A$501,0)),"Client ID not found"))</f>
        <v/>
      </c>
      <c r="D453" s="17"/>
      <c r="E453" s="40"/>
      <c r="F453" s="41"/>
      <c r="G453" s="17"/>
      <c r="H453" s="17"/>
      <c r="I453" s="17"/>
      <c r="J453" s="40"/>
      <c r="K453" s="17"/>
      <c r="L453" s="17"/>
      <c r="M453" s="17"/>
      <c r="N453" s="44" t="str">
        <f aca="true">IF(A453="","",IF(N(K453)&gt;Settings!$S$7,"Over revision limit",IF(AND(D453="Free video",J453="",E453&lt;&gt;"",TODAY()&gt;WORKDAY(E453,Settings!$S$5)),"LATE – free video promised in 5 working days",IF(AND(E453&lt;&gt;"",E453=TODAY()),"Shooting today",""))))</f>
        <v/>
      </c>
    </row>
    <row r="454" customFormat="false" ht="15" hidden="false" customHeight="false" outlineLevel="0" collapsed="false">
      <c r="A454" s="17"/>
      <c r="B454" s="17"/>
      <c r="C454" s="44" t="str">
        <f aca="false">IF(B454="","",IFERROR(INDEX(Clients!$C$2:$C$501,MATCH(B454,Clients!$A$2:$A$501,0)),"Client ID not found"))</f>
        <v/>
      </c>
      <c r="D454" s="17"/>
      <c r="E454" s="40"/>
      <c r="F454" s="41"/>
      <c r="G454" s="17"/>
      <c r="H454" s="17"/>
      <c r="I454" s="17"/>
      <c r="J454" s="40"/>
      <c r="K454" s="17"/>
      <c r="L454" s="17"/>
      <c r="M454" s="17"/>
      <c r="N454" s="44" t="str">
        <f aca="true">IF(A454="","",IF(N(K454)&gt;Settings!$S$7,"Over revision limit",IF(AND(D454="Free video",J454="",E454&lt;&gt;"",TODAY()&gt;WORKDAY(E454,Settings!$S$5)),"LATE – free video promised in 5 working days",IF(AND(E454&lt;&gt;"",E454=TODAY()),"Shooting today",""))))</f>
        <v/>
      </c>
    </row>
    <row r="455" customFormat="false" ht="15" hidden="false" customHeight="false" outlineLevel="0" collapsed="false">
      <c r="A455" s="17"/>
      <c r="B455" s="17"/>
      <c r="C455" s="44" t="str">
        <f aca="false">IF(B455="","",IFERROR(INDEX(Clients!$C$2:$C$501,MATCH(B455,Clients!$A$2:$A$501,0)),"Client ID not found"))</f>
        <v/>
      </c>
      <c r="D455" s="17"/>
      <c r="E455" s="40"/>
      <c r="F455" s="41"/>
      <c r="G455" s="17"/>
      <c r="H455" s="17"/>
      <c r="I455" s="17"/>
      <c r="J455" s="40"/>
      <c r="K455" s="17"/>
      <c r="L455" s="17"/>
      <c r="M455" s="17"/>
      <c r="N455" s="44" t="str">
        <f aca="true">IF(A455="","",IF(N(K455)&gt;Settings!$S$7,"Over revision limit",IF(AND(D455="Free video",J455="",E455&lt;&gt;"",TODAY()&gt;WORKDAY(E455,Settings!$S$5)),"LATE – free video promised in 5 working days",IF(AND(E455&lt;&gt;"",E455=TODAY()),"Shooting today",""))))</f>
        <v/>
      </c>
    </row>
    <row r="456" customFormat="false" ht="15" hidden="false" customHeight="false" outlineLevel="0" collapsed="false">
      <c r="A456" s="17"/>
      <c r="B456" s="17"/>
      <c r="C456" s="44" t="str">
        <f aca="false">IF(B456="","",IFERROR(INDEX(Clients!$C$2:$C$501,MATCH(B456,Clients!$A$2:$A$501,0)),"Client ID not found"))</f>
        <v/>
      </c>
      <c r="D456" s="17"/>
      <c r="E456" s="40"/>
      <c r="F456" s="41"/>
      <c r="G456" s="17"/>
      <c r="H456" s="17"/>
      <c r="I456" s="17"/>
      <c r="J456" s="40"/>
      <c r="K456" s="17"/>
      <c r="L456" s="17"/>
      <c r="M456" s="17"/>
      <c r="N456" s="44" t="str">
        <f aca="true">IF(A456="","",IF(N(K456)&gt;Settings!$S$7,"Over revision limit",IF(AND(D456="Free video",J456="",E456&lt;&gt;"",TODAY()&gt;WORKDAY(E456,Settings!$S$5)),"LATE – free video promised in 5 working days",IF(AND(E456&lt;&gt;"",E456=TODAY()),"Shooting today",""))))</f>
        <v/>
      </c>
    </row>
    <row r="457" customFormat="false" ht="15" hidden="false" customHeight="false" outlineLevel="0" collapsed="false">
      <c r="A457" s="17"/>
      <c r="B457" s="17"/>
      <c r="C457" s="44" t="str">
        <f aca="false">IF(B457="","",IFERROR(INDEX(Clients!$C$2:$C$501,MATCH(B457,Clients!$A$2:$A$501,0)),"Client ID not found"))</f>
        <v/>
      </c>
      <c r="D457" s="17"/>
      <c r="E457" s="40"/>
      <c r="F457" s="41"/>
      <c r="G457" s="17"/>
      <c r="H457" s="17"/>
      <c r="I457" s="17"/>
      <c r="J457" s="40"/>
      <c r="K457" s="17"/>
      <c r="L457" s="17"/>
      <c r="M457" s="17"/>
      <c r="N457" s="44" t="str">
        <f aca="true">IF(A457="","",IF(N(K457)&gt;Settings!$S$7,"Over revision limit",IF(AND(D457="Free video",J457="",E457&lt;&gt;"",TODAY()&gt;WORKDAY(E457,Settings!$S$5)),"LATE – free video promised in 5 working days",IF(AND(E457&lt;&gt;"",E457=TODAY()),"Shooting today",""))))</f>
        <v/>
      </c>
    </row>
    <row r="458" customFormat="false" ht="15" hidden="false" customHeight="false" outlineLevel="0" collapsed="false">
      <c r="A458" s="17"/>
      <c r="B458" s="17"/>
      <c r="C458" s="44" t="str">
        <f aca="false">IF(B458="","",IFERROR(INDEX(Clients!$C$2:$C$501,MATCH(B458,Clients!$A$2:$A$501,0)),"Client ID not found"))</f>
        <v/>
      </c>
      <c r="D458" s="17"/>
      <c r="E458" s="40"/>
      <c r="F458" s="41"/>
      <c r="G458" s="17"/>
      <c r="H458" s="17"/>
      <c r="I458" s="17"/>
      <c r="J458" s="40"/>
      <c r="K458" s="17"/>
      <c r="L458" s="17"/>
      <c r="M458" s="17"/>
      <c r="N458" s="44" t="str">
        <f aca="true">IF(A458="","",IF(N(K458)&gt;Settings!$S$7,"Over revision limit",IF(AND(D458="Free video",J458="",E458&lt;&gt;"",TODAY()&gt;WORKDAY(E458,Settings!$S$5)),"LATE – free video promised in 5 working days",IF(AND(E458&lt;&gt;"",E458=TODAY()),"Shooting today",""))))</f>
        <v/>
      </c>
    </row>
    <row r="459" customFormat="false" ht="15" hidden="false" customHeight="false" outlineLevel="0" collapsed="false">
      <c r="A459" s="17"/>
      <c r="B459" s="17"/>
      <c r="C459" s="44" t="str">
        <f aca="false">IF(B459="","",IFERROR(INDEX(Clients!$C$2:$C$501,MATCH(B459,Clients!$A$2:$A$501,0)),"Client ID not found"))</f>
        <v/>
      </c>
      <c r="D459" s="17"/>
      <c r="E459" s="40"/>
      <c r="F459" s="41"/>
      <c r="G459" s="17"/>
      <c r="H459" s="17"/>
      <c r="I459" s="17"/>
      <c r="J459" s="40"/>
      <c r="K459" s="17"/>
      <c r="L459" s="17"/>
      <c r="M459" s="17"/>
      <c r="N459" s="44" t="str">
        <f aca="true">IF(A459="","",IF(N(K459)&gt;Settings!$S$7,"Over revision limit",IF(AND(D459="Free video",J459="",E459&lt;&gt;"",TODAY()&gt;WORKDAY(E459,Settings!$S$5)),"LATE – free video promised in 5 working days",IF(AND(E459&lt;&gt;"",E459=TODAY()),"Shooting today",""))))</f>
        <v/>
      </c>
    </row>
    <row r="460" customFormat="false" ht="15" hidden="false" customHeight="false" outlineLevel="0" collapsed="false">
      <c r="A460" s="17"/>
      <c r="B460" s="17"/>
      <c r="C460" s="44" t="str">
        <f aca="false">IF(B460="","",IFERROR(INDEX(Clients!$C$2:$C$501,MATCH(B460,Clients!$A$2:$A$501,0)),"Client ID not found"))</f>
        <v/>
      </c>
      <c r="D460" s="17"/>
      <c r="E460" s="40"/>
      <c r="F460" s="41"/>
      <c r="G460" s="17"/>
      <c r="H460" s="17"/>
      <c r="I460" s="17"/>
      <c r="J460" s="40"/>
      <c r="K460" s="17"/>
      <c r="L460" s="17"/>
      <c r="M460" s="17"/>
      <c r="N460" s="44" t="str">
        <f aca="true">IF(A460="","",IF(N(K460)&gt;Settings!$S$7,"Over revision limit",IF(AND(D460="Free video",J460="",E460&lt;&gt;"",TODAY()&gt;WORKDAY(E460,Settings!$S$5)),"LATE – free video promised in 5 working days",IF(AND(E460&lt;&gt;"",E460=TODAY()),"Shooting today",""))))</f>
        <v/>
      </c>
    </row>
    <row r="461" customFormat="false" ht="15" hidden="false" customHeight="false" outlineLevel="0" collapsed="false">
      <c r="A461" s="17"/>
      <c r="B461" s="17"/>
      <c r="C461" s="44" t="str">
        <f aca="false">IF(B461="","",IFERROR(INDEX(Clients!$C$2:$C$501,MATCH(B461,Clients!$A$2:$A$501,0)),"Client ID not found"))</f>
        <v/>
      </c>
      <c r="D461" s="17"/>
      <c r="E461" s="40"/>
      <c r="F461" s="41"/>
      <c r="G461" s="17"/>
      <c r="H461" s="17"/>
      <c r="I461" s="17"/>
      <c r="J461" s="40"/>
      <c r="K461" s="17"/>
      <c r="L461" s="17"/>
      <c r="M461" s="17"/>
      <c r="N461" s="44" t="str">
        <f aca="true">IF(A461="","",IF(N(K461)&gt;Settings!$S$7,"Over revision limit",IF(AND(D461="Free video",J461="",E461&lt;&gt;"",TODAY()&gt;WORKDAY(E461,Settings!$S$5)),"LATE – free video promised in 5 working days",IF(AND(E461&lt;&gt;"",E461=TODAY()),"Shooting today",""))))</f>
        <v/>
      </c>
    </row>
    <row r="462" customFormat="false" ht="15" hidden="false" customHeight="false" outlineLevel="0" collapsed="false">
      <c r="A462" s="17"/>
      <c r="B462" s="17"/>
      <c r="C462" s="44" t="str">
        <f aca="false">IF(B462="","",IFERROR(INDEX(Clients!$C$2:$C$501,MATCH(B462,Clients!$A$2:$A$501,0)),"Client ID not found"))</f>
        <v/>
      </c>
      <c r="D462" s="17"/>
      <c r="E462" s="40"/>
      <c r="F462" s="41"/>
      <c r="G462" s="17"/>
      <c r="H462" s="17"/>
      <c r="I462" s="17"/>
      <c r="J462" s="40"/>
      <c r="K462" s="17"/>
      <c r="L462" s="17"/>
      <c r="M462" s="17"/>
      <c r="N462" s="44" t="str">
        <f aca="true">IF(A462="","",IF(N(K462)&gt;Settings!$S$7,"Over revision limit",IF(AND(D462="Free video",J462="",E462&lt;&gt;"",TODAY()&gt;WORKDAY(E462,Settings!$S$5)),"LATE – free video promised in 5 working days",IF(AND(E462&lt;&gt;"",E462=TODAY()),"Shooting today",""))))</f>
        <v/>
      </c>
    </row>
    <row r="463" customFormat="false" ht="15" hidden="false" customHeight="false" outlineLevel="0" collapsed="false">
      <c r="A463" s="17"/>
      <c r="B463" s="17"/>
      <c r="C463" s="44" t="str">
        <f aca="false">IF(B463="","",IFERROR(INDEX(Clients!$C$2:$C$501,MATCH(B463,Clients!$A$2:$A$501,0)),"Client ID not found"))</f>
        <v/>
      </c>
      <c r="D463" s="17"/>
      <c r="E463" s="40"/>
      <c r="F463" s="41"/>
      <c r="G463" s="17"/>
      <c r="H463" s="17"/>
      <c r="I463" s="17"/>
      <c r="J463" s="40"/>
      <c r="K463" s="17"/>
      <c r="L463" s="17"/>
      <c r="M463" s="17"/>
      <c r="N463" s="44" t="str">
        <f aca="true">IF(A463="","",IF(N(K463)&gt;Settings!$S$7,"Over revision limit",IF(AND(D463="Free video",J463="",E463&lt;&gt;"",TODAY()&gt;WORKDAY(E463,Settings!$S$5)),"LATE – free video promised in 5 working days",IF(AND(E463&lt;&gt;"",E463=TODAY()),"Shooting today",""))))</f>
        <v/>
      </c>
    </row>
    <row r="464" customFormat="false" ht="15" hidden="false" customHeight="false" outlineLevel="0" collapsed="false">
      <c r="A464" s="17"/>
      <c r="B464" s="17"/>
      <c r="C464" s="44" t="str">
        <f aca="false">IF(B464="","",IFERROR(INDEX(Clients!$C$2:$C$501,MATCH(B464,Clients!$A$2:$A$501,0)),"Client ID not found"))</f>
        <v/>
      </c>
      <c r="D464" s="17"/>
      <c r="E464" s="40"/>
      <c r="F464" s="41"/>
      <c r="G464" s="17"/>
      <c r="H464" s="17"/>
      <c r="I464" s="17"/>
      <c r="J464" s="40"/>
      <c r="K464" s="17"/>
      <c r="L464" s="17"/>
      <c r="M464" s="17"/>
      <c r="N464" s="44" t="str">
        <f aca="true">IF(A464="","",IF(N(K464)&gt;Settings!$S$7,"Over revision limit",IF(AND(D464="Free video",J464="",E464&lt;&gt;"",TODAY()&gt;WORKDAY(E464,Settings!$S$5)),"LATE – free video promised in 5 working days",IF(AND(E464&lt;&gt;"",E464=TODAY()),"Shooting today",""))))</f>
        <v/>
      </c>
    </row>
    <row r="465" customFormat="false" ht="15" hidden="false" customHeight="false" outlineLevel="0" collapsed="false">
      <c r="A465" s="17"/>
      <c r="B465" s="17"/>
      <c r="C465" s="44" t="str">
        <f aca="false">IF(B465="","",IFERROR(INDEX(Clients!$C$2:$C$501,MATCH(B465,Clients!$A$2:$A$501,0)),"Client ID not found"))</f>
        <v/>
      </c>
      <c r="D465" s="17"/>
      <c r="E465" s="40"/>
      <c r="F465" s="41"/>
      <c r="G465" s="17"/>
      <c r="H465" s="17"/>
      <c r="I465" s="17"/>
      <c r="J465" s="40"/>
      <c r="K465" s="17"/>
      <c r="L465" s="17"/>
      <c r="M465" s="17"/>
      <c r="N465" s="44" t="str">
        <f aca="true">IF(A465="","",IF(N(K465)&gt;Settings!$S$7,"Over revision limit",IF(AND(D465="Free video",J465="",E465&lt;&gt;"",TODAY()&gt;WORKDAY(E465,Settings!$S$5)),"LATE – free video promised in 5 working days",IF(AND(E465&lt;&gt;"",E465=TODAY()),"Shooting today",""))))</f>
        <v/>
      </c>
    </row>
    <row r="466" customFormat="false" ht="15" hidden="false" customHeight="false" outlineLevel="0" collapsed="false">
      <c r="A466" s="17"/>
      <c r="B466" s="17"/>
      <c r="C466" s="44" t="str">
        <f aca="false">IF(B466="","",IFERROR(INDEX(Clients!$C$2:$C$501,MATCH(B466,Clients!$A$2:$A$501,0)),"Client ID not found"))</f>
        <v/>
      </c>
      <c r="D466" s="17"/>
      <c r="E466" s="40"/>
      <c r="F466" s="41"/>
      <c r="G466" s="17"/>
      <c r="H466" s="17"/>
      <c r="I466" s="17"/>
      <c r="J466" s="40"/>
      <c r="K466" s="17"/>
      <c r="L466" s="17"/>
      <c r="M466" s="17"/>
      <c r="N466" s="44" t="str">
        <f aca="true">IF(A466="","",IF(N(K466)&gt;Settings!$S$7,"Over revision limit",IF(AND(D466="Free video",J466="",E466&lt;&gt;"",TODAY()&gt;WORKDAY(E466,Settings!$S$5)),"LATE – free video promised in 5 working days",IF(AND(E466&lt;&gt;"",E466=TODAY()),"Shooting today",""))))</f>
        <v/>
      </c>
    </row>
    <row r="467" customFormat="false" ht="15" hidden="false" customHeight="false" outlineLevel="0" collapsed="false">
      <c r="A467" s="17"/>
      <c r="B467" s="17"/>
      <c r="C467" s="44" t="str">
        <f aca="false">IF(B467="","",IFERROR(INDEX(Clients!$C$2:$C$501,MATCH(B467,Clients!$A$2:$A$501,0)),"Client ID not found"))</f>
        <v/>
      </c>
      <c r="D467" s="17"/>
      <c r="E467" s="40"/>
      <c r="F467" s="41"/>
      <c r="G467" s="17"/>
      <c r="H467" s="17"/>
      <c r="I467" s="17"/>
      <c r="J467" s="40"/>
      <c r="K467" s="17"/>
      <c r="L467" s="17"/>
      <c r="M467" s="17"/>
      <c r="N467" s="44" t="str">
        <f aca="true">IF(A467="","",IF(N(K467)&gt;Settings!$S$7,"Over revision limit",IF(AND(D467="Free video",J467="",E467&lt;&gt;"",TODAY()&gt;WORKDAY(E467,Settings!$S$5)),"LATE – free video promised in 5 working days",IF(AND(E467&lt;&gt;"",E467=TODAY()),"Shooting today",""))))</f>
        <v/>
      </c>
    </row>
    <row r="468" customFormat="false" ht="15" hidden="false" customHeight="false" outlineLevel="0" collapsed="false">
      <c r="A468" s="17"/>
      <c r="B468" s="17"/>
      <c r="C468" s="44" t="str">
        <f aca="false">IF(B468="","",IFERROR(INDEX(Clients!$C$2:$C$501,MATCH(B468,Clients!$A$2:$A$501,0)),"Client ID not found"))</f>
        <v/>
      </c>
      <c r="D468" s="17"/>
      <c r="E468" s="40"/>
      <c r="F468" s="41"/>
      <c r="G468" s="17"/>
      <c r="H468" s="17"/>
      <c r="I468" s="17"/>
      <c r="J468" s="40"/>
      <c r="K468" s="17"/>
      <c r="L468" s="17"/>
      <c r="M468" s="17"/>
      <c r="N468" s="44" t="str">
        <f aca="true">IF(A468="","",IF(N(K468)&gt;Settings!$S$7,"Over revision limit",IF(AND(D468="Free video",J468="",E468&lt;&gt;"",TODAY()&gt;WORKDAY(E468,Settings!$S$5)),"LATE – free video promised in 5 working days",IF(AND(E468&lt;&gt;"",E468=TODAY()),"Shooting today",""))))</f>
        <v/>
      </c>
    </row>
    <row r="469" customFormat="false" ht="15" hidden="false" customHeight="false" outlineLevel="0" collapsed="false">
      <c r="A469" s="17"/>
      <c r="B469" s="17"/>
      <c r="C469" s="44" t="str">
        <f aca="false">IF(B469="","",IFERROR(INDEX(Clients!$C$2:$C$501,MATCH(B469,Clients!$A$2:$A$501,0)),"Client ID not found"))</f>
        <v/>
      </c>
      <c r="D469" s="17"/>
      <c r="E469" s="40"/>
      <c r="F469" s="41"/>
      <c r="G469" s="17"/>
      <c r="H469" s="17"/>
      <c r="I469" s="17"/>
      <c r="J469" s="40"/>
      <c r="K469" s="17"/>
      <c r="L469" s="17"/>
      <c r="M469" s="17"/>
      <c r="N469" s="44" t="str">
        <f aca="true">IF(A469="","",IF(N(K469)&gt;Settings!$S$7,"Over revision limit",IF(AND(D469="Free video",J469="",E469&lt;&gt;"",TODAY()&gt;WORKDAY(E469,Settings!$S$5)),"LATE – free video promised in 5 working days",IF(AND(E469&lt;&gt;"",E469=TODAY()),"Shooting today",""))))</f>
        <v/>
      </c>
    </row>
    <row r="470" customFormat="false" ht="15" hidden="false" customHeight="false" outlineLevel="0" collapsed="false">
      <c r="A470" s="17"/>
      <c r="B470" s="17"/>
      <c r="C470" s="44" t="str">
        <f aca="false">IF(B470="","",IFERROR(INDEX(Clients!$C$2:$C$501,MATCH(B470,Clients!$A$2:$A$501,0)),"Client ID not found"))</f>
        <v/>
      </c>
      <c r="D470" s="17"/>
      <c r="E470" s="40"/>
      <c r="F470" s="41"/>
      <c r="G470" s="17"/>
      <c r="H470" s="17"/>
      <c r="I470" s="17"/>
      <c r="J470" s="40"/>
      <c r="K470" s="17"/>
      <c r="L470" s="17"/>
      <c r="M470" s="17"/>
      <c r="N470" s="44" t="str">
        <f aca="true">IF(A470="","",IF(N(K470)&gt;Settings!$S$7,"Over revision limit",IF(AND(D470="Free video",J470="",E470&lt;&gt;"",TODAY()&gt;WORKDAY(E470,Settings!$S$5)),"LATE – free video promised in 5 working days",IF(AND(E470&lt;&gt;"",E470=TODAY()),"Shooting today",""))))</f>
        <v/>
      </c>
    </row>
    <row r="471" customFormat="false" ht="15" hidden="false" customHeight="false" outlineLevel="0" collapsed="false">
      <c r="A471" s="17"/>
      <c r="B471" s="17"/>
      <c r="C471" s="44" t="str">
        <f aca="false">IF(B471="","",IFERROR(INDEX(Clients!$C$2:$C$501,MATCH(B471,Clients!$A$2:$A$501,0)),"Client ID not found"))</f>
        <v/>
      </c>
      <c r="D471" s="17"/>
      <c r="E471" s="40"/>
      <c r="F471" s="41"/>
      <c r="G471" s="17"/>
      <c r="H471" s="17"/>
      <c r="I471" s="17"/>
      <c r="J471" s="40"/>
      <c r="K471" s="17"/>
      <c r="L471" s="17"/>
      <c r="M471" s="17"/>
      <c r="N471" s="44" t="str">
        <f aca="true">IF(A471="","",IF(N(K471)&gt;Settings!$S$7,"Over revision limit",IF(AND(D471="Free video",J471="",E471&lt;&gt;"",TODAY()&gt;WORKDAY(E471,Settings!$S$5)),"LATE – free video promised in 5 working days",IF(AND(E471&lt;&gt;"",E471=TODAY()),"Shooting today",""))))</f>
        <v/>
      </c>
    </row>
    <row r="472" customFormat="false" ht="15" hidden="false" customHeight="false" outlineLevel="0" collapsed="false">
      <c r="A472" s="17"/>
      <c r="B472" s="17"/>
      <c r="C472" s="44" t="str">
        <f aca="false">IF(B472="","",IFERROR(INDEX(Clients!$C$2:$C$501,MATCH(B472,Clients!$A$2:$A$501,0)),"Client ID not found"))</f>
        <v/>
      </c>
      <c r="D472" s="17"/>
      <c r="E472" s="40"/>
      <c r="F472" s="41"/>
      <c r="G472" s="17"/>
      <c r="H472" s="17"/>
      <c r="I472" s="17"/>
      <c r="J472" s="40"/>
      <c r="K472" s="17"/>
      <c r="L472" s="17"/>
      <c r="M472" s="17"/>
      <c r="N472" s="44" t="str">
        <f aca="true">IF(A472="","",IF(N(K472)&gt;Settings!$S$7,"Over revision limit",IF(AND(D472="Free video",J472="",E472&lt;&gt;"",TODAY()&gt;WORKDAY(E472,Settings!$S$5)),"LATE – free video promised in 5 working days",IF(AND(E472&lt;&gt;"",E472=TODAY()),"Shooting today",""))))</f>
        <v/>
      </c>
    </row>
    <row r="473" customFormat="false" ht="15" hidden="false" customHeight="false" outlineLevel="0" collapsed="false">
      <c r="A473" s="17"/>
      <c r="B473" s="17"/>
      <c r="C473" s="44" t="str">
        <f aca="false">IF(B473="","",IFERROR(INDEX(Clients!$C$2:$C$501,MATCH(B473,Clients!$A$2:$A$501,0)),"Client ID not found"))</f>
        <v/>
      </c>
      <c r="D473" s="17"/>
      <c r="E473" s="40"/>
      <c r="F473" s="41"/>
      <c r="G473" s="17"/>
      <c r="H473" s="17"/>
      <c r="I473" s="17"/>
      <c r="J473" s="40"/>
      <c r="K473" s="17"/>
      <c r="L473" s="17"/>
      <c r="M473" s="17"/>
      <c r="N473" s="44" t="str">
        <f aca="true">IF(A473="","",IF(N(K473)&gt;Settings!$S$7,"Over revision limit",IF(AND(D473="Free video",J473="",E473&lt;&gt;"",TODAY()&gt;WORKDAY(E473,Settings!$S$5)),"LATE – free video promised in 5 working days",IF(AND(E473&lt;&gt;"",E473=TODAY()),"Shooting today",""))))</f>
        <v/>
      </c>
    </row>
    <row r="474" customFormat="false" ht="15" hidden="false" customHeight="false" outlineLevel="0" collapsed="false">
      <c r="A474" s="17"/>
      <c r="B474" s="17"/>
      <c r="C474" s="44" t="str">
        <f aca="false">IF(B474="","",IFERROR(INDEX(Clients!$C$2:$C$501,MATCH(B474,Clients!$A$2:$A$501,0)),"Client ID not found"))</f>
        <v/>
      </c>
      <c r="D474" s="17"/>
      <c r="E474" s="40"/>
      <c r="F474" s="41"/>
      <c r="G474" s="17"/>
      <c r="H474" s="17"/>
      <c r="I474" s="17"/>
      <c r="J474" s="40"/>
      <c r="K474" s="17"/>
      <c r="L474" s="17"/>
      <c r="M474" s="17"/>
      <c r="N474" s="44" t="str">
        <f aca="true">IF(A474="","",IF(N(K474)&gt;Settings!$S$7,"Over revision limit",IF(AND(D474="Free video",J474="",E474&lt;&gt;"",TODAY()&gt;WORKDAY(E474,Settings!$S$5)),"LATE – free video promised in 5 working days",IF(AND(E474&lt;&gt;"",E474=TODAY()),"Shooting today",""))))</f>
        <v/>
      </c>
    </row>
    <row r="475" customFormat="false" ht="15" hidden="false" customHeight="false" outlineLevel="0" collapsed="false">
      <c r="A475" s="17"/>
      <c r="B475" s="17"/>
      <c r="C475" s="44" t="str">
        <f aca="false">IF(B475="","",IFERROR(INDEX(Clients!$C$2:$C$501,MATCH(B475,Clients!$A$2:$A$501,0)),"Client ID not found"))</f>
        <v/>
      </c>
      <c r="D475" s="17"/>
      <c r="E475" s="40"/>
      <c r="F475" s="41"/>
      <c r="G475" s="17"/>
      <c r="H475" s="17"/>
      <c r="I475" s="17"/>
      <c r="J475" s="40"/>
      <c r="K475" s="17"/>
      <c r="L475" s="17"/>
      <c r="M475" s="17"/>
      <c r="N475" s="44" t="str">
        <f aca="true">IF(A475="","",IF(N(K475)&gt;Settings!$S$7,"Over revision limit",IF(AND(D475="Free video",J475="",E475&lt;&gt;"",TODAY()&gt;WORKDAY(E475,Settings!$S$5)),"LATE – free video promised in 5 working days",IF(AND(E475&lt;&gt;"",E475=TODAY()),"Shooting today",""))))</f>
        <v/>
      </c>
    </row>
    <row r="476" customFormat="false" ht="15" hidden="false" customHeight="false" outlineLevel="0" collapsed="false">
      <c r="A476" s="17"/>
      <c r="B476" s="17"/>
      <c r="C476" s="44" t="str">
        <f aca="false">IF(B476="","",IFERROR(INDEX(Clients!$C$2:$C$501,MATCH(B476,Clients!$A$2:$A$501,0)),"Client ID not found"))</f>
        <v/>
      </c>
      <c r="D476" s="17"/>
      <c r="E476" s="40"/>
      <c r="F476" s="41"/>
      <c r="G476" s="17"/>
      <c r="H476" s="17"/>
      <c r="I476" s="17"/>
      <c r="J476" s="40"/>
      <c r="K476" s="17"/>
      <c r="L476" s="17"/>
      <c r="M476" s="17"/>
      <c r="N476" s="44" t="str">
        <f aca="true">IF(A476="","",IF(N(K476)&gt;Settings!$S$7,"Over revision limit",IF(AND(D476="Free video",J476="",E476&lt;&gt;"",TODAY()&gt;WORKDAY(E476,Settings!$S$5)),"LATE – free video promised in 5 working days",IF(AND(E476&lt;&gt;"",E476=TODAY()),"Shooting today",""))))</f>
        <v/>
      </c>
    </row>
    <row r="477" customFormat="false" ht="15" hidden="false" customHeight="false" outlineLevel="0" collapsed="false">
      <c r="A477" s="17"/>
      <c r="B477" s="17"/>
      <c r="C477" s="44" t="str">
        <f aca="false">IF(B477="","",IFERROR(INDEX(Clients!$C$2:$C$501,MATCH(B477,Clients!$A$2:$A$501,0)),"Client ID not found"))</f>
        <v/>
      </c>
      <c r="D477" s="17"/>
      <c r="E477" s="40"/>
      <c r="F477" s="41"/>
      <c r="G477" s="17"/>
      <c r="H477" s="17"/>
      <c r="I477" s="17"/>
      <c r="J477" s="40"/>
      <c r="K477" s="17"/>
      <c r="L477" s="17"/>
      <c r="M477" s="17"/>
      <c r="N477" s="44" t="str">
        <f aca="true">IF(A477="","",IF(N(K477)&gt;Settings!$S$7,"Over revision limit",IF(AND(D477="Free video",J477="",E477&lt;&gt;"",TODAY()&gt;WORKDAY(E477,Settings!$S$5)),"LATE – free video promised in 5 working days",IF(AND(E477&lt;&gt;"",E477=TODAY()),"Shooting today",""))))</f>
        <v/>
      </c>
    </row>
    <row r="478" customFormat="false" ht="15" hidden="false" customHeight="false" outlineLevel="0" collapsed="false">
      <c r="A478" s="17"/>
      <c r="B478" s="17"/>
      <c r="C478" s="44" t="str">
        <f aca="false">IF(B478="","",IFERROR(INDEX(Clients!$C$2:$C$501,MATCH(B478,Clients!$A$2:$A$501,0)),"Client ID not found"))</f>
        <v/>
      </c>
      <c r="D478" s="17"/>
      <c r="E478" s="40"/>
      <c r="F478" s="41"/>
      <c r="G478" s="17"/>
      <c r="H478" s="17"/>
      <c r="I478" s="17"/>
      <c r="J478" s="40"/>
      <c r="K478" s="17"/>
      <c r="L478" s="17"/>
      <c r="M478" s="17"/>
      <c r="N478" s="44" t="str">
        <f aca="true">IF(A478="","",IF(N(K478)&gt;Settings!$S$7,"Over revision limit",IF(AND(D478="Free video",J478="",E478&lt;&gt;"",TODAY()&gt;WORKDAY(E478,Settings!$S$5)),"LATE – free video promised in 5 working days",IF(AND(E478&lt;&gt;"",E478=TODAY()),"Shooting today",""))))</f>
        <v/>
      </c>
    </row>
    <row r="479" customFormat="false" ht="15" hidden="false" customHeight="false" outlineLevel="0" collapsed="false">
      <c r="A479" s="17"/>
      <c r="B479" s="17"/>
      <c r="C479" s="44" t="str">
        <f aca="false">IF(B479="","",IFERROR(INDEX(Clients!$C$2:$C$501,MATCH(B479,Clients!$A$2:$A$501,0)),"Client ID not found"))</f>
        <v/>
      </c>
      <c r="D479" s="17"/>
      <c r="E479" s="40"/>
      <c r="F479" s="41"/>
      <c r="G479" s="17"/>
      <c r="H479" s="17"/>
      <c r="I479" s="17"/>
      <c r="J479" s="40"/>
      <c r="K479" s="17"/>
      <c r="L479" s="17"/>
      <c r="M479" s="17"/>
      <c r="N479" s="44" t="str">
        <f aca="true">IF(A479="","",IF(N(K479)&gt;Settings!$S$7,"Over revision limit",IF(AND(D479="Free video",J479="",E479&lt;&gt;"",TODAY()&gt;WORKDAY(E479,Settings!$S$5)),"LATE – free video promised in 5 working days",IF(AND(E479&lt;&gt;"",E479=TODAY()),"Shooting today",""))))</f>
        <v/>
      </c>
    </row>
    <row r="480" customFormat="false" ht="15" hidden="false" customHeight="false" outlineLevel="0" collapsed="false">
      <c r="A480" s="17"/>
      <c r="B480" s="17"/>
      <c r="C480" s="44" t="str">
        <f aca="false">IF(B480="","",IFERROR(INDEX(Clients!$C$2:$C$501,MATCH(B480,Clients!$A$2:$A$501,0)),"Client ID not found"))</f>
        <v/>
      </c>
      <c r="D480" s="17"/>
      <c r="E480" s="40"/>
      <c r="F480" s="41"/>
      <c r="G480" s="17"/>
      <c r="H480" s="17"/>
      <c r="I480" s="17"/>
      <c r="J480" s="40"/>
      <c r="K480" s="17"/>
      <c r="L480" s="17"/>
      <c r="M480" s="17"/>
      <c r="N480" s="44" t="str">
        <f aca="true">IF(A480="","",IF(N(K480)&gt;Settings!$S$7,"Over revision limit",IF(AND(D480="Free video",J480="",E480&lt;&gt;"",TODAY()&gt;WORKDAY(E480,Settings!$S$5)),"LATE – free video promised in 5 working days",IF(AND(E480&lt;&gt;"",E480=TODAY()),"Shooting today",""))))</f>
        <v/>
      </c>
    </row>
    <row r="481" customFormat="false" ht="15" hidden="false" customHeight="false" outlineLevel="0" collapsed="false">
      <c r="A481" s="17"/>
      <c r="B481" s="17"/>
      <c r="C481" s="44" t="str">
        <f aca="false">IF(B481="","",IFERROR(INDEX(Clients!$C$2:$C$501,MATCH(B481,Clients!$A$2:$A$501,0)),"Client ID not found"))</f>
        <v/>
      </c>
      <c r="D481" s="17"/>
      <c r="E481" s="40"/>
      <c r="F481" s="41"/>
      <c r="G481" s="17"/>
      <c r="H481" s="17"/>
      <c r="I481" s="17"/>
      <c r="J481" s="40"/>
      <c r="K481" s="17"/>
      <c r="L481" s="17"/>
      <c r="M481" s="17"/>
      <c r="N481" s="44" t="str">
        <f aca="true">IF(A481="","",IF(N(K481)&gt;Settings!$S$7,"Over revision limit",IF(AND(D481="Free video",J481="",E481&lt;&gt;"",TODAY()&gt;WORKDAY(E481,Settings!$S$5)),"LATE – free video promised in 5 working days",IF(AND(E481&lt;&gt;"",E481=TODAY()),"Shooting today",""))))</f>
        <v/>
      </c>
    </row>
    <row r="482" customFormat="false" ht="15" hidden="false" customHeight="false" outlineLevel="0" collapsed="false">
      <c r="A482" s="17"/>
      <c r="B482" s="17"/>
      <c r="C482" s="44" t="str">
        <f aca="false">IF(B482="","",IFERROR(INDEX(Clients!$C$2:$C$501,MATCH(B482,Clients!$A$2:$A$501,0)),"Client ID not found"))</f>
        <v/>
      </c>
      <c r="D482" s="17"/>
      <c r="E482" s="40"/>
      <c r="F482" s="41"/>
      <c r="G482" s="17"/>
      <c r="H482" s="17"/>
      <c r="I482" s="17"/>
      <c r="J482" s="40"/>
      <c r="K482" s="17"/>
      <c r="L482" s="17"/>
      <c r="M482" s="17"/>
      <c r="N482" s="44" t="str">
        <f aca="true">IF(A482="","",IF(N(K482)&gt;Settings!$S$7,"Over revision limit",IF(AND(D482="Free video",J482="",E482&lt;&gt;"",TODAY()&gt;WORKDAY(E482,Settings!$S$5)),"LATE – free video promised in 5 working days",IF(AND(E482&lt;&gt;"",E482=TODAY()),"Shooting today",""))))</f>
        <v/>
      </c>
    </row>
    <row r="483" customFormat="false" ht="15" hidden="false" customHeight="false" outlineLevel="0" collapsed="false">
      <c r="A483" s="17"/>
      <c r="B483" s="17"/>
      <c r="C483" s="44" t="str">
        <f aca="false">IF(B483="","",IFERROR(INDEX(Clients!$C$2:$C$501,MATCH(B483,Clients!$A$2:$A$501,0)),"Client ID not found"))</f>
        <v/>
      </c>
      <c r="D483" s="17"/>
      <c r="E483" s="40"/>
      <c r="F483" s="41"/>
      <c r="G483" s="17"/>
      <c r="H483" s="17"/>
      <c r="I483" s="17"/>
      <c r="J483" s="40"/>
      <c r="K483" s="17"/>
      <c r="L483" s="17"/>
      <c r="M483" s="17"/>
      <c r="N483" s="44" t="str">
        <f aca="true">IF(A483="","",IF(N(K483)&gt;Settings!$S$7,"Over revision limit",IF(AND(D483="Free video",J483="",E483&lt;&gt;"",TODAY()&gt;WORKDAY(E483,Settings!$S$5)),"LATE – free video promised in 5 working days",IF(AND(E483&lt;&gt;"",E483=TODAY()),"Shooting today",""))))</f>
        <v/>
      </c>
    </row>
    <row r="484" customFormat="false" ht="15" hidden="false" customHeight="false" outlineLevel="0" collapsed="false">
      <c r="A484" s="17"/>
      <c r="B484" s="17"/>
      <c r="C484" s="44" t="str">
        <f aca="false">IF(B484="","",IFERROR(INDEX(Clients!$C$2:$C$501,MATCH(B484,Clients!$A$2:$A$501,0)),"Client ID not found"))</f>
        <v/>
      </c>
      <c r="D484" s="17"/>
      <c r="E484" s="40"/>
      <c r="F484" s="41"/>
      <c r="G484" s="17"/>
      <c r="H484" s="17"/>
      <c r="I484" s="17"/>
      <c r="J484" s="40"/>
      <c r="K484" s="17"/>
      <c r="L484" s="17"/>
      <c r="M484" s="17"/>
      <c r="N484" s="44" t="str">
        <f aca="true">IF(A484="","",IF(N(K484)&gt;Settings!$S$7,"Over revision limit",IF(AND(D484="Free video",J484="",E484&lt;&gt;"",TODAY()&gt;WORKDAY(E484,Settings!$S$5)),"LATE – free video promised in 5 working days",IF(AND(E484&lt;&gt;"",E484=TODAY()),"Shooting today",""))))</f>
        <v/>
      </c>
    </row>
    <row r="485" customFormat="false" ht="15" hidden="false" customHeight="false" outlineLevel="0" collapsed="false">
      <c r="A485" s="17"/>
      <c r="B485" s="17"/>
      <c r="C485" s="44" t="str">
        <f aca="false">IF(B485="","",IFERROR(INDEX(Clients!$C$2:$C$501,MATCH(B485,Clients!$A$2:$A$501,0)),"Client ID not found"))</f>
        <v/>
      </c>
      <c r="D485" s="17"/>
      <c r="E485" s="40"/>
      <c r="F485" s="41"/>
      <c r="G485" s="17"/>
      <c r="H485" s="17"/>
      <c r="I485" s="17"/>
      <c r="J485" s="40"/>
      <c r="K485" s="17"/>
      <c r="L485" s="17"/>
      <c r="M485" s="17"/>
      <c r="N485" s="44" t="str">
        <f aca="true">IF(A485="","",IF(N(K485)&gt;Settings!$S$7,"Over revision limit",IF(AND(D485="Free video",J485="",E485&lt;&gt;"",TODAY()&gt;WORKDAY(E485,Settings!$S$5)),"LATE – free video promised in 5 working days",IF(AND(E485&lt;&gt;"",E485=TODAY()),"Shooting today",""))))</f>
        <v/>
      </c>
    </row>
    <row r="486" customFormat="false" ht="15" hidden="false" customHeight="false" outlineLevel="0" collapsed="false">
      <c r="A486" s="17"/>
      <c r="B486" s="17"/>
      <c r="C486" s="44" t="str">
        <f aca="false">IF(B486="","",IFERROR(INDEX(Clients!$C$2:$C$501,MATCH(B486,Clients!$A$2:$A$501,0)),"Client ID not found"))</f>
        <v/>
      </c>
      <c r="D486" s="17"/>
      <c r="E486" s="40"/>
      <c r="F486" s="41"/>
      <c r="G486" s="17"/>
      <c r="H486" s="17"/>
      <c r="I486" s="17"/>
      <c r="J486" s="40"/>
      <c r="K486" s="17"/>
      <c r="L486" s="17"/>
      <c r="M486" s="17"/>
      <c r="N486" s="44" t="str">
        <f aca="true">IF(A486="","",IF(N(K486)&gt;Settings!$S$7,"Over revision limit",IF(AND(D486="Free video",J486="",E486&lt;&gt;"",TODAY()&gt;WORKDAY(E486,Settings!$S$5)),"LATE – free video promised in 5 working days",IF(AND(E486&lt;&gt;"",E486=TODAY()),"Shooting today",""))))</f>
        <v/>
      </c>
    </row>
    <row r="487" customFormat="false" ht="15" hidden="false" customHeight="false" outlineLevel="0" collapsed="false">
      <c r="A487" s="17"/>
      <c r="B487" s="17"/>
      <c r="C487" s="44" t="str">
        <f aca="false">IF(B487="","",IFERROR(INDEX(Clients!$C$2:$C$501,MATCH(B487,Clients!$A$2:$A$501,0)),"Client ID not found"))</f>
        <v/>
      </c>
      <c r="D487" s="17"/>
      <c r="E487" s="40"/>
      <c r="F487" s="41"/>
      <c r="G487" s="17"/>
      <c r="H487" s="17"/>
      <c r="I487" s="17"/>
      <c r="J487" s="40"/>
      <c r="K487" s="17"/>
      <c r="L487" s="17"/>
      <c r="M487" s="17"/>
      <c r="N487" s="44" t="str">
        <f aca="true">IF(A487="","",IF(N(K487)&gt;Settings!$S$7,"Over revision limit",IF(AND(D487="Free video",J487="",E487&lt;&gt;"",TODAY()&gt;WORKDAY(E487,Settings!$S$5)),"LATE – free video promised in 5 working days",IF(AND(E487&lt;&gt;"",E487=TODAY()),"Shooting today",""))))</f>
        <v/>
      </c>
    </row>
    <row r="488" customFormat="false" ht="15" hidden="false" customHeight="false" outlineLevel="0" collapsed="false">
      <c r="A488" s="17"/>
      <c r="B488" s="17"/>
      <c r="C488" s="44" t="str">
        <f aca="false">IF(B488="","",IFERROR(INDEX(Clients!$C$2:$C$501,MATCH(B488,Clients!$A$2:$A$501,0)),"Client ID not found"))</f>
        <v/>
      </c>
      <c r="D488" s="17"/>
      <c r="E488" s="40"/>
      <c r="F488" s="41"/>
      <c r="G488" s="17"/>
      <c r="H488" s="17"/>
      <c r="I488" s="17"/>
      <c r="J488" s="40"/>
      <c r="K488" s="17"/>
      <c r="L488" s="17"/>
      <c r="M488" s="17"/>
      <c r="N488" s="44" t="str">
        <f aca="true">IF(A488="","",IF(N(K488)&gt;Settings!$S$7,"Over revision limit",IF(AND(D488="Free video",J488="",E488&lt;&gt;"",TODAY()&gt;WORKDAY(E488,Settings!$S$5)),"LATE – free video promised in 5 working days",IF(AND(E488&lt;&gt;"",E488=TODAY()),"Shooting today",""))))</f>
        <v/>
      </c>
    </row>
    <row r="489" customFormat="false" ht="15" hidden="false" customHeight="false" outlineLevel="0" collapsed="false">
      <c r="A489" s="17"/>
      <c r="B489" s="17"/>
      <c r="C489" s="44" t="str">
        <f aca="false">IF(B489="","",IFERROR(INDEX(Clients!$C$2:$C$501,MATCH(B489,Clients!$A$2:$A$501,0)),"Client ID not found"))</f>
        <v/>
      </c>
      <c r="D489" s="17"/>
      <c r="E489" s="40"/>
      <c r="F489" s="41"/>
      <c r="G489" s="17"/>
      <c r="H489" s="17"/>
      <c r="I489" s="17"/>
      <c r="J489" s="40"/>
      <c r="K489" s="17"/>
      <c r="L489" s="17"/>
      <c r="M489" s="17"/>
      <c r="N489" s="44" t="str">
        <f aca="true">IF(A489="","",IF(N(K489)&gt;Settings!$S$7,"Over revision limit",IF(AND(D489="Free video",J489="",E489&lt;&gt;"",TODAY()&gt;WORKDAY(E489,Settings!$S$5)),"LATE – free video promised in 5 working days",IF(AND(E489&lt;&gt;"",E489=TODAY()),"Shooting today",""))))</f>
        <v/>
      </c>
    </row>
    <row r="490" customFormat="false" ht="15" hidden="false" customHeight="false" outlineLevel="0" collapsed="false">
      <c r="A490" s="17"/>
      <c r="B490" s="17"/>
      <c r="C490" s="44" t="str">
        <f aca="false">IF(B490="","",IFERROR(INDEX(Clients!$C$2:$C$501,MATCH(B490,Clients!$A$2:$A$501,0)),"Client ID not found"))</f>
        <v/>
      </c>
      <c r="D490" s="17"/>
      <c r="E490" s="40"/>
      <c r="F490" s="41"/>
      <c r="G490" s="17"/>
      <c r="H490" s="17"/>
      <c r="I490" s="17"/>
      <c r="J490" s="40"/>
      <c r="K490" s="17"/>
      <c r="L490" s="17"/>
      <c r="M490" s="17"/>
      <c r="N490" s="44" t="str">
        <f aca="true">IF(A490="","",IF(N(K490)&gt;Settings!$S$7,"Over revision limit",IF(AND(D490="Free video",J490="",E490&lt;&gt;"",TODAY()&gt;WORKDAY(E490,Settings!$S$5)),"LATE – free video promised in 5 working days",IF(AND(E490&lt;&gt;"",E490=TODAY()),"Shooting today",""))))</f>
        <v/>
      </c>
    </row>
    <row r="491" customFormat="false" ht="15" hidden="false" customHeight="false" outlineLevel="0" collapsed="false">
      <c r="A491" s="17"/>
      <c r="B491" s="17"/>
      <c r="C491" s="44" t="str">
        <f aca="false">IF(B491="","",IFERROR(INDEX(Clients!$C$2:$C$501,MATCH(B491,Clients!$A$2:$A$501,0)),"Client ID not found"))</f>
        <v/>
      </c>
      <c r="D491" s="17"/>
      <c r="E491" s="40"/>
      <c r="F491" s="41"/>
      <c r="G491" s="17"/>
      <c r="H491" s="17"/>
      <c r="I491" s="17"/>
      <c r="J491" s="40"/>
      <c r="K491" s="17"/>
      <c r="L491" s="17"/>
      <c r="M491" s="17"/>
      <c r="N491" s="44" t="str">
        <f aca="true">IF(A491="","",IF(N(K491)&gt;Settings!$S$7,"Over revision limit",IF(AND(D491="Free video",J491="",E491&lt;&gt;"",TODAY()&gt;WORKDAY(E491,Settings!$S$5)),"LATE – free video promised in 5 working days",IF(AND(E491&lt;&gt;"",E491=TODAY()),"Shooting today",""))))</f>
        <v/>
      </c>
    </row>
    <row r="492" customFormat="false" ht="15" hidden="false" customHeight="false" outlineLevel="0" collapsed="false">
      <c r="A492" s="17"/>
      <c r="B492" s="17"/>
      <c r="C492" s="44" t="str">
        <f aca="false">IF(B492="","",IFERROR(INDEX(Clients!$C$2:$C$501,MATCH(B492,Clients!$A$2:$A$501,0)),"Client ID not found"))</f>
        <v/>
      </c>
      <c r="D492" s="17"/>
      <c r="E492" s="40"/>
      <c r="F492" s="41"/>
      <c r="G492" s="17"/>
      <c r="H492" s="17"/>
      <c r="I492" s="17"/>
      <c r="J492" s="40"/>
      <c r="K492" s="17"/>
      <c r="L492" s="17"/>
      <c r="M492" s="17"/>
      <c r="N492" s="44" t="str">
        <f aca="true">IF(A492="","",IF(N(K492)&gt;Settings!$S$7,"Over revision limit",IF(AND(D492="Free video",J492="",E492&lt;&gt;"",TODAY()&gt;WORKDAY(E492,Settings!$S$5)),"LATE – free video promised in 5 working days",IF(AND(E492&lt;&gt;"",E492=TODAY()),"Shooting today",""))))</f>
        <v/>
      </c>
    </row>
    <row r="493" customFormat="false" ht="15" hidden="false" customHeight="false" outlineLevel="0" collapsed="false">
      <c r="A493" s="17"/>
      <c r="B493" s="17"/>
      <c r="C493" s="44" t="str">
        <f aca="false">IF(B493="","",IFERROR(INDEX(Clients!$C$2:$C$501,MATCH(B493,Clients!$A$2:$A$501,0)),"Client ID not found"))</f>
        <v/>
      </c>
      <c r="D493" s="17"/>
      <c r="E493" s="40"/>
      <c r="F493" s="41"/>
      <c r="G493" s="17"/>
      <c r="H493" s="17"/>
      <c r="I493" s="17"/>
      <c r="J493" s="40"/>
      <c r="K493" s="17"/>
      <c r="L493" s="17"/>
      <c r="M493" s="17"/>
      <c r="N493" s="44" t="str">
        <f aca="true">IF(A493="","",IF(N(K493)&gt;Settings!$S$7,"Over revision limit",IF(AND(D493="Free video",J493="",E493&lt;&gt;"",TODAY()&gt;WORKDAY(E493,Settings!$S$5)),"LATE – free video promised in 5 working days",IF(AND(E493&lt;&gt;"",E493=TODAY()),"Shooting today",""))))</f>
        <v/>
      </c>
    </row>
    <row r="494" customFormat="false" ht="15" hidden="false" customHeight="false" outlineLevel="0" collapsed="false">
      <c r="A494" s="17"/>
      <c r="B494" s="17"/>
      <c r="C494" s="44" t="str">
        <f aca="false">IF(B494="","",IFERROR(INDEX(Clients!$C$2:$C$501,MATCH(B494,Clients!$A$2:$A$501,0)),"Client ID not found"))</f>
        <v/>
      </c>
      <c r="D494" s="17"/>
      <c r="E494" s="40"/>
      <c r="F494" s="41"/>
      <c r="G494" s="17"/>
      <c r="H494" s="17"/>
      <c r="I494" s="17"/>
      <c r="J494" s="40"/>
      <c r="K494" s="17"/>
      <c r="L494" s="17"/>
      <c r="M494" s="17"/>
      <c r="N494" s="44" t="str">
        <f aca="true">IF(A494="","",IF(N(K494)&gt;Settings!$S$7,"Over revision limit",IF(AND(D494="Free video",J494="",E494&lt;&gt;"",TODAY()&gt;WORKDAY(E494,Settings!$S$5)),"LATE – free video promised in 5 working days",IF(AND(E494&lt;&gt;"",E494=TODAY()),"Shooting today",""))))</f>
        <v/>
      </c>
    </row>
    <row r="495" customFormat="false" ht="15" hidden="false" customHeight="false" outlineLevel="0" collapsed="false">
      <c r="A495" s="17"/>
      <c r="B495" s="17"/>
      <c r="C495" s="44" t="str">
        <f aca="false">IF(B495="","",IFERROR(INDEX(Clients!$C$2:$C$501,MATCH(B495,Clients!$A$2:$A$501,0)),"Client ID not found"))</f>
        <v/>
      </c>
      <c r="D495" s="17"/>
      <c r="E495" s="40"/>
      <c r="F495" s="41"/>
      <c r="G495" s="17"/>
      <c r="H495" s="17"/>
      <c r="I495" s="17"/>
      <c r="J495" s="40"/>
      <c r="K495" s="17"/>
      <c r="L495" s="17"/>
      <c r="M495" s="17"/>
      <c r="N495" s="44" t="str">
        <f aca="true">IF(A495="","",IF(N(K495)&gt;Settings!$S$7,"Over revision limit",IF(AND(D495="Free video",J495="",E495&lt;&gt;"",TODAY()&gt;WORKDAY(E495,Settings!$S$5)),"LATE – free video promised in 5 working days",IF(AND(E495&lt;&gt;"",E495=TODAY()),"Shooting today",""))))</f>
        <v/>
      </c>
    </row>
    <row r="496" customFormat="false" ht="15" hidden="false" customHeight="false" outlineLevel="0" collapsed="false">
      <c r="A496" s="17"/>
      <c r="B496" s="17"/>
      <c r="C496" s="44" t="str">
        <f aca="false">IF(B496="","",IFERROR(INDEX(Clients!$C$2:$C$501,MATCH(B496,Clients!$A$2:$A$501,0)),"Client ID not found"))</f>
        <v/>
      </c>
      <c r="D496" s="17"/>
      <c r="E496" s="40"/>
      <c r="F496" s="41"/>
      <c r="G496" s="17"/>
      <c r="H496" s="17"/>
      <c r="I496" s="17"/>
      <c r="J496" s="40"/>
      <c r="K496" s="17"/>
      <c r="L496" s="17"/>
      <c r="M496" s="17"/>
      <c r="N496" s="44" t="str">
        <f aca="true">IF(A496="","",IF(N(K496)&gt;Settings!$S$7,"Over revision limit",IF(AND(D496="Free video",J496="",E496&lt;&gt;"",TODAY()&gt;WORKDAY(E496,Settings!$S$5)),"LATE – free video promised in 5 working days",IF(AND(E496&lt;&gt;"",E496=TODAY()),"Shooting today",""))))</f>
        <v/>
      </c>
    </row>
    <row r="497" customFormat="false" ht="15" hidden="false" customHeight="false" outlineLevel="0" collapsed="false">
      <c r="A497" s="17"/>
      <c r="B497" s="17"/>
      <c r="C497" s="44" t="str">
        <f aca="false">IF(B497="","",IFERROR(INDEX(Clients!$C$2:$C$501,MATCH(B497,Clients!$A$2:$A$501,0)),"Client ID not found"))</f>
        <v/>
      </c>
      <c r="D497" s="17"/>
      <c r="E497" s="40"/>
      <c r="F497" s="41"/>
      <c r="G497" s="17"/>
      <c r="H497" s="17"/>
      <c r="I497" s="17"/>
      <c r="J497" s="40"/>
      <c r="K497" s="17"/>
      <c r="L497" s="17"/>
      <c r="M497" s="17"/>
      <c r="N497" s="44" t="str">
        <f aca="true">IF(A497="","",IF(N(K497)&gt;Settings!$S$7,"Over revision limit",IF(AND(D497="Free video",J497="",E497&lt;&gt;"",TODAY()&gt;WORKDAY(E497,Settings!$S$5)),"LATE – free video promised in 5 working days",IF(AND(E497&lt;&gt;"",E497=TODAY()),"Shooting today",""))))</f>
        <v/>
      </c>
    </row>
    <row r="498" customFormat="false" ht="15" hidden="false" customHeight="false" outlineLevel="0" collapsed="false">
      <c r="A498" s="17"/>
      <c r="B498" s="17"/>
      <c r="C498" s="44" t="str">
        <f aca="false">IF(B498="","",IFERROR(INDEX(Clients!$C$2:$C$501,MATCH(B498,Clients!$A$2:$A$501,0)),"Client ID not found"))</f>
        <v/>
      </c>
      <c r="D498" s="17"/>
      <c r="E498" s="40"/>
      <c r="F498" s="41"/>
      <c r="G498" s="17"/>
      <c r="H498" s="17"/>
      <c r="I498" s="17"/>
      <c r="J498" s="40"/>
      <c r="K498" s="17"/>
      <c r="L498" s="17"/>
      <c r="M498" s="17"/>
      <c r="N498" s="44" t="str">
        <f aca="true">IF(A498="","",IF(N(K498)&gt;Settings!$S$7,"Over revision limit",IF(AND(D498="Free video",J498="",E498&lt;&gt;"",TODAY()&gt;WORKDAY(E498,Settings!$S$5)),"LATE – free video promised in 5 working days",IF(AND(E498&lt;&gt;"",E498=TODAY()),"Shooting today",""))))</f>
        <v/>
      </c>
    </row>
    <row r="499" customFormat="false" ht="15" hidden="false" customHeight="false" outlineLevel="0" collapsed="false">
      <c r="A499" s="17"/>
      <c r="B499" s="17"/>
      <c r="C499" s="44" t="str">
        <f aca="false">IF(B499="","",IFERROR(INDEX(Clients!$C$2:$C$501,MATCH(B499,Clients!$A$2:$A$501,0)),"Client ID not found"))</f>
        <v/>
      </c>
      <c r="D499" s="17"/>
      <c r="E499" s="40"/>
      <c r="F499" s="41"/>
      <c r="G499" s="17"/>
      <c r="H499" s="17"/>
      <c r="I499" s="17"/>
      <c r="J499" s="40"/>
      <c r="K499" s="17"/>
      <c r="L499" s="17"/>
      <c r="M499" s="17"/>
      <c r="N499" s="44" t="str">
        <f aca="true">IF(A499="","",IF(N(K499)&gt;Settings!$S$7,"Over revision limit",IF(AND(D499="Free video",J499="",E499&lt;&gt;"",TODAY()&gt;WORKDAY(E499,Settings!$S$5)),"LATE – free video promised in 5 working days",IF(AND(E499&lt;&gt;"",E499=TODAY()),"Shooting today",""))))</f>
        <v/>
      </c>
    </row>
    <row r="500" customFormat="false" ht="15" hidden="false" customHeight="false" outlineLevel="0" collapsed="false">
      <c r="A500" s="17"/>
      <c r="B500" s="17"/>
      <c r="C500" s="44" t="str">
        <f aca="false">IF(B500="","",IFERROR(INDEX(Clients!$C$2:$C$501,MATCH(B500,Clients!$A$2:$A$501,0)),"Client ID not found"))</f>
        <v/>
      </c>
      <c r="D500" s="17"/>
      <c r="E500" s="40"/>
      <c r="F500" s="41"/>
      <c r="G500" s="17"/>
      <c r="H500" s="17"/>
      <c r="I500" s="17"/>
      <c r="J500" s="40"/>
      <c r="K500" s="17"/>
      <c r="L500" s="17"/>
      <c r="M500" s="17"/>
      <c r="N500" s="44" t="str">
        <f aca="true">IF(A500="","",IF(N(K500)&gt;Settings!$S$7,"Over revision limit",IF(AND(D500="Free video",J500="",E500&lt;&gt;"",TODAY()&gt;WORKDAY(E500,Settings!$S$5)),"LATE – free video promised in 5 working days",IF(AND(E500&lt;&gt;"",E500=TODAY()),"Shooting today",""))))</f>
        <v/>
      </c>
    </row>
    <row r="501" customFormat="false" ht="15" hidden="false" customHeight="false" outlineLevel="0" collapsed="false">
      <c r="A501" s="17"/>
      <c r="B501" s="17"/>
      <c r="C501" s="44" t="str">
        <f aca="false">IF(B501="","",IFERROR(INDEX(Clients!$C$2:$C$501,MATCH(B501,Clients!$A$2:$A$501,0)),"Client ID not found"))</f>
        <v/>
      </c>
      <c r="D501" s="17"/>
      <c r="E501" s="40"/>
      <c r="F501" s="41"/>
      <c r="G501" s="17"/>
      <c r="H501" s="17"/>
      <c r="I501" s="17"/>
      <c r="J501" s="40"/>
      <c r="K501" s="17"/>
      <c r="L501" s="17"/>
      <c r="M501" s="17"/>
      <c r="N501" s="44" t="str">
        <f aca="true">IF(A501="","",IF(N(K501)&gt;Settings!$S$7,"Over revision limit",IF(AND(D501="Free video",J501="",E501&lt;&gt;"",TODAY()&gt;WORKDAY(E501,Settings!$S$5)),"LATE – free video promised in 5 working days",IF(AND(E501&lt;&gt;"",E501=TODAY()),"Shooting today",""))))</f>
        <v/>
      </c>
    </row>
  </sheetData>
  <autoFilter ref="A1:N501"/>
  <conditionalFormatting sqref="N2:N501">
    <cfRule type="expression" priority="2" aboveAverage="0" equalAverage="0" bottom="0" percent="0" rank="0" text="" dxfId="10">
      <formula>LEFT(N2,4)="LATE"</formula>
    </cfRule>
    <cfRule type="expression" priority="3" aboveAverage="0" equalAverage="0" bottom="0" percent="0" rank="0" text="" dxfId="9">
      <formula>N2="Over revision limit"</formula>
    </cfRule>
    <cfRule type="expression" priority="4" aboveAverage="0" equalAverage="0" bottom="0" percent="0" rank="0" text="" dxfId="11">
      <formula>N2="Shooting today"</formula>
    </cfRule>
  </conditionalFormatting>
  <dataValidations count="7">
    <dataValidation allowBlank="true" error="Pick a value from the list (edit lists on the Settings tab)." errorStyle="stop" errorTitle="Not on the list" operator="between" showDropDown="false" showErrorMessage="false" showInputMessage="false" sqref="D2:D501" type="list">
      <formula1>Settings!$M$2:$M$5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H2:H501" type="list">
      <formula1>Settings!$E$2:$E$5</formula1>
      <formula2>0</formula2>
    </dataValidation>
    <dataValidation allowBlank="true" error="Pick a value from the list (edit lists on the Settings tab)." errorStyle="stop" errorTitle="Not on the list" operator="between" showDropDown="false" showErrorMessage="false" showInputMessage="false" sqref="I2:I501" type="list">
      <formula1>Settings!$N$2:$N$7</formula1>
      <formula2>0</formula2>
    </dataValidation>
    <dataValidation allowBlank="true" error="Enter a whole number from 0 to 9." errorStyle="stop" operator="between" showDropDown="false" showErrorMessage="false" showInputMessage="false" sqref="K2:K501" type="whole">
      <formula1>0</formula1>
      <formula2>9</formula2>
    </dataValidation>
    <dataValidation allowBlank="true" error="Enter a date - double-click the cell for a calendar." errorStyle="stop" errorTitle="Not a date" operator="between" showDropDown="false" showErrorMessage="false" showInputMessage="false" sqref="E2:E501" type="date">
      <formula1>DATE(2020,1,1)</formula1>
      <formula2>DATE(2100,12,31)</formula2>
    </dataValidation>
    <dataValidation allowBlank="true" error="Enter a date - double-click the cell for a calendar." errorStyle="stop" errorTitle="Not a date" operator="between" showDropDown="false" showErrorMessage="false" showInputMessage="false" sqref="J2:J501" type="date">
      <formula1>DATE(2020,1,1)</formula1>
      <formula2>DATE(2100,12,31)</formula2>
    </dataValidation>
    <dataValidation allowBlank="true" error="That time isn't in the list - keep it if it's correct." errorStyle="warning" errorTitle="Check the time" operator="between" showDropDown="false" showErrorMessage="false" showInputMessage="false" sqref="F2:F501" type="list">
      <formula1>Settings!$Q$2:$Q$26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2828"/>
    <pageSetUpPr fitToPage="false"/>
  </sheetPr>
  <dimension ref="B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62"/>
    <col collapsed="false" customWidth="true" hidden="false" outlineLevel="0" max="4" min="4" style="0" width="44"/>
  </cols>
  <sheetData>
    <row r="1" customFormat="false" ht="19.7" hidden="false" customHeight="false" outlineLevel="0" collapsed="false">
      <c r="B1" s="51" t="s">
        <v>257</v>
      </c>
    </row>
    <row r="2" customFormat="false" ht="30" hidden="false" customHeight="true" outlineLevel="0" collapsed="false">
      <c r="B2" s="52" t="s">
        <v>258</v>
      </c>
      <c r="C2" s="52"/>
      <c r="D2" s="52"/>
    </row>
    <row r="4" customFormat="false" ht="15" hidden="false" customHeight="false" outlineLevel="0" collapsed="false">
      <c r="B4" s="53" t="s">
        <v>259</v>
      </c>
      <c r="C4" s="53" t="s">
        <v>260</v>
      </c>
      <c r="D4" s="53" t="s">
        <v>261</v>
      </c>
    </row>
    <row r="5" customFormat="false" ht="45.75" hidden="false" customHeight="true" outlineLevel="0" collapsed="false">
      <c r="B5" s="5" t="s">
        <v>160</v>
      </c>
      <c r="C5" s="6" t="s">
        <v>262</v>
      </c>
      <c r="D5" s="6" t="s">
        <v>263</v>
      </c>
    </row>
    <row r="6" customFormat="false" ht="45.75" hidden="false" customHeight="true" outlineLevel="0" collapsed="false">
      <c r="B6" s="5" t="s">
        <v>161</v>
      </c>
      <c r="C6" s="6" t="s">
        <v>264</v>
      </c>
      <c r="D6" s="6" t="s">
        <v>265</v>
      </c>
    </row>
    <row r="7" customFormat="false" ht="45.75" hidden="false" customHeight="true" outlineLevel="0" collapsed="false">
      <c r="B7" s="5" t="s">
        <v>162</v>
      </c>
      <c r="C7" s="6" t="s">
        <v>266</v>
      </c>
      <c r="D7" s="6" t="s">
        <v>267</v>
      </c>
    </row>
    <row r="8" customFormat="false" ht="45.75" hidden="false" customHeight="true" outlineLevel="0" collapsed="false">
      <c r="B8" s="5" t="s">
        <v>163</v>
      </c>
      <c r="C8" s="6" t="s">
        <v>268</v>
      </c>
      <c r="D8" s="6" t="s">
        <v>269</v>
      </c>
    </row>
    <row r="9" customFormat="false" ht="45.75" hidden="false" customHeight="true" outlineLevel="0" collapsed="false">
      <c r="B9" s="5" t="s">
        <v>164</v>
      </c>
      <c r="C9" s="6" t="s">
        <v>270</v>
      </c>
      <c r="D9" s="6" t="s">
        <v>271</v>
      </c>
    </row>
    <row r="10" customFormat="false" ht="45.75" hidden="false" customHeight="true" outlineLevel="0" collapsed="false">
      <c r="B10" s="5" t="s">
        <v>165</v>
      </c>
      <c r="C10" s="6" t="s">
        <v>272</v>
      </c>
      <c r="D10" s="6" t="s">
        <v>273</v>
      </c>
    </row>
    <row r="11" customFormat="false" ht="45.75" hidden="false" customHeight="true" outlineLevel="0" collapsed="false">
      <c r="B11" s="5" t="s">
        <v>274</v>
      </c>
      <c r="C11" s="6" t="s">
        <v>275</v>
      </c>
      <c r="D11" s="6" t="s">
        <v>276</v>
      </c>
    </row>
    <row r="13" customFormat="false" ht="15" hidden="false" customHeight="false" outlineLevel="0" collapsed="false">
      <c r="B13" s="23" t="s">
        <v>277</v>
      </c>
    </row>
    <row r="14" customFormat="false" ht="15" hidden="false" customHeight="false" outlineLevel="0" collapsed="false">
      <c r="B14" s="54" t="s">
        <v>278</v>
      </c>
      <c r="C14" s="55" t="s">
        <v>279</v>
      </c>
    </row>
    <row r="15" customFormat="false" ht="15" hidden="false" customHeight="false" outlineLevel="0" collapsed="false">
      <c r="B15" s="56" t="s">
        <v>280</v>
      </c>
      <c r="C15" s="55" t="s">
        <v>281</v>
      </c>
    </row>
    <row r="16" customFormat="false" ht="15" hidden="false" customHeight="false" outlineLevel="0" collapsed="false">
      <c r="B16" s="57" t="s">
        <v>282</v>
      </c>
      <c r="C16" s="55" t="s">
        <v>283</v>
      </c>
    </row>
    <row r="17" customFormat="false" ht="23.85" hidden="false" customHeight="false" outlineLevel="0" collapsed="false">
      <c r="B17" s="58" t="s">
        <v>284</v>
      </c>
      <c r="C17" s="55" t="s">
        <v>285</v>
      </c>
    </row>
    <row r="19" customFormat="false" ht="15" hidden="false" customHeight="false" outlineLevel="0" collapsed="false">
      <c r="B19" s="12" t="s">
        <v>286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26"/>
    <col collapsed="false" customWidth="true" hidden="false" outlineLevel="0" max="5" min="4" style="0" width="52"/>
    <col collapsed="false" customWidth="true" hidden="false" outlineLevel="0" max="6" min="6" style="0" width="7"/>
  </cols>
  <sheetData>
    <row r="1" customFormat="false" ht="15" hidden="false" customHeight="false" outlineLevel="0" collapsed="false">
      <c r="A1" s="29" t="s">
        <v>287</v>
      </c>
      <c r="B1" s="29" t="s">
        <v>288</v>
      </c>
      <c r="C1" s="29" t="s">
        <v>289</v>
      </c>
      <c r="D1" s="29" t="s">
        <v>290</v>
      </c>
      <c r="E1" s="29" t="s">
        <v>291</v>
      </c>
      <c r="F1" s="29" t="s">
        <v>292</v>
      </c>
    </row>
    <row r="2" customFormat="false" ht="23.85" hidden="false" customHeight="false" outlineLevel="0" collapsed="false">
      <c r="A2" s="6" t="n">
        <v>1</v>
      </c>
      <c r="B2" s="6" t="s">
        <v>293</v>
      </c>
      <c r="C2" s="6" t="s">
        <v>294</v>
      </c>
      <c r="D2" s="6" t="s">
        <v>295</v>
      </c>
      <c r="E2" s="6" t="s">
        <v>296</v>
      </c>
      <c r="F2" s="6" t="s">
        <v>65</v>
      </c>
    </row>
    <row r="3" customFormat="false" ht="23.85" hidden="false" customHeight="false" outlineLevel="0" collapsed="false">
      <c r="A3" s="6" t="n">
        <v>2</v>
      </c>
      <c r="B3" s="6" t="s">
        <v>297</v>
      </c>
      <c r="C3" s="6" t="s">
        <v>298</v>
      </c>
      <c r="D3" s="6" t="s">
        <v>299</v>
      </c>
      <c r="E3" s="6" t="s">
        <v>300</v>
      </c>
      <c r="F3" s="6" t="s">
        <v>65</v>
      </c>
    </row>
    <row r="4" customFormat="false" ht="23.85" hidden="false" customHeight="false" outlineLevel="0" collapsed="false">
      <c r="A4" s="6" t="n">
        <v>3</v>
      </c>
      <c r="B4" s="6" t="s">
        <v>301</v>
      </c>
      <c r="C4" s="6" t="s">
        <v>302</v>
      </c>
      <c r="D4" s="6" t="s">
        <v>303</v>
      </c>
      <c r="E4" s="6" t="s">
        <v>304</v>
      </c>
      <c r="F4" s="6" t="s">
        <v>65</v>
      </c>
    </row>
    <row r="5" customFormat="false" ht="15" hidden="false" customHeight="false" outlineLevel="0" collapsed="false">
      <c r="A5" s="6" t="n">
        <v>4</v>
      </c>
      <c r="B5" s="6" t="s">
        <v>305</v>
      </c>
      <c r="C5" s="6" t="s">
        <v>302</v>
      </c>
      <c r="D5" s="6" t="s">
        <v>306</v>
      </c>
      <c r="E5" s="6" t="s">
        <v>307</v>
      </c>
      <c r="F5" s="6" t="s">
        <v>65</v>
      </c>
    </row>
    <row r="6" customFormat="false" ht="23.85" hidden="false" customHeight="false" outlineLevel="0" collapsed="false">
      <c r="A6" s="6" t="n">
        <v>5</v>
      </c>
      <c r="B6" s="6" t="s">
        <v>308</v>
      </c>
      <c r="C6" s="6" t="s">
        <v>309</v>
      </c>
      <c r="D6" s="6" t="s">
        <v>310</v>
      </c>
      <c r="E6" s="6" t="s">
        <v>311</v>
      </c>
      <c r="F6" s="6" t="s">
        <v>65</v>
      </c>
    </row>
    <row r="7" customFormat="false" ht="23.85" hidden="false" customHeight="false" outlineLevel="0" collapsed="false">
      <c r="A7" s="6" t="n">
        <v>6</v>
      </c>
      <c r="B7" s="6" t="s">
        <v>312</v>
      </c>
      <c r="C7" s="6" t="s">
        <v>313</v>
      </c>
      <c r="D7" s="6" t="s">
        <v>314</v>
      </c>
      <c r="E7" s="6" t="s">
        <v>315</v>
      </c>
      <c r="F7" s="6" t="s">
        <v>65</v>
      </c>
    </row>
    <row r="8" customFormat="false" ht="23.85" hidden="false" customHeight="false" outlineLevel="0" collapsed="false">
      <c r="A8" s="6" t="n">
        <v>7</v>
      </c>
      <c r="B8" s="6" t="s">
        <v>316</v>
      </c>
      <c r="C8" s="6" t="s">
        <v>309</v>
      </c>
      <c r="D8" s="6" t="s">
        <v>317</v>
      </c>
      <c r="E8" s="6" t="s">
        <v>318</v>
      </c>
      <c r="F8" s="6" t="s">
        <v>67</v>
      </c>
    </row>
    <row r="9" customFormat="false" ht="23.85" hidden="false" customHeight="false" outlineLevel="0" collapsed="false">
      <c r="A9" s="6" t="n">
        <v>8</v>
      </c>
      <c r="B9" s="6" t="s">
        <v>319</v>
      </c>
      <c r="C9" s="6" t="s">
        <v>320</v>
      </c>
      <c r="D9" s="6" t="s">
        <v>321</v>
      </c>
      <c r="E9" s="6" t="s">
        <v>322</v>
      </c>
      <c r="F9" s="6" t="s">
        <v>67</v>
      </c>
    </row>
    <row r="10" customFormat="false" ht="15" hidden="false" customHeight="false" outlineLevel="0" collapsed="false">
      <c r="A10" s="6" t="n">
        <v>9</v>
      </c>
      <c r="B10" s="6" t="s">
        <v>323</v>
      </c>
      <c r="C10" s="6" t="s">
        <v>324</v>
      </c>
      <c r="D10" s="6" t="s">
        <v>325</v>
      </c>
      <c r="E10" s="6" t="s">
        <v>326</v>
      </c>
      <c r="F10" s="6" t="s">
        <v>69</v>
      </c>
    </row>
    <row r="11" customFormat="false" ht="23.85" hidden="false" customHeight="false" outlineLevel="0" collapsed="false">
      <c r="A11" s="6" t="n">
        <v>10</v>
      </c>
      <c r="B11" s="6" t="s">
        <v>327</v>
      </c>
      <c r="C11" s="6" t="s">
        <v>328</v>
      </c>
      <c r="D11" s="6" t="s">
        <v>329</v>
      </c>
      <c r="E11" s="6" t="s">
        <v>330</v>
      </c>
      <c r="F11" s="6" t="s">
        <v>67</v>
      </c>
    </row>
    <row r="13" customFormat="false" ht="15" hidden="false" customHeight="false" outlineLevel="0" collapsed="false">
      <c r="A13" s="23" t="s">
        <v>331</v>
      </c>
    </row>
    <row r="14" customFormat="false" ht="15" hidden="false" customHeight="false" outlineLevel="0" collapsed="false">
      <c r="A14" s="10" t="s">
        <v>332</v>
      </c>
    </row>
    <row r="15" customFormat="false" ht="15" hidden="false" customHeight="false" outlineLevel="0" collapsed="false">
      <c r="A15" s="10" t="s">
        <v>333</v>
      </c>
    </row>
    <row r="16" customFormat="false" ht="15" hidden="false" customHeight="false" outlineLevel="0" collapsed="false">
      <c r="A16" s="10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AC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6" min="1" style="0" width="22"/>
    <col collapsed="false" customWidth="true" hidden="false" outlineLevel="0" max="17" min="17" style="0" width="14"/>
    <col collapsed="false" customWidth="true" hidden="false" outlineLevel="0" max="18" min="18" style="0" width="44"/>
    <col collapsed="false" customWidth="true" hidden="false" outlineLevel="0" max="19" min="19" style="0" width="8"/>
    <col collapsed="false" customWidth="true" hidden="false" outlineLevel="0" max="20" min="20" style="0" width="80"/>
    <col collapsed="false" customWidth="true" hidden="false" outlineLevel="0" max="23" min="23" style="0" width="16"/>
    <col collapsed="false" customWidth="true" hidden="false" outlineLevel="0" max="25" min="25" style="0" width="26"/>
    <col collapsed="false" customWidth="true" hidden="false" outlineLevel="0" max="26" min="26" style="0" width="16"/>
    <col collapsed="false" customWidth="true" hidden="false" outlineLevel="0" max="27" min="27" style="0" width="8"/>
    <col collapsed="false" customWidth="true" hidden="false" outlineLevel="0" max="29" min="29" style="0" width="20"/>
  </cols>
  <sheetData>
    <row r="1" customFormat="false" ht="15" hidden="false" customHeight="false" outlineLevel="0" collapsed="false">
      <c r="A1" s="53" t="s">
        <v>335</v>
      </c>
      <c r="B1" s="53" t="s">
        <v>336</v>
      </c>
      <c r="C1" s="53" t="s">
        <v>337</v>
      </c>
      <c r="D1" s="53" t="s">
        <v>338</v>
      </c>
      <c r="E1" s="53" t="s">
        <v>339</v>
      </c>
      <c r="F1" s="53" t="s">
        <v>218</v>
      </c>
      <c r="G1" s="53" t="s">
        <v>340</v>
      </c>
      <c r="H1" s="53" t="s">
        <v>341</v>
      </c>
      <c r="I1" s="53" t="s">
        <v>342</v>
      </c>
      <c r="J1" s="53" t="s">
        <v>226</v>
      </c>
      <c r="K1" s="53" t="s">
        <v>343</v>
      </c>
      <c r="L1" s="53" t="s">
        <v>229</v>
      </c>
      <c r="M1" s="53" t="s">
        <v>344</v>
      </c>
      <c r="N1" s="53" t="s">
        <v>345</v>
      </c>
      <c r="O1" s="53" t="s">
        <v>346</v>
      </c>
      <c r="P1" s="53" t="s">
        <v>156</v>
      </c>
      <c r="Q1" s="53" t="s">
        <v>347</v>
      </c>
      <c r="R1" s="53" t="s">
        <v>348</v>
      </c>
      <c r="S1" s="53" t="s">
        <v>349</v>
      </c>
      <c r="W1" s="53" t="s">
        <v>350</v>
      </c>
      <c r="Y1" s="53" t="s">
        <v>351</v>
      </c>
      <c r="Z1" s="53" t="s">
        <v>352</v>
      </c>
      <c r="AA1" s="53" t="s">
        <v>353</v>
      </c>
      <c r="AC1" s="53" t="s">
        <v>354</v>
      </c>
    </row>
    <row r="2" customFormat="false" ht="15" hidden="false" customHeight="false" outlineLevel="0" collapsed="false">
      <c r="A2" s="59" t="s">
        <v>355</v>
      </c>
      <c r="B2" s="59" t="s">
        <v>179</v>
      </c>
      <c r="C2" s="59" t="s">
        <v>198</v>
      </c>
      <c r="D2" s="59" t="s">
        <v>200</v>
      </c>
      <c r="E2" s="59" t="s">
        <v>56</v>
      </c>
      <c r="F2" s="59" t="s">
        <v>216</v>
      </c>
      <c r="G2" s="60" t="n">
        <v>5000</v>
      </c>
      <c r="H2" s="61" t="n">
        <v>10</v>
      </c>
      <c r="I2" s="59" t="s">
        <v>242</v>
      </c>
      <c r="J2" s="59" t="s">
        <v>243</v>
      </c>
      <c r="K2" s="59" t="s">
        <v>356</v>
      </c>
      <c r="L2" s="59" t="s">
        <v>357</v>
      </c>
      <c r="M2" s="59" t="s">
        <v>37</v>
      </c>
      <c r="N2" s="59" t="s">
        <v>358</v>
      </c>
      <c r="O2" s="59" t="s">
        <v>359</v>
      </c>
      <c r="P2" s="59" t="s">
        <v>360</v>
      </c>
      <c r="Q2" s="62" t="n">
        <v>0.333333333333333</v>
      </c>
      <c r="R2" s="59" t="s">
        <v>361</v>
      </c>
      <c r="S2" s="63" t="n">
        <v>3</v>
      </c>
      <c r="T2" s="59" t="s">
        <v>362</v>
      </c>
      <c r="U2" s="59"/>
      <c r="V2" s="59"/>
      <c r="W2" s="62" t="n">
        <v>0</v>
      </c>
      <c r="X2" s="59"/>
      <c r="Y2" s="59" t="s">
        <v>160</v>
      </c>
      <c r="Z2" s="59" t="s">
        <v>188</v>
      </c>
      <c r="AA2" s="63" t="n">
        <v>25</v>
      </c>
      <c r="AB2" s="59"/>
      <c r="AC2" s="59" t="s">
        <v>200</v>
      </c>
    </row>
    <row r="3" customFormat="false" ht="15" hidden="false" customHeight="false" outlineLevel="0" collapsed="false">
      <c r="A3" s="59" t="s">
        <v>363</v>
      </c>
      <c r="B3" s="59" t="s">
        <v>364</v>
      </c>
      <c r="C3" s="59" t="s">
        <v>195</v>
      </c>
      <c r="D3" s="59" t="s">
        <v>365</v>
      </c>
      <c r="E3" s="59" t="s">
        <v>60</v>
      </c>
      <c r="F3" s="59" t="s">
        <v>192</v>
      </c>
      <c r="G3" s="60" t="n">
        <v>7500</v>
      </c>
      <c r="H3" s="61" t="n">
        <v>15</v>
      </c>
      <c r="I3" s="59" t="s">
        <v>366</v>
      </c>
      <c r="J3" s="59" t="s">
        <v>367</v>
      </c>
      <c r="K3" s="59" t="s">
        <v>368</v>
      </c>
      <c r="L3" s="59" t="s">
        <v>367</v>
      </c>
      <c r="M3" s="59" t="s">
        <v>369</v>
      </c>
      <c r="N3" s="59" t="s">
        <v>370</v>
      </c>
      <c r="O3" s="59" t="s">
        <v>368</v>
      </c>
      <c r="P3" s="59" t="s">
        <v>187</v>
      </c>
      <c r="Q3" s="62" t="n">
        <v>0.354166666666667</v>
      </c>
      <c r="R3" s="59" t="s">
        <v>371</v>
      </c>
      <c r="S3" s="63" t="n">
        <v>4</v>
      </c>
      <c r="T3" s="59" t="s">
        <v>372</v>
      </c>
      <c r="U3" s="59"/>
      <c r="V3" s="59"/>
      <c r="W3" s="62" t="n">
        <v>0.0208333333333333</v>
      </c>
      <c r="X3" s="59"/>
      <c r="Y3" s="59" t="s">
        <v>160</v>
      </c>
      <c r="Z3" s="59" t="s">
        <v>209</v>
      </c>
      <c r="AA3" s="63" t="n">
        <v>10</v>
      </c>
      <c r="AB3" s="59"/>
      <c r="AC3" s="59" t="s">
        <v>365</v>
      </c>
    </row>
    <row r="4" customFormat="false" ht="15" hidden="false" customHeight="false" outlineLevel="0" collapsed="false">
      <c r="A4" s="59" t="s">
        <v>215</v>
      </c>
      <c r="B4" s="59" t="s">
        <v>373</v>
      </c>
      <c r="C4" s="59" t="s">
        <v>374</v>
      </c>
      <c r="D4" s="59" t="s">
        <v>375</v>
      </c>
      <c r="E4" s="59" t="s">
        <v>58</v>
      </c>
      <c r="F4" s="59" t="s">
        <v>376</v>
      </c>
      <c r="G4" s="60" t="n">
        <v>10000</v>
      </c>
      <c r="H4" s="61" t="n">
        <v>20</v>
      </c>
      <c r="I4" s="59" t="s">
        <v>377</v>
      </c>
      <c r="J4" s="59" t="s">
        <v>378</v>
      </c>
      <c r="K4" s="59" t="s">
        <v>379</v>
      </c>
      <c r="L4" s="59" t="s">
        <v>380</v>
      </c>
      <c r="M4" s="59" t="s">
        <v>381</v>
      </c>
      <c r="N4" s="59" t="s">
        <v>382</v>
      </c>
      <c r="O4" s="59" t="s">
        <v>383</v>
      </c>
      <c r="P4" s="59" t="s">
        <v>384</v>
      </c>
      <c r="Q4" s="62" t="n">
        <v>0.375</v>
      </c>
      <c r="R4" s="59" t="s">
        <v>385</v>
      </c>
      <c r="S4" s="64" t="n">
        <v>3</v>
      </c>
      <c r="T4" s="59" t="s">
        <v>386</v>
      </c>
      <c r="U4" s="59"/>
      <c r="V4" s="59"/>
      <c r="W4" s="62" t="n">
        <v>0.0416666666666667</v>
      </c>
      <c r="X4" s="59"/>
      <c r="Y4" s="59" t="s">
        <v>160</v>
      </c>
      <c r="Z4" s="59" t="s">
        <v>211</v>
      </c>
      <c r="AA4" s="63" t="n">
        <v>0</v>
      </c>
      <c r="AB4" s="59"/>
      <c r="AC4" s="59" t="s">
        <v>375</v>
      </c>
    </row>
    <row r="5" customFormat="false" ht="15" hidden="false" customHeight="false" outlineLevel="0" collapsed="false">
      <c r="A5" s="59" t="s">
        <v>387</v>
      </c>
      <c r="B5" s="59" t="s">
        <v>388</v>
      </c>
      <c r="C5" s="59" t="s">
        <v>389</v>
      </c>
      <c r="D5" s="59" t="s">
        <v>390</v>
      </c>
      <c r="E5" s="59" t="s">
        <v>62</v>
      </c>
      <c r="F5" s="59"/>
      <c r="G5" s="59"/>
      <c r="H5" s="59"/>
      <c r="I5" s="59" t="s">
        <v>391</v>
      </c>
      <c r="J5" s="59"/>
      <c r="K5" s="59" t="s">
        <v>392</v>
      </c>
      <c r="L5" s="59"/>
      <c r="M5" s="59" t="s">
        <v>393</v>
      </c>
      <c r="N5" s="59" t="s">
        <v>394</v>
      </c>
      <c r="O5" s="59" t="s">
        <v>395</v>
      </c>
      <c r="P5" s="59" t="s">
        <v>396</v>
      </c>
      <c r="Q5" s="62" t="n">
        <v>0.395833333333333</v>
      </c>
      <c r="R5" s="59" t="s">
        <v>397</v>
      </c>
      <c r="S5" s="63" t="n">
        <v>5</v>
      </c>
      <c r="T5" s="59" t="s">
        <v>398</v>
      </c>
      <c r="U5" s="59"/>
      <c r="V5" s="59"/>
      <c r="W5" s="62" t="n">
        <v>0.0625</v>
      </c>
      <c r="X5" s="59"/>
      <c r="Y5" s="59" t="s">
        <v>161</v>
      </c>
      <c r="Z5" s="59" t="s">
        <v>188</v>
      </c>
      <c r="AA5" s="63" t="n">
        <v>15</v>
      </c>
      <c r="AB5" s="59"/>
      <c r="AC5" s="59" t="s">
        <v>390</v>
      </c>
    </row>
    <row r="6" customFormat="false" ht="15" hidden="false" customHeight="false" outlineLevel="0" collapsed="false">
      <c r="A6" s="59" t="s">
        <v>399</v>
      </c>
      <c r="B6" s="59" t="s">
        <v>400</v>
      </c>
      <c r="C6" s="59" t="s">
        <v>401</v>
      </c>
      <c r="D6" s="59" t="s">
        <v>181</v>
      </c>
      <c r="E6" s="59"/>
      <c r="F6" s="59" t="s">
        <v>402</v>
      </c>
      <c r="G6" s="59"/>
      <c r="H6" s="59"/>
      <c r="I6" s="59" t="s">
        <v>403</v>
      </c>
      <c r="J6" s="59"/>
      <c r="K6" s="59" t="s">
        <v>404</v>
      </c>
      <c r="L6" s="59"/>
      <c r="M6" s="59"/>
      <c r="N6" s="59" t="s">
        <v>256</v>
      </c>
      <c r="O6" s="59" t="s">
        <v>405</v>
      </c>
      <c r="P6" s="59" t="s">
        <v>406</v>
      </c>
      <c r="Q6" s="62" t="n">
        <v>0.416666666666667</v>
      </c>
      <c r="R6" s="59" t="s">
        <v>407</v>
      </c>
      <c r="S6" s="63" t="n">
        <v>3</v>
      </c>
      <c r="T6" s="59" t="s">
        <v>408</v>
      </c>
      <c r="U6" s="59"/>
      <c r="V6" s="59"/>
      <c r="W6" s="62" t="n">
        <v>0.0833333333333333</v>
      </c>
      <c r="X6" s="59"/>
      <c r="Y6" s="59" t="s">
        <v>161</v>
      </c>
      <c r="Z6" s="59" t="s">
        <v>210</v>
      </c>
      <c r="AA6" s="63" t="n">
        <v>8</v>
      </c>
      <c r="AB6" s="59"/>
      <c r="AC6" s="59" t="s">
        <v>181</v>
      </c>
    </row>
    <row r="7" customFormat="false" ht="15" hidden="false" customHeight="false" outlineLevel="0" collapsed="false">
      <c r="A7" s="59" t="s">
        <v>191</v>
      </c>
      <c r="B7" s="59" t="s">
        <v>409</v>
      </c>
      <c r="C7" s="59" t="s">
        <v>410</v>
      </c>
      <c r="D7" s="59" t="s">
        <v>411</v>
      </c>
      <c r="E7" s="59"/>
      <c r="F7" s="59"/>
      <c r="G7" s="59"/>
      <c r="H7" s="59"/>
      <c r="I7" s="59"/>
      <c r="J7" s="59"/>
      <c r="K7" s="59" t="s">
        <v>410</v>
      </c>
      <c r="L7" s="59"/>
      <c r="M7" s="59"/>
      <c r="N7" s="59" t="s">
        <v>412</v>
      </c>
      <c r="O7" s="59" t="s">
        <v>413</v>
      </c>
      <c r="P7" s="59"/>
      <c r="Q7" s="62" t="n">
        <v>0.4375</v>
      </c>
      <c r="R7" s="59" t="s">
        <v>414</v>
      </c>
      <c r="S7" s="63" t="n">
        <v>2</v>
      </c>
      <c r="T7" s="59" t="s">
        <v>415</v>
      </c>
      <c r="U7" s="59"/>
      <c r="V7" s="59"/>
      <c r="W7" s="62" t="n">
        <v>0.104166666666667</v>
      </c>
      <c r="X7" s="59"/>
      <c r="Y7" s="59" t="s">
        <v>161</v>
      </c>
      <c r="Z7" s="59" t="s">
        <v>211</v>
      </c>
      <c r="AA7" s="63" t="n">
        <v>0</v>
      </c>
      <c r="AB7" s="59"/>
      <c r="AC7" s="59"/>
    </row>
    <row r="8" customFormat="false" ht="15" hidden="false" customHeight="false" outlineLevel="0" collapsed="false">
      <c r="A8" s="59" t="s">
        <v>416</v>
      </c>
      <c r="B8" s="59" t="s">
        <v>410</v>
      </c>
      <c r="C8" s="59"/>
      <c r="D8" s="59" t="s">
        <v>417</v>
      </c>
      <c r="E8" s="59"/>
      <c r="F8" s="59"/>
      <c r="G8" s="59"/>
      <c r="H8" s="59"/>
      <c r="I8" s="59"/>
      <c r="J8" s="59"/>
      <c r="K8" s="59"/>
      <c r="L8" s="59"/>
      <c r="M8" s="59"/>
      <c r="N8" s="59"/>
      <c r="O8" s="59" t="s">
        <v>410</v>
      </c>
      <c r="P8" s="59"/>
      <c r="Q8" s="62" t="n">
        <v>0.458333333333333</v>
      </c>
      <c r="R8" s="59" t="s">
        <v>418</v>
      </c>
      <c r="S8" s="63" t="n">
        <v>70</v>
      </c>
      <c r="T8" s="59" t="s">
        <v>419</v>
      </c>
      <c r="U8" s="59"/>
      <c r="V8" s="59"/>
      <c r="W8" s="62" t="n">
        <v>0.125</v>
      </c>
      <c r="X8" s="59"/>
      <c r="Y8" s="59" t="s">
        <v>162</v>
      </c>
      <c r="Z8" s="59" t="s">
        <v>188</v>
      </c>
      <c r="AA8" s="63" t="n">
        <v>15</v>
      </c>
      <c r="AB8" s="59"/>
      <c r="AC8" s="59"/>
    </row>
    <row r="9" customFormat="false" ht="15" hidden="false" customHeight="false" outlineLevel="0" collapsed="false">
      <c r="A9" s="59" t="s">
        <v>420</v>
      </c>
      <c r="B9" s="59"/>
      <c r="C9" s="59"/>
      <c r="D9" s="59" t="s">
        <v>421</v>
      </c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62" t="n">
        <v>0.479166666666667</v>
      </c>
      <c r="R9" s="59" t="s">
        <v>422</v>
      </c>
      <c r="S9" s="63" t="n">
        <v>40</v>
      </c>
      <c r="T9" s="59" t="s">
        <v>423</v>
      </c>
      <c r="U9" s="59"/>
      <c r="V9" s="59"/>
      <c r="W9" s="62" t="n">
        <v>0.145833333333333</v>
      </c>
      <c r="X9" s="59"/>
      <c r="Y9" s="59" t="s">
        <v>162</v>
      </c>
      <c r="Z9" s="59" t="s">
        <v>209</v>
      </c>
      <c r="AA9" s="63" t="n">
        <v>8</v>
      </c>
      <c r="AB9" s="59"/>
      <c r="AC9" s="59"/>
    </row>
    <row r="10" customFormat="false" ht="15" hidden="false" customHeight="false" outlineLevel="0" collapsed="false">
      <c r="A10" s="59" t="s">
        <v>424</v>
      </c>
      <c r="B10" s="59"/>
      <c r="C10" s="59"/>
      <c r="D10" s="59" t="s">
        <v>425</v>
      </c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62" t="n">
        <v>0.5</v>
      </c>
      <c r="R10" s="59"/>
      <c r="S10" s="59"/>
      <c r="T10" s="59"/>
      <c r="U10" s="59"/>
      <c r="V10" s="59"/>
      <c r="W10" s="62" t="n">
        <v>0.166666666666667</v>
      </c>
      <c r="X10" s="59"/>
      <c r="Y10" s="59" t="s">
        <v>162</v>
      </c>
      <c r="Z10" s="59" t="s">
        <v>211</v>
      </c>
      <c r="AA10" s="63" t="n">
        <v>0</v>
      </c>
      <c r="AB10" s="59"/>
      <c r="AC10" s="59"/>
    </row>
    <row r="11" customFormat="false" ht="15" hidden="false" customHeight="false" outlineLevel="0" collapsed="false">
      <c r="A11" s="59"/>
      <c r="B11" s="59"/>
      <c r="C11" s="59"/>
      <c r="D11" s="59" t="s">
        <v>410</v>
      </c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62" t="n">
        <v>0.520833333333333</v>
      </c>
      <c r="R11" s="59"/>
      <c r="S11" s="59"/>
      <c r="T11" s="59"/>
      <c r="U11" s="59"/>
      <c r="V11" s="59"/>
      <c r="W11" s="62" t="n">
        <v>0.1875</v>
      </c>
      <c r="X11" s="59"/>
      <c r="Y11" s="59" t="s">
        <v>163</v>
      </c>
      <c r="Z11" s="59" t="s">
        <v>188</v>
      </c>
      <c r="AA11" s="63" t="n">
        <v>10</v>
      </c>
      <c r="AB11" s="59"/>
      <c r="AC11" s="59"/>
    </row>
    <row r="12" customFormat="false" ht="15" hidden="false" customHeight="false" outlineLevel="0" collapsed="false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62" t="n">
        <v>0.541666666666667</v>
      </c>
      <c r="R12" s="59"/>
      <c r="S12" s="59"/>
      <c r="T12" s="59"/>
      <c r="U12" s="59"/>
      <c r="V12" s="59"/>
      <c r="W12" s="62" t="n">
        <v>0.208333333333333</v>
      </c>
      <c r="X12" s="59"/>
      <c r="Y12" s="59" t="s">
        <v>163</v>
      </c>
      <c r="Z12" s="59" t="s">
        <v>212</v>
      </c>
      <c r="AA12" s="63" t="n">
        <v>5</v>
      </c>
      <c r="AB12" s="59"/>
      <c r="AC12" s="59"/>
    </row>
    <row r="13" customFormat="false" ht="15" hidden="false" customHeight="false" outlineLevel="0" collapsed="false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62" t="n">
        <v>0.5625</v>
      </c>
      <c r="R13" s="59"/>
      <c r="S13" s="59"/>
      <c r="T13" s="59"/>
      <c r="U13" s="59"/>
      <c r="V13" s="59"/>
      <c r="W13" s="62" t="n">
        <v>0.229166666666667</v>
      </c>
      <c r="X13" s="59"/>
      <c r="Y13" s="59" t="s">
        <v>163</v>
      </c>
      <c r="Z13" s="59" t="s">
        <v>211</v>
      </c>
      <c r="AA13" s="63" t="n">
        <v>0</v>
      </c>
      <c r="AB13" s="59"/>
      <c r="AC13" s="59"/>
    </row>
    <row r="14" customFormat="false" ht="15" hidden="false" customHeight="false" outlineLevel="0" collapsed="false">
      <c r="A14" s="59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62" t="n">
        <v>0.583333333333333</v>
      </c>
      <c r="R14" s="59"/>
      <c r="S14" s="59"/>
      <c r="T14" s="59"/>
      <c r="U14" s="59"/>
      <c r="V14" s="59"/>
      <c r="W14" s="62" t="n">
        <v>0.25</v>
      </c>
      <c r="X14" s="59"/>
      <c r="Y14" s="59" t="s">
        <v>164</v>
      </c>
      <c r="Z14" s="59" t="s">
        <v>189</v>
      </c>
      <c r="AA14" s="63" t="n">
        <v>15</v>
      </c>
      <c r="AB14" s="59"/>
      <c r="AC14" s="59"/>
    </row>
    <row r="15" customFormat="false" ht="15" hidden="false" customHeight="false" outlineLevel="0" collapsed="false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62" t="n">
        <v>0.604166666666667</v>
      </c>
      <c r="R15" s="59"/>
      <c r="S15" s="59"/>
      <c r="T15" s="59"/>
      <c r="U15" s="59"/>
      <c r="V15" s="59"/>
      <c r="W15" s="62" t="n">
        <v>0.270833333333333</v>
      </c>
      <c r="X15" s="59"/>
      <c r="Y15" s="59" t="s">
        <v>164</v>
      </c>
      <c r="Z15" s="59" t="s">
        <v>213</v>
      </c>
      <c r="AA15" s="63" t="n">
        <v>8</v>
      </c>
      <c r="AB15" s="59"/>
      <c r="AC15" s="59"/>
    </row>
    <row r="16" customFormat="false" ht="15" hidden="false" customHeight="false" outlineLevel="0" collapsed="false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62" t="n">
        <v>0.625</v>
      </c>
      <c r="R16" s="59"/>
      <c r="S16" s="59"/>
      <c r="T16" s="59"/>
      <c r="U16" s="59"/>
      <c r="V16" s="59"/>
      <c r="W16" s="62" t="n">
        <v>0.291666666666667</v>
      </c>
      <c r="X16" s="59"/>
      <c r="Y16" s="59" t="s">
        <v>164</v>
      </c>
      <c r="Z16" s="59" t="s">
        <v>426</v>
      </c>
      <c r="AA16" s="63" t="n">
        <v>2</v>
      </c>
      <c r="AB16" s="59"/>
      <c r="AC16" s="59"/>
    </row>
    <row r="17" customFormat="false" ht="15" hidden="false" customHeight="false" outlineLevel="0" collapsed="false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62" t="n">
        <v>0.645833333333333</v>
      </c>
      <c r="R17" s="59"/>
      <c r="S17" s="59"/>
      <c r="T17" s="59"/>
      <c r="U17" s="59"/>
      <c r="V17" s="59"/>
      <c r="W17" s="62" t="n">
        <v>0.3125</v>
      </c>
      <c r="X17" s="59"/>
      <c r="Y17" s="59" t="s">
        <v>165</v>
      </c>
      <c r="Z17" s="59" t="s">
        <v>190</v>
      </c>
      <c r="AA17" s="63" t="n">
        <v>10</v>
      </c>
      <c r="AB17" s="59"/>
      <c r="AC17" s="59"/>
    </row>
    <row r="18" customFormat="false" ht="15" hidden="false" customHeight="false" outlineLevel="0" collapsed="false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62" t="n">
        <v>0.666666666666667</v>
      </c>
      <c r="R18" s="59"/>
      <c r="S18" s="59"/>
      <c r="T18" s="59"/>
      <c r="U18" s="59"/>
      <c r="V18" s="59"/>
      <c r="W18" s="62" t="n">
        <v>0.333333333333333</v>
      </c>
      <c r="X18" s="59"/>
      <c r="Y18" s="59" t="s">
        <v>165</v>
      </c>
      <c r="Z18" s="59" t="s">
        <v>214</v>
      </c>
      <c r="AA18" s="63" t="n">
        <v>5</v>
      </c>
      <c r="AB18" s="59"/>
      <c r="AC18" s="59"/>
    </row>
    <row r="19" customFormat="false" ht="15" hidden="false" customHeight="false" outlineLevel="0" collapsed="false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62" t="n">
        <v>0.6875</v>
      </c>
      <c r="R19" s="59"/>
      <c r="S19" s="59"/>
      <c r="T19" s="59"/>
      <c r="U19" s="59"/>
      <c r="V19" s="59"/>
      <c r="W19" s="62" t="n">
        <v>0.354166666666667</v>
      </c>
      <c r="X19" s="59"/>
      <c r="Y19" s="59" t="s">
        <v>165</v>
      </c>
      <c r="Z19" s="59" t="s">
        <v>427</v>
      </c>
      <c r="AA19" s="63" t="n">
        <v>2</v>
      </c>
      <c r="AB19" s="59"/>
      <c r="AC19" s="59"/>
    </row>
    <row r="20" customFormat="false" ht="15" hidden="false" customHeight="false" outlineLevel="0" collapsed="false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62" t="n">
        <v>0.708333333333333</v>
      </c>
      <c r="R20" s="59"/>
      <c r="S20" s="59"/>
      <c r="T20" s="59"/>
      <c r="U20" s="59"/>
      <c r="V20" s="59"/>
      <c r="W20" s="62" t="n">
        <v>0.375</v>
      </c>
      <c r="X20" s="59"/>
      <c r="Y20" s="59" t="s">
        <v>428</v>
      </c>
      <c r="Z20" s="59" t="s">
        <v>429</v>
      </c>
      <c r="AA20" s="63" t="n">
        <v>10</v>
      </c>
      <c r="AB20" s="59"/>
      <c r="AC20" s="59"/>
    </row>
    <row r="21" customFormat="false" ht="15" hidden="false" customHeight="false" outlineLevel="0" collapsed="false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62" t="n">
        <v>0.729166666666667</v>
      </c>
      <c r="R21" s="59"/>
      <c r="S21" s="59"/>
      <c r="T21" s="59"/>
      <c r="U21" s="59"/>
      <c r="V21" s="59"/>
      <c r="W21" s="62" t="n">
        <v>0.395833333333333</v>
      </c>
      <c r="X21" s="59"/>
      <c r="Y21" s="59" t="s">
        <v>428</v>
      </c>
      <c r="Z21" s="59" t="s">
        <v>430</v>
      </c>
      <c r="AA21" s="63" t="n">
        <v>5</v>
      </c>
      <c r="AB21" s="59"/>
      <c r="AC21" s="59"/>
    </row>
    <row r="22" customFormat="false" ht="15" hidden="false" customHeight="false" outlineLevel="0" collapsed="false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62" t="n">
        <v>0.75</v>
      </c>
      <c r="R22" s="59"/>
      <c r="S22" s="59"/>
      <c r="T22" s="59"/>
      <c r="U22" s="59"/>
      <c r="V22" s="59"/>
      <c r="W22" s="62" t="n">
        <v>0.416666666666667</v>
      </c>
      <c r="X22" s="59"/>
      <c r="Y22" s="59"/>
      <c r="Z22" s="59"/>
      <c r="AA22" s="59"/>
      <c r="AB22" s="59"/>
      <c r="AC22" s="59"/>
    </row>
    <row r="23" customFormat="false" ht="15" hidden="false" customHeight="false" outlineLevel="0" collapsed="false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62" t="n">
        <v>0.770833333333333</v>
      </c>
      <c r="R23" s="59"/>
      <c r="S23" s="59"/>
      <c r="T23" s="59"/>
      <c r="U23" s="59"/>
      <c r="V23" s="59"/>
      <c r="W23" s="62" t="n">
        <v>0.4375</v>
      </c>
      <c r="X23" s="59"/>
      <c r="Y23" s="59"/>
      <c r="Z23" s="59"/>
      <c r="AA23" s="59"/>
      <c r="AB23" s="59"/>
      <c r="AC23" s="59"/>
    </row>
    <row r="24" customFormat="false" ht="15" hidden="false" customHeight="false" outlineLevel="0" collapsed="false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62" t="n">
        <v>0.791666666666667</v>
      </c>
      <c r="R24" s="59"/>
      <c r="S24" s="59"/>
      <c r="T24" s="59"/>
      <c r="U24" s="59"/>
      <c r="V24" s="59"/>
      <c r="W24" s="62" t="n">
        <v>0.458333333333333</v>
      </c>
      <c r="X24" s="59"/>
      <c r="Y24" s="59"/>
      <c r="Z24" s="59"/>
      <c r="AA24" s="59"/>
      <c r="AB24" s="59"/>
      <c r="AC24" s="59"/>
    </row>
    <row r="25" customFormat="false" ht="15" hidden="false" customHeight="false" outlineLevel="0" collapsed="false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62" t="n">
        <v>0.8125</v>
      </c>
      <c r="R25" s="59"/>
      <c r="S25" s="59"/>
      <c r="T25" s="59"/>
      <c r="U25" s="59"/>
      <c r="V25" s="59"/>
      <c r="W25" s="62" t="n">
        <v>0.479166666666667</v>
      </c>
      <c r="X25" s="59"/>
      <c r="Y25" s="59"/>
      <c r="Z25" s="59"/>
      <c r="AA25" s="59"/>
      <c r="AB25" s="59"/>
      <c r="AC25" s="59"/>
    </row>
    <row r="26" customFormat="false" ht="15" hidden="false" customHeight="false" outlineLevel="0" collapsed="false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62" t="n">
        <v>0.833333333333333</v>
      </c>
      <c r="R26" s="59"/>
      <c r="S26" s="59"/>
      <c r="T26" s="59"/>
      <c r="U26" s="59"/>
      <c r="V26" s="59"/>
      <c r="W26" s="62" t="n">
        <v>0.5</v>
      </c>
      <c r="X26" s="59"/>
      <c r="Y26" s="59"/>
      <c r="Z26" s="59"/>
      <c r="AA26" s="59"/>
      <c r="AB26" s="59"/>
      <c r="AC26" s="59"/>
    </row>
    <row r="27" customFormat="false" ht="15" hidden="false" customHeight="false" outlineLevel="0" collapsed="false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2" t="n">
        <v>0.520833333333333</v>
      </c>
      <c r="X27" s="59"/>
      <c r="Y27" s="59"/>
      <c r="Z27" s="59"/>
      <c r="AA27" s="59"/>
      <c r="AB27" s="59"/>
      <c r="AC27" s="59"/>
    </row>
    <row r="28" customFormat="false" ht="15" hidden="false" customHeight="false" outlineLevel="0" collapsed="false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2" t="n">
        <v>0.541666666666667</v>
      </c>
      <c r="X28" s="59"/>
      <c r="Y28" s="59"/>
      <c r="Z28" s="59"/>
      <c r="AA28" s="59"/>
      <c r="AB28" s="59"/>
      <c r="AC28" s="59"/>
    </row>
    <row r="29" customFormat="false" ht="15" hidden="false" customHeight="false" outlineLevel="0" collapsed="false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2" t="n">
        <v>0.5625</v>
      </c>
      <c r="X29" s="59"/>
      <c r="Y29" s="59"/>
      <c r="Z29" s="59"/>
      <c r="AA29" s="59"/>
      <c r="AB29" s="59"/>
      <c r="AC29" s="59"/>
    </row>
    <row r="30" customFormat="false" ht="15" hidden="false" customHeight="false" outlineLevel="0" collapsed="false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2" t="n">
        <v>0.583333333333333</v>
      </c>
      <c r="X30" s="59"/>
      <c r="Y30" s="59"/>
      <c r="Z30" s="59"/>
      <c r="AA30" s="59"/>
      <c r="AB30" s="59"/>
      <c r="AC30" s="59"/>
    </row>
    <row r="31" customFormat="false" ht="15" hidden="false" customHeight="false" outlineLevel="0" collapsed="false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2" t="n">
        <v>0.604166666666667</v>
      </c>
      <c r="X31" s="59"/>
      <c r="Y31" s="59"/>
      <c r="Z31" s="59"/>
      <c r="AA31" s="59"/>
      <c r="AB31" s="59"/>
      <c r="AC31" s="59"/>
    </row>
    <row r="32" customFormat="false" ht="15" hidden="false" customHeight="false" outlineLevel="0" collapsed="false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2" t="n">
        <v>0.625</v>
      </c>
      <c r="X32" s="59"/>
      <c r="Y32" s="59"/>
      <c r="Z32" s="59"/>
      <c r="AA32" s="59"/>
      <c r="AB32" s="59"/>
      <c r="AC32" s="59"/>
    </row>
    <row r="33" customFormat="false" ht="15" hidden="false" customHeight="false" outlineLevel="0" collapsed="false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62" t="n">
        <v>0.645833333333333</v>
      </c>
      <c r="X33" s="59"/>
      <c r="Y33" s="59"/>
      <c r="Z33" s="59"/>
      <c r="AA33" s="59"/>
      <c r="AB33" s="59"/>
      <c r="AC33" s="59"/>
    </row>
    <row r="34" customFormat="false" ht="15" hidden="false" customHeight="false" outlineLevel="0" collapsed="false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62" t="n">
        <v>0.666666666666667</v>
      </c>
      <c r="X34" s="59"/>
      <c r="Y34" s="59"/>
      <c r="Z34" s="59"/>
      <c r="AA34" s="59"/>
      <c r="AB34" s="59"/>
      <c r="AC34" s="59"/>
    </row>
    <row r="35" customFormat="false" ht="15" hidden="false" customHeight="false" outlineLevel="0" collapsed="false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62" t="n">
        <v>0.6875</v>
      </c>
      <c r="X35" s="59"/>
      <c r="Y35" s="59"/>
      <c r="Z35" s="59"/>
      <c r="AA35" s="59"/>
      <c r="AB35" s="59"/>
      <c r="AC35" s="59"/>
    </row>
    <row r="36" customFormat="false" ht="15" hidden="false" customHeight="false" outlineLevel="0" collapsed="false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62" t="n">
        <v>0.708333333333333</v>
      </c>
      <c r="X36" s="59"/>
      <c r="Y36" s="59"/>
      <c r="Z36" s="59"/>
      <c r="AA36" s="59"/>
      <c r="AB36" s="59"/>
      <c r="AC36" s="59"/>
    </row>
    <row r="37" customFormat="false" ht="15" hidden="false" customHeight="false" outlineLevel="0" collapsed="false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62" t="n">
        <v>0.729166666666667</v>
      </c>
      <c r="X37" s="59"/>
      <c r="Y37" s="59"/>
      <c r="Z37" s="59"/>
      <c r="AA37" s="59"/>
      <c r="AB37" s="59"/>
      <c r="AC37" s="59"/>
    </row>
    <row r="38" customFormat="false" ht="15" hidden="false" customHeight="false" outlineLevel="0" collapsed="false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62" t="n">
        <v>0.75</v>
      </c>
      <c r="X38" s="59"/>
      <c r="Y38" s="59"/>
      <c r="Z38" s="59"/>
      <c r="AA38" s="59"/>
      <c r="AB38" s="59"/>
      <c r="AC38" s="59"/>
    </row>
    <row r="39" customFormat="false" ht="15" hidden="false" customHeight="false" outlineLevel="0" collapsed="false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62" t="n">
        <v>0.770833333333333</v>
      </c>
      <c r="X39" s="59"/>
      <c r="Y39" s="59"/>
      <c r="Z39" s="59"/>
      <c r="AA39" s="59"/>
      <c r="AB39" s="59"/>
      <c r="AC39" s="59"/>
    </row>
    <row r="40" customFormat="false" ht="15" hidden="false" customHeight="false" outlineLevel="0" collapsed="false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62" t="n">
        <v>0.791666666666667</v>
      </c>
      <c r="X40" s="59"/>
      <c r="Y40" s="59"/>
      <c r="Z40" s="59"/>
      <c r="AA40" s="59"/>
      <c r="AB40" s="59"/>
      <c r="AC40" s="59"/>
    </row>
    <row r="41" customFormat="false" ht="15" hidden="false" customHeight="false" outlineLevel="0" collapsed="false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62" t="n">
        <v>0.8125</v>
      </c>
      <c r="X41" s="59"/>
      <c r="Y41" s="59"/>
      <c r="Z41" s="59"/>
      <c r="AA41" s="59"/>
      <c r="AB41" s="59"/>
      <c r="AC41" s="59"/>
    </row>
    <row r="42" customFormat="false" ht="15" hidden="false" customHeight="false" outlineLevel="0" collapsed="false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62" t="n">
        <v>0.833333333333333</v>
      </c>
      <c r="X42" s="59"/>
      <c r="Y42" s="59"/>
      <c r="Z42" s="59"/>
      <c r="AA42" s="59"/>
      <c r="AB42" s="59"/>
      <c r="AC42" s="59"/>
    </row>
    <row r="43" customFormat="false" ht="15" hidden="false" customHeight="false" outlineLevel="0" collapsed="false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62" t="n">
        <v>0.854166666666667</v>
      </c>
      <c r="X43" s="59"/>
      <c r="Y43" s="59"/>
      <c r="Z43" s="59"/>
      <c r="AA43" s="59"/>
      <c r="AB43" s="59"/>
      <c r="AC43" s="59"/>
    </row>
    <row r="44" customFormat="false" ht="15" hidden="false" customHeight="false" outlineLevel="0" collapsed="false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62" t="n">
        <v>0.875</v>
      </c>
      <c r="X44" s="59"/>
      <c r="Y44" s="59"/>
      <c r="Z44" s="59"/>
      <c r="AA44" s="59"/>
      <c r="AB44" s="59"/>
      <c r="AC44" s="59"/>
    </row>
    <row r="45" customFormat="false" ht="15" hidden="false" customHeight="false" outlineLevel="0" collapsed="false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62" t="n">
        <v>0.895833333333333</v>
      </c>
      <c r="X45" s="59"/>
      <c r="Y45" s="59"/>
      <c r="Z45" s="59"/>
      <c r="AA45" s="59"/>
      <c r="AB45" s="59"/>
      <c r="AC45" s="59"/>
    </row>
    <row r="46" customFormat="false" ht="15" hidden="false" customHeight="false" outlineLevel="0" collapsed="false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62" t="n">
        <v>0.916666666666667</v>
      </c>
      <c r="X46" s="59"/>
      <c r="Y46" s="59"/>
      <c r="Z46" s="59"/>
      <c r="AA46" s="59"/>
      <c r="AB46" s="59"/>
      <c r="AC46" s="59"/>
    </row>
    <row r="47" customFormat="false" ht="15" hidden="false" customHeight="false" outlineLevel="0" collapsed="false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62" t="n">
        <v>0.9375</v>
      </c>
      <c r="X47" s="59"/>
      <c r="Y47" s="59"/>
      <c r="Z47" s="59"/>
      <c r="AA47" s="59"/>
      <c r="AB47" s="59"/>
      <c r="AC47" s="59"/>
    </row>
    <row r="48" customFormat="false" ht="15" hidden="false" customHeight="false" outlineLevel="0" collapsed="false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62" t="n">
        <v>0.958333333333333</v>
      </c>
      <c r="X48" s="59"/>
      <c r="Y48" s="59"/>
      <c r="Z48" s="59"/>
      <c r="AA48" s="59"/>
      <c r="AB48" s="59"/>
      <c r="AC48" s="59"/>
    </row>
    <row r="49" customFormat="false" ht="15" hidden="false" customHeight="false" outlineLevel="0" collapsed="false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62" t="n">
        <v>0.979166666666667</v>
      </c>
      <c r="X49" s="59"/>
      <c r="Y49" s="59"/>
      <c r="Z49" s="59"/>
      <c r="AA49" s="59"/>
      <c r="AB49" s="59"/>
      <c r="AC49" s="5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2026-10-21T07:33:34Z</dcterms:created>
  <dc:creator>openpyxl</dc:creator>
  <dc:description/>
  <dc:language>en-US</dc:language>
  <cp:lastModifiedBy/>
  <dcterms:modified xsi:type="dcterms:W3CDTF">2026-10-21T07:33:35Z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